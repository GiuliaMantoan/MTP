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liveuclac-my.sharepoint.com/personal/ucei648_ucl_ac_uk/Documents/Desktop/MTP/IaR_GaR_April_2026/"/>
    </mc:Choice>
  </mc:AlternateContent>
  <xr:revisionPtr revIDLastSave="86" documentId="13_ncr:1_{EE933D9F-2113-412B-9E08-A3B13431BD86}" xr6:coauthVersionLast="47" xr6:coauthVersionMax="47" xr10:uidLastSave="{837AE702-8BA6-4D1F-B286-3602038DA616}"/>
  <bookViews>
    <workbookView xWindow="-98" yWindow="-98" windowWidth="21795" windowHeight="12975" tabRatio="990" firstSheet="19" activeTab="21" xr2:uid="{00000000-000D-0000-FFFF-FFFF00000000}"/>
  </bookViews>
  <sheets>
    <sheet name="read_me" sheetId="1" r:id="rId1"/>
    <sheet name="rgdp" sheetId="2" r:id="rId2"/>
    <sheet name="g4rgdp" sheetId="26" r:id="rId3"/>
    <sheet name="g4rgdp_first" sheetId="79" r:id="rId4"/>
    <sheet name="qoq_rgdp" sheetId="19" r:id="rId5"/>
    <sheet name="avg_g4rgdp" sheetId="61" r:id="rId6"/>
    <sheet name="g4infl" sheetId="32" r:id="rId7"/>
    <sheet name="infl" sheetId="20" r:id="rId8"/>
    <sheet name="credit_to_gdp_bank" sheetId="23" r:id="rId9"/>
    <sheet name="credit_to_gdp_all" sheetId="22" r:id="rId10"/>
    <sheet name="delta_3y_credit_to_gdp_all" sheetId="31" r:id="rId11"/>
    <sheet name="vix" sheetId="24" r:id="rId12"/>
    <sheet name="bond_spread" sheetId="21" r:id="rId13"/>
    <sheet name="market_vol_uk" sheetId="30" r:id="rId14"/>
    <sheet name="mrkvols&amp;p" sheetId="25" r:id="rId15"/>
    <sheet name="g4oil" sheetId="29" r:id="rId16"/>
    <sheet name="oil" sheetId="33" r:id="rId17"/>
    <sheet name="g4oil_long" sheetId="34" r:id="rId18"/>
    <sheet name="chicago_fed_nfci" sheetId="35" r:id="rId19"/>
    <sheet name="global_gdp" sheetId="36" r:id="rId20"/>
    <sheet name="global_credit" sheetId="41" r:id="rId21"/>
    <sheet name="global_credit_level" sheetId="80" r:id="rId22"/>
    <sheet name="global_credit_level_2y_gr" sheetId="81" r:id="rId23"/>
    <sheet name="pmi_out" sheetId="48" r:id="rId24"/>
    <sheet name="pmi_out_long" sheetId="52" r:id="rId25"/>
    <sheet name="pmi_out_fut_long" sheetId="53" r:id="rId26"/>
    <sheet name="pmi_out_fut" sheetId="49" r:id="rId27"/>
    <sheet name="ciss_uk" sheetId="50" r:id="rId28"/>
    <sheet name="yield_curve_slope" sheetId="54" r:id="rId29"/>
    <sheet name="inflation_expectations" sheetId="56" r:id="rId30"/>
    <sheet name="import_deflator_fuel" sheetId="57" r:id="rId31"/>
    <sheet name="g4_import_deflator_fuel" sheetId="58" r:id="rId32"/>
    <sheet name="mgdp_yoy" sheetId="60" r:id="rId33"/>
    <sheet name="epu_idx" sheetId="63" r:id="rId34"/>
    <sheet name="house_price_growth" sheetId="65" r:id="rId35"/>
    <sheet name="ln_housing_approvals" sheetId="68" r:id="rId36"/>
    <sheet name="housing_approvals" sheetId="67" r:id="rId37"/>
    <sheet name="covid" sheetId="28" r:id="rId38"/>
    <sheet name="spliced_vix" sheetId="27" r:id="rId39"/>
    <sheet name="credit_to_gdp_ALL_ctry" sheetId="38" r:id="rId40"/>
    <sheet name="d3y_cre_to_gdp_all_ALL_ctry" sheetId="39" r:id="rId41"/>
    <sheet name="uk_export_weight" sheetId="37" r:id="rId42"/>
    <sheet name="quarterly_pmi" sheetId="42" r:id="rId43"/>
    <sheet name="quarterly_pmi_std" sheetId="46" state="hidden" r:id="rId44"/>
    <sheet name="gdp_growth_forecast_consensus" sheetId="43" r:id="rId45"/>
    <sheet name="gdp_growth_forecast_consen_std" sheetId="47" state="hidden" r:id="rId46"/>
    <sheet name="spliced_quartely_pmi" sheetId="44" r:id="rId47"/>
    <sheet name="spliced_quartely_pmi_long" sheetId="51" r:id="rId48"/>
    <sheet name="spliced_inflation_expectations" sheetId="55" r:id="rId49"/>
    <sheet name="spliced_mgdp" sheetId="59" r:id="rId50"/>
    <sheet name="spliced_housing_approvals" sheetId="64" r:id="rId51"/>
    <sheet name="g4rgdp_gap" sheetId="71" r:id="rId52"/>
    <sheet name="pmi_composite" sheetId="74" r:id="rId53"/>
    <sheet name="pmi_employment" sheetId="76" r:id="rId54"/>
    <sheet name="labour" sheetId="78" r:id="rId55"/>
    <sheet name="spliced_house_appr_growth" sheetId="66" state="hidden" r:id="rId56"/>
    <sheet name="qoqrgdp" sheetId="18" state="hidden" r:id="rId5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81" l="1"/>
  <c r="B24" i="81"/>
  <c r="B25" i="81"/>
  <c r="B26" i="81"/>
  <c r="B27" i="81"/>
  <c r="B28" i="81"/>
  <c r="B29" i="81"/>
  <c r="B30" i="81"/>
  <c r="B31" i="81"/>
  <c r="B32" i="81"/>
  <c r="B33" i="81"/>
  <c r="B34" i="81"/>
  <c r="B35" i="81"/>
  <c r="B36" i="81"/>
  <c r="B37" i="81"/>
  <c r="B38" i="81"/>
  <c r="B39" i="81"/>
  <c r="B40" i="81"/>
  <c r="B41" i="81"/>
  <c r="B42" i="81"/>
  <c r="B43" i="81"/>
  <c r="B44" i="81"/>
  <c r="B45" i="81"/>
  <c r="B46" i="81"/>
  <c r="B47" i="81"/>
  <c r="B48" i="81"/>
  <c r="B49" i="81"/>
  <c r="B50" i="81"/>
  <c r="B51" i="81"/>
  <c r="B52" i="81"/>
  <c r="B53" i="81"/>
  <c r="B54" i="81"/>
  <c r="B55" i="81"/>
  <c r="B56" i="81"/>
  <c r="B57" i="81"/>
  <c r="B58" i="81"/>
  <c r="B59" i="81"/>
  <c r="B60" i="81"/>
  <c r="B61" i="81"/>
  <c r="B62" i="81"/>
  <c r="B63" i="81"/>
  <c r="B64" i="81"/>
  <c r="B65" i="81"/>
  <c r="B66" i="81"/>
  <c r="B67" i="81"/>
  <c r="B68" i="81"/>
  <c r="B69" i="81"/>
  <c r="B70" i="81"/>
  <c r="B71" i="81"/>
  <c r="B72" i="81"/>
  <c r="B73" i="81"/>
  <c r="B74" i="81"/>
  <c r="B75" i="81"/>
  <c r="B76" i="81"/>
  <c r="B77" i="81"/>
  <c r="B78" i="81"/>
  <c r="B79" i="81"/>
  <c r="B80" i="81"/>
  <c r="B81" i="81"/>
  <c r="B82" i="81"/>
  <c r="B83" i="81"/>
  <c r="B84" i="81"/>
  <c r="B85" i="81"/>
  <c r="B86" i="81"/>
  <c r="B87" i="81"/>
  <c r="B88" i="81"/>
  <c r="B89" i="81"/>
  <c r="B90" i="81"/>
  <c r="B91" i="81"/>
  <c r="B92" i="81"/>
  <c r="B93" i="81"/>
  <c r="B94" i="81"/>
  <c r="B95" i="81"/>
  <c r="B96" i="81"/>
  <c r="B97" i="81"/>
  <c r="B98" i="81"/>
  <c r="B99" i="81"/>
  <c r="B100" i="81"/>
  <c r="B101" i="81"/>
  <c r="B102" i="81"/>
  <c r="B103" i="81"/>
  <c r="B104" i="81"/>
  <c r="B105" i="81"/>
  <c r="B106" i="81"/>
  <c r="B107" i="81"/>
  <c r="B108" i="81"/>
  <c r="B109" i="81"/>
  <c r="B110" i="81"/>
  <c r="B111" i="81"/>
  <c r="B112" i="81"/>
  <c r="B113" i="81"/>
  <c r="B114" i="81"/>
  <c r="B115" i="81"/>
  <c r="B116" i="81"/>
  <c r="B117" i="81"/>
  <c r="B118" i="81"/>
  <c r="B119" i="81"/>
  <c r="B120" i="81"/>
  <c r="B121" i="81"/>
  <c r="B122" i="81"/>
  <c r="B123" i="81"/>
  <c r="B124" i="81"/>
  <c r="B125" i="81"/>
  <c r="B126" i="81"/>
  <c r="B127" i="81"/>
  <c r="B128" i="81"/>
  <c r="B129" i="81"/>
  <c r="B130" i="81"/>
  <c r="B131" i="81"/>
  <c r="B132" i="81"/>
  <c r="B133" i="81"/>
  <c r="B134" i="81"/>
  <c r="B135" i="81"/>
  <c r="B136" i="81"/>
  <c r="B137" i="81"/>
  <c r="B138" i="81"/>
  <c r="B139" i="81"/>
  <c r="B140" i="81"/>
  <c r="B141" i="81"/>
  <c r="B142" i="81"/>
  <c r="B143" i="81"/>
  <c r="B144" i="81"/>
  <c r="B145" i="81"/>
  <c r="B146" i="81"/>
  <c r="B147" i="81"/>
  <c r="B148" i="81"/>
  <c r="B149" i="81"/>
  <c r="B150" i="81"/>
  <c r="B151" i="81"/>
  <c r="B152" i="81"/>
  <c r="B153" i="81"/>
  <c r="B154" i="81"/>
  <c r="B155" i="81"/>
  <c r="B156" i="81"/>
  <c r="B157" i="81"/>
  <c r="B158" i="81"/>
  <c r="B159" i="81"/>
  <c r="B160" i="81"/>
  <c r="B161" i="81"/>
  <c r="B162" i="81"/>
  <c r="B163" i="81"/>
  <c r="B164" i="81"/>
  <c r="B165" i="81"/>
  <c r="B166" i="81"/>
  <c r="B167" i="81"/>
  <c r="B168" i="81"/>
  <c r="B169" i="81"/>
  <c r="B170" i="81"/>
  <c r="B171" i="81"/>
  <c r="B172" i="81"/>
  <c r="B173" i="81"/>
  <c r="B174" i="81"/>
  <c r="B175" i="81"/>
  <c r="B176" i="81"/>
  <c r="B177" i="81"/>
  <c r="B178" i="81"/>
  <c r="B179" i="81"/>
  <c r="B180" i="81"/>
  <c r="B181" i="81"/>
  <c r="B182" i="81"/>
  <c r="B183" i="81"/>
  <c r="B184" i="81"/>
  <c r="B185" i="81"/>
  <c r="B186" i="81"/>
  <c r="B187" i="81"/>
  <c r="B188" i="81"/>
  <c r="B189" i="81"/>
  <c r="B190" i="81"/>
  <c r="B191" i="81"/>
  <c r="B192" i="81"/>
  <c r="B193" i="81"/>
  <c r="B194" i="81"/>
  <c r="B195" i="81"/>
  <c r="B196" i="81"/>
  <c r="B197" i="81"/>
  <c r="B198" i="81"/>
  <c r="B199" i="81"/>
  <c r="B200" i="81"/>
  <c r="B201" i="81"/>
  <c r="B202" i="81"/>
  <c r="B203" i="81"/>
  <c r="B204" i="81"/>
  <c r="B205" i="81"/>
  <c r="B206" i="81"/>
  <c r="B207" i="81"/>
  <c r="B208" i="81"/>
  <c r="B209" i="81"/>
  <c r="B210" i="81"/>
  <c r="B211" i="81"/>
  <c r="B212" i="81"/>
  <c r="B213" i="81"/>
  <c r="B214" i="81"/>
  <c r="B215" i="81"/>
  <c r="B216" i="81"/>
  <c r="B217" i="81"/>
  <c r="B218" i="81"/>
  <c r="B219" i="81"/>
  <c r="B220" i="81"/>
  <c r="B221" i="81"/>
  <c r="B222" i="81"/>
  <c r="B223" i="81"/>
  <c r="B224" i="81"/>
  <c r="B225" i="81"/>
  <c r="B226" i="81"/>
  <c r="B22" i="81"/>
  <c r="B15" i="80"/>
  <c r="B16" i="80"/>
  <c r="B17" i="80"/>
  <c r="B18" i="80"/>
  <c r="B19" i="80"/>
  <c r="B20" i="80"/>
  <c r="B21" i="80"/>
  <c r="B22" i="80"/>
  <c r="B23" i="80"/>
  <c r="B24" i="80"/>
  <c r="B25" i="80"/>
  <c r="B26" i="80"/>
  <c r="B27" i="80"/>
  <c r="B28" i="80"/>
  <c r="B29" i="80"/>
  <c r="B30" i="80"/>
  <c r="B31" i="80"/>
  <c r="B32" i="80"/>
  <c r="B33" i="80"/>
  <c r="B34" i="80"/>
  <c r="B35" i="80"/>
  <c r="B36" i="80"/>
  <c r="B37" i="80"/>
  <c r="B38" i="80"/>
  <c r="B39" i="80"/>
  <c r="B40" i="80"/>
  <c r="B41" i="80"/>
  <c r="B42" i="80"/>
  <c r="B43" i="80"/>
  <c r="B44" i="80"/>
  <c r="B45" i="80"/>
  <c r="B46" i="80"/>
  <c r="B47" i="80"/>
  <c r="B48" i="80"/>
  <c r="B49" i="80"/>
  <c r="B50" i="80"/>
  <c r="B51" i="80"/>
  <c r="B52" i="80"/>
  <c r="B53" i="80"/>
  <c r="B54" i="80"/>
  <c r="B55" i="80"/>
  <c r="B56" i="80"/>
  <c r="B57" i="80"/>
  <c r="B58" i="80"/>
  <c r="B59" i="80"/>
  <c r="B60" i="80"/>
  <c r="B61" i="80"/>
  <c r="B62" i="80"/>
  <c r="B63" i="80"/>
  <c r="B64" i="80"/>
  <c r="B65" i="80"/>
  <c r="B66" i="80"/>
  <c r="B67" i="80"/>
  <c r="B68" i="80"/>
  <c r="B69" i="80"/>
  <c r="B70" i="80"/>
  <c r="B71" i="80"/>
  <c r="B72" i="80"/>
  <c r="B73" i="80"/>
  <c r="B74" i="80"/>
  <c r="B75" i="80"/>
  <c r="B76" i="80"/>
  <c r="B77" i="80"/>
  <c r="B78" i="80"/>
  <c r="B79" i="80"/>
  <c r="B80" i="80"/>
  <c r="B81" i="80"/>
  <c r="B82" i="80"/>
  <c r="B83" i="80"/>
  <c r="B84" i="80"/>
  <c r="B85" i="80"/>
  <c r="B86" i="80"/>
  <c r="B87" i="80"/>
  <c r="B88" i="80"/>
  <c r="B89" i="80"/>
  <c r="B90" i="80"/>
  <c r="B91" i="80"/>
  <c r="B92" i="80"/>
  <c r="B93" i="80"/>
  <c r="B94" i="80"/>
  <c r="B95" i="80"/>
  <c r="B96" i="80"/>
  <c r="B97" i="80"/>
  <c r="B98" i="80"/>
  <c r="B99" i="80"/>
  <c r="B100" i="80"/>
  <c r="B101" i="80"/>
  <c r="B102" i="80"/>
  <c r="B103" i="80"/>
  <c r="B104" i="80"/>
  <c r="B105" i="80"/>
  <c r="B106" i="80"/>
  <c r="B107" i="80"/>
  <c r="B108" i="80"/>
  <c r="B109" i="80"/>
  <c r="B110" i="80"/>
  <c r="B111" i="80"/>
  <c r="B112" i="80"/>
  <c r="B113" i="80"/>
  <c r="B114" i="80"/>
  <c r="B115" i="80"/>
  <c r="B116" i="80"/>
  <c r="B117" i="80"/>
  <c r="B118" i="80"/>
  <c r="B119" i="80"/>
  <c r="B120" i="80"/>
  <c r="B121" i="80"/>
  <c r="B122" i="80"/>
  <c r="B123" i="80"/>
  <c r="B124" i="80"/>
  <c r="B125" i="80"/>
  <c r="B126" i="80"/>
  <c r="B127" i="80"/>
  <c r="B128" i="80"/>
  <c r="B129" i="80"/>
  <c r="B130" i="80"/>
  <c r="B131" i="80"/>
  <c r="B132" i="80"/>
  <c r="B133" i="80"/>
  <c r="B134" i="80"/>
  <c r="B135" i="80"/>
  <c r="B136" i="80"/>
  <c r="B137" i="80"/>
  <c r="B138" i="80"/>
  <c r="B139" i="80"/>
  <c r="B140" i="80"/>
  <c r="B141" i="80"/>
  <c r="B142" i="80"/>
  <c r="B143" i="80"/>
  <c r="B144" i="80"/>
  <c r="B145" i="80"/>
  <c r="B146" i="80"/>
  <c r="B147" i="80"/>
  <c r="B148" i="80"/>
  <c r="B149" i="80"/>
  <c r="B150" i="80"/>
  <c r="B151" i="80"/>
  <c r="B152" i="80"/>
  <c r="B153" i="80"/>
  <c r="B154" i="80"/>
  <c r="B155" i="80"/>
  <c r="B156" i="80"/>
  <c r="B157" i="80"/>
  <c r="B158" i="80"/>
  <c r="B159" i="80"/>
  <c r="B160" i="80"/>
  <c r="B161" i="80"/>
  <c r="B162" i="80"/>
  <c r="B163" i="80"/>
  <c r="B164" i="80"/>
  <c r="B165" i="80"/>
  <c r="B166" i="80"/>
  <c r="B167" i="80"/>
  <c r="B168" i="80"/>
  <c r="B169" i="80"/>
  <c r="B170" i="80"/>
  <c r="B171" i="80"/>
  <c r="B172" i="80"/>
  <c r="B173" i="80"/>
  <c r="B174" i="80"/>
  <c r="B175" i="80"/>
  <c r="B176" i="80"/>
  <c r="B177" i="80"/>
  <c r="B178" i="80"/>
  <c r="B179" i="80"/>
  <c r="B180" i="80"/>
  <c r="B181" i="80"/>
  <c r="B182" i="80"/>
  <c r="B183" i="80"/>
  <c r="B184" i="80"/>
  <c r="B185" i="80"/>
  <c r="B186" i="80"/>
  <c r="B187" i="80"/>
  <c r="B188" i="80"/>
  <c r="B189" i="80"/>
  <c r="B190" i="80"/>
  <c r="B191" i="80"/>
  <c r="B192" i="80"/>
  <c r="B193" i="80"/>
  <c r="B194" i="80"/>
  <c r="B195" i="80"/>
  <c r="B196" i="80"/>
  <c r="B197" i="80"/>
  <c r="B198" i="80"/>
  <c r="B199" i="80"/>
  <c r="B200" i="80"/>
  <c r="B201" i="80"/>
  <c r="B202" i="80"/>
  <c r="B203" i="80"/>
  <c r="B204" i="80"/>
  <c r="B205" i="80"/>
  <c r="B206" i="80"/>
  <c r="B207" i="80"/>
  <c r="B208" i="80"/>
  <c r="B209" i="80"/>
  <c r="B210" i="80"/>
  <c r="B211" i="80"/>
  <c r="B212" i="80"/>
  <c r="B213" i="80"/>
  <c r="B214" i="80"/>
  <c r="B215" i="80"/>
  <c r="B216" i="80"/>
  <c r="B217" i="80"/>
  <c r="B218" i="80"/>
  <c r="B219" i="80"/>
  <c r="B220" i="80"/>
  <c r="B221" i="80"/>
  <c r="B222" i="80"/>
  <c r="B223" i="80"/>
  <c r="B224" i="80"/>
  <c r="B225" i="80"/>
  <c r="B226" i="80"/>
  <c r="B14" i="80"/>
  <c r="C226" i="59"/>
  <c r="D226" i="59"/>
  <c r="D226" i="55"/>
  <c r="D226" i="51"/>
  <c r="F226" i="51"/>
  <c r="G226" i="51" s="1"/>
  <c r="D226" i="44"/>
  <c r="F226" i="44"/>
  <c r="G226" i="44" s="1"/>
  <c r="E226" i="27"/>
  <c r="R224" i="39"/>
  <c r="R225" i="39"/>
  <c r="Q225" i="39"/>
  <c r="P225" i="39"/>
  <c r="O225" i="39"/>
  <c r="N225" i="39"/>
  <c r="J224" i="39"/>
  <c r="J225" i="39"/>
  <c r="H225" i="39"/>
  <c r="H224" i="39"/>
  <c r="G225" i="39"/>
  <c r="G224" i="39"/>
  <c r="D225" i="39"/>
  <c r="D224" i="39"/>
  <c r="B224" i="39"/>
  <c r="B225" i="39"/>
  <c r="B225" i="26"/>
  <c r="C225" i="59" s="1"/>
  <c r="B224" i="26"/>
  <c r="C224" i="59" s="1"/>
  <c r="D225" i="59"/>
  <c r="D225" i="55"/>
  <c r="D225" i="51"/>
  <c r="F225" i="51"/>
  <c r="G225" i="51" s="1"/>
  <c r="D225" i="44"/>
  <c r="F225" i="44"/>
  <c r="G225" i="44" s="1"/>
  <c r="E225" i="27"/>
  <c r="B225" i="24" s="1"/>
  <c r="B225" i="68"/>
  <c r="B225" i="34"/>
  <c r="B225" i="19"/>
  <c r="B224" i="58"/>
  <c r="B225" i="58"/>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R223" i="39"/>
  <c r="Q223" i="39"/>
  <c r="Q224" i="39"/>
  <c r="P223" i="39"/>
  <c r="P224" i="39"/>
  <c r="O223" i="39"/>
  <c r="O224" i="39"/>
  <c r="N223" i="39"/>
  <c r="N224" i="39"/>
  <c r="J223" i="39"/>
  <c r="H223" i="39"/>
  <c r="G223" i="39"/>
  <c r="D223" i="39"/>
  <c r="B223" i="39"/>
  <c r="B224" i="68"/>
  <c r="B224" i="19"/>
  <c r="F224" i="51"/>
  <c r="G224" i="51" s="1"/>
  <c r="B224" i="53" s="1"/>
  <c r="F224" i="44"/>
  <c r="G224" i="44" s="1"/>
  <c r="B224" i="49" s="1"/>
  <c r="D224" i="51"/>
  <c r="B224" i="52" s="1"/>
  <c r="D224" i="44"/>
  <c r="B224" i="48" s="1"/>
  <c r="B221" i="31"/>
  <c r="B222" i="31"/>
  <c r="B220" i="31"/>
  <c r="D97" i="64"/>
  <c r="D98" i="64"/>
  <c r="D99" i="64"/>
  <c r="D100" i="64"/>
  <c r="D101" i="64"/>
  <c r="D102" i="64"/>
  <c r="D103" i="64"/>
  <c r="D104" i="64"/>
  <c r="D105" i="64"/>
  <c r="D106" i="64"/>
  <c r="D107" i="64"/>
  <c r="D108" i="64"/>
  <c r="D109" i="64"/>
  <c r="D110" i="64"/>
  <c r="D111" i="64"/>
  <c r="D112" i="64"/>
  <c r="D113" i="64"/>
  <c r="D114" i="64"/>
  <c r="D115" i="64"/>
  <c r="D116" i="64"/>
  <c r="D117" i="64"/>
  <c r="D118" i="64"/>
  <c r="D119" i="64"/>
  <c r="D120" i="64"/>
  <c r="D121" i="64"/>
  <c r="D122" i="64"/>
  <c r="D123" i="64"/>
  <c r="D124" i="64"/>
  <c r="D125" i="64"/>
  <c r="D126" i="64"/>
  <c r="D127" i="64"/>
  <c r="D128" i="64"/>
  <c r="D129" i="64"/>
  <c r="D130" i="64"/>
  <c r="D131" i="64"/>
  <c r="D132" i="64"/>
  <c r="D133" i="64"/>
  <c r="D134" i="64"/>
  <c r="D135" i="64"/>
  <c r="D136" i="64"/>
  <c r="D137" i="64"/>
  <c r="D138" i="64"/>
  <c r="D139" i="64"/>
  <c r="D140" i="64"/>
  <c r="D141" i="64"/>
  <c r="D142" i="64"/>
  <c r="D143" i="64"/>
  <c r="D144" i="64"/>
  <c r="D145" i="64"/>
  <c r="D146" i="64"/>
  <c r="D147" i="64"/>
  <c r="D148" i="64"/>
  <c r="D149" i="64"/>
  <c r="D150" i="64"/>
  <c r="D151" i="64"/>
  <c r="D152" i="64"/>
  <c r="D153" i="64"/>
  <c r="D154" i="64"/>
  <c r="D155" i="64"/>
  <c r="D156" i="64"/>
  <c r="D157" i="64"/>
  <c r="D158" i="64"/>
  <c r="D159" i="64"/>
  <c r="D160" i="64"/>
  <c r="D161" i="64"/>
  <c r="D162" i="64"/>
  <c r="D163" i="64"/>
  <c r="D164" i="64"/>
  <c r="D165" i="64"/>
  <c r="D166" i="64"/>
  <c r="D167" i="64"/>
  <c r="D168" i="64"/>
  <c r="D169" i="64"/>
  <c r="D170" i="64"/>
  <c r="D171" i="64"/>
  <c r="D172" i="64"/>
  <c r="D173" i="64"/>
  <c r="D174" i="64"/>
  <c r="D175" i="64"/>
  <c r="D176" i="64"/>
  <c r="D177" i="64"/>
  <c r="D178" i="64"/>
  <c r="D179" i="64"/>
  <c r="D180" i="64"/>
  <c r="D181" i="64"/>
  <c r="D182" i="64"/>
  <c r="D183" i="64"/>
  <c r="D184" i="64"/>
  <c r="D185" i="64"/>
  <c r="D186" i="64"/>
  <c r="D187" i="64"/>
  <c r="D188" i="64"/>
  <c r="D189" i="64"/>
  <c r="D190" i="64"/>
  <c r="D191" i="64"/>
  <c r="D192" i="64"/>
  <c r="D193" i="64"/>
  <c r="D194" i="64"/>
  <c r="D195" i="64"/>
  <c r="D196" i="64"/>
  <c r="D197" i="64"/>
  <c r="D198" i="64"/>
  <c r="D199" i="64"/>
  <c r="D200" i="64"/>
  <c r="D201" i="64"/>
  <c r="D202" i="64"/>
  <c r="D203" i="64"/>
  <c r="D204" i="64"/>
  <c r="D205" i="64"/>
  <c r="D206" i="64"/>
  <c r="D207" i="64"/>
  <c r="D208" i="64"/>
  <c r="D209" i="64"/>
  <c r="D210" i="64"/>
  <c r="D211" i="64"/>
  <c r="D212" i="64"/>
  <c r="D213" i="64"/>
  <c r="D214" i="64"/>
  <c r="D215" i="64"/>
  <c r="D216" i="64"/>
  <c r="D217" i="64"/>
  <c r="D218" i="64"/>
  <c r="D219" i="64"/>
  <c r="D220" i="64"/>
  <c r="D221" i="64"/>
  <c r="D222" i="64"/>
  <c r="B222" i="67" s="1"/>
  <c r="D223" i="64"/>
  <c r="B223" i="67" s="1"/>
  <c r="B223" i="68" s="1"/>
  <c r="D96" i="64"/>
  <c r="D95" i="64"/>
  <c r="B110" i="58"/>
  <c r="B111" i="58"/>
  <c r="B112" i="58"/>
  <c r="B113" i="58"/>
  <c r="B114" i="58"/>
  <c r="B115" i="58"/>
  <c r="B116" i="58"/>
  <c r="B117" i="58"/>
  <c r="B118" i="58"/>
  <c r="B119" i="58"/>
  <c r="B120" i="58"/>
  <c r="B121" i="58"/>
  <c r="B122" i="58"/>
  <c r="B123" i="58"/>
  <c r="B124" i="58"/>
  <c r="B125" i="58"/>
  <c r="B126" i="58"/>
  <c r="B127" i="58"/>
  <c r="B128" i="58"/>
  <c r="B129" i="58"/>
  <c r="B130" i="58"/>
  <c r="B131" i="58"/>
  <c r="B132" i="58"/>
  <c r="B133" i="58"/>
  <c r="B134" i="58"/>
  <c r="B135" i="58"/>
  <c r="B136" i="58"/>
  <c r="B137" i="58"/>
  <c r="B138" i="58"/>
  <c r="B139" i="58"/>
  <c r="B140" i="58"/>
  <c r="B141" i="58"/>
  <c r="B142" i="58"/>
  <c r="B143" i="58"/>
  <c r="B144" i="58"/>
  <c r="B145" i="58"/>
  <c r="B146" i="58"/>
  <c r="B147" i="58"/>
  <c r="B148" i="58"/>
  <c r="B149" i="58"/>
  <c r="B150" i="58"/>
  <c r="B151" i="58"/>
  <c r="B152" i="58"/>
  <c r="B153" i="58"/>
  <c r="B154" i="58"/>
  <c r="B155" i="58"/>
  <c r="B156" i="58"/>
  <c r="B157" i="58"/>
  <c r="B158" i="58"/>
  <c r="B159" i="58"/>
  <c r="B160" i="58"/>
  <c r="B161" i="58"/>
  <c r="B162" i="58"/>
  <c r="B163" i="58"/>
  <c r="B164" i="58"/>
  <c r="B165" i="58"/>
  <c r="B166" i="58"/>
  <c r="B167" i="58"/>
  <c r="B168" i="58"/>
  <c r="B169" i="58"/>
  <c r="B170" i="58"/>
  <c r="B171" i="58"/>
  <c r="B172" i="58"/>
  <c r="B173" i="58"/>
  <c r="B174" i="58"/>
  <c r="B175" i="58"/>
  <c r="B176" i="58"/>
  <c r="B177" i="58"/>
  <c r="B178" i="58"/>
  <c r="B179" i="58"/>
  <c r="B180" i="58"/>
  <c r="B181" i="58"/>
  <c r="B182" i="58"/>
  <c r="B183" i="58"/>
  <c r="B184" i="58"/>
  <c r="B185" i="58"/>
  <c r="B186" i="58"/>
  <c r="B187" i="58"/>
  <c r="B188" i="58"/>
  <c r="B189" i="58"/>
  <c r="B190" i="58"/>
  <c r="B191" i="58"/>
  <c r="B192" i="58"/>
  <c r="B193" i="58"/>
  <c r="B194" i="58"/>
  <c r="B195" i="58"/>
  <c r="B196" i="58"/>
  <c r="B197" i="58"/>
  <c r="B198" i="58"/>
  <c r="B199" i="58"/>
  <c r="B200" i="58"/>
  <c r="B201" i="58"/>
  <c r="B202" i="58"/>
  <c r="B203" i="58"/>
  <c r="B204" i="58"/>
  <c r="B205" i="58"/>
  <c r="B206" i="58"/>
  <c r="B207" i="58"/>
  <c r="B208" i="58"/>
  <c r="B209" i="58"/>
  <c r="B210" i="58"/>
  <c r="B211" i="58"/>
  <c r="B212" i="58"/>
  <c r="B213" i="58"/>
  <c r="B214" i="58"/>
  <c r="B215" i="58"/>
  <c r="B216" i="58"/>
  <c r="B217" i="58"/>
  <c r="B218" i="58"/>
  <c r="B219" i="58"/>
  <c r="B220" i="58"/>
  <c r="B221" i="58"/>
  <c r="B222" i="58"/>
  <c r="B223" i="58"/>
  <c r="D224" i="59"/>
  <c r="B223" i="60" s="1"/>
  <c r="D115" i="59"/>
  <c r="D116" i="59"/>
  <c r="D117" i="59"/>
  <c r="D118" i="59"/>
  <c r="D119" i="59"/>
  <c r="D120" i="59"/>
  <c r="D121" i="59"/>
  <c r="D122" i="59"/>
  <c r="D123" i="59"/>
  <c r="D124" i="59"/>
  <c r="D125" i="59"/>
  <c r="D126" i="59"/>
  <c r="D127" i="59"/>
  <c r="D128" i="59"/>
  <c r="D129" i="59"/>
  <c r="D130" i="59"/>
  <c r="D131" i="59"/>
  <c r="D132" i="59"/>
  <c r="D133" i="59"/>
  <c r="D134" i="59"/>
  <c r="D135" i="59"/>
  <c r="D136" i="59"/>
  <c r="D137" i="59"/>
  <c r="D138" i="59"/>
  <c r="D139" i="59"/>
  <c r="D140" i="59"/>
  <c r="D141" i="59"/>
  <c r="D142" i="59"/>
  <c r="D143" i="59"/>
  <c r="D144" i="59"/>
  <c r="D145" i="59"/>
  <c r="D146" i="59"/>
  <c r="D147" i="59"/>
  <c r="D148" i="59"/>
  <c r="D149" i="59"/>
  <c r="D150" i="59"/>
  <c r="D151" i="59"/>
  <c r="D152" i="59"/>
  <c r="D153" i="59"/>
  <c r="D154" i="59"/>
  <c r="D155" i="59"/>
  <c r="D156" i="59"/>
  <c r="D157" i="59"/>
  <c r="D158" i="59"/>
  <c r="D159" i="59"/>
  <c r="D160" i="59"/>
  <c r="D161" i="59"/>
  <c r="D162" i="59"/>
  <c r="D163" i="59"/>
  <c r="D164" i="59"/>
  <c r="D165" i="59"/>
  <c r="D166" i="59"/>
  <c r="D167" i="59"/>
  <c r="D168" i="59"/>
  <c r="D169" i="59"/>
  <c r="D170" i="59"/>
  <c r="D171" i="59"/>
  <c r="D172" i="59"/>
  <c r="D173" i="59"/>
  <c r="D174" i="59"/>
  <c r="D175" i="59"/>
  <c r="D176" i="59"/>
  <c r="D177" i="59"/>
  <c r="D178" i="59"/>
  <c r="D179" i="59"/>
  <c r="D180" i="59"/>
  <c r="D181" i="59"/>
  <c r="D182" i="59"/>
  <c r="D183" i="59"/>
  <c r="D184" i="59"/>
  <c r="D185" i="59"/>
  <c r="D186" i="59"/>
  <c r="D187" i="59"/>
  <c r="D188" i="59"/>
  <c r="D189" i="59"/>
  <c r="D190" i="59"/>
  <c r="D191" i="59"/>
  <c r="D192" i="59"/>
  <c r="D193" i="59"/>
  <c r="D194" i="59"/>
  <c r="D195" i="59"/>
  <c r="D196" i="59"/>
  <c r="D197" i="59"/>
  <c r="D198" i="59"/>
  <c r="D199" i="59"/>
  <c r="D200" i="59"/>
  <c r="D201" i="59"/>
  <c r="D202" i="59"/>
  <c r="D203" i="59"/>
  <c r="D204" i="59"/>
  <c r="D205" i="59"/>
  <c r="D206" i="59"/>
  <c r="D207" i="59"/>
  <c r="D208" i="59"/>
  <c r="D209" i="59"/>
  <c r="D210" i="59"/>
  <c r="D211" i="59"/>
  <c r="D212" i="59"/>
  <c r="D213" i="59"/>
  <c r="D214" i="59"/>
  <c r="D215" i="59"/>
  <c r="D216" i="59"/>
  <c r="D217" i="59"/>
  <c r="D218" i="59"/>
  <c r="D219" i="59"/>
  <c r="D220" i="59"/>
  <c r="D221" i="59"/>
  <c r="D222" i="59"/>
  <c r="D223" i="59"/>
  <c r="D114" i="59"/>
  <c r="N15" i="39"/>
  <c r="O15" i="39"/>
  <c r="P15" i="39"/>
  <c r="N16" i="39"/>
  <c r="O16" i="39"/>
  <c r="P16" i="39"/>
  <c r="N17" i="39"/>
  <c r="O17" i="39"/>
  <c r="P17" i="39"/>
  <c r="N18" i="39"/>
  <c r="O18" i="39"/>
  <c r="P18" i="39"/>
  <c r="N19" i="39"/>
  <c r="O19" i="39"/>
  <c r="P19" i="39"/>
  <c r="N20" i="39"/>
  <c r="O20" i="39"/>
  <c r="P20" i="39"/>
  <c r="N21" i="39"/>
  <c r="O21" i="39"/>
  <c r="P21" i="39"/>
  <c r="N22" i="39"/>
  <c r="O22" i="39"/>
  <c r="P22" i="39"/>
  <c r="N23" i="39"/>
  <c r="O23" i="39"/>
  <c r="P23" i="39"/>
  <c r="N24" i="39"/>
  <c r="O24" i="39"/>
  <c r="P24" i="39"/>
  <c r="N25" i="39"/>
  <c r="O25" i="39"/>
  <c r="P25" i="39"/>
  <c r="N26" i="39"/>
  <c r="O26" i="39"/>
  <c r="P26" i="39"/>
  <c r="N27" i="39"/>
  <c r="O27" i="39"/>
  <c r="P27" i="39"/>
  <c r="N28" i="39"/>
  <c r="O28" i="39"/>
  <c r="P28" i="39"/>
  <c r="N29" i="39"/>
  <c r="O29" i="39"/>
  <c r="P29" i="39"/>
  <c r="N30" i="39"/>
  <c r="O30" i="39"/>
  <c r="P30" i="39"/>
  <c r="N31" i="39"/>
  <c r="O31" i="39"/>
  <c r="P31" i="39"/>
  <c r="N32" i="39"/>
  <c r="O32" i="39"/>
  <c r="P32" i="39"/>
  <c r="N33" i="39"/>
  <c r="O33" i="39"/>
  <c r="P33" i="39"/>
  <c r="N34" i="39"/>
  <c r="O34" i="39"/>
  <c r="P34" i="39"/>
  <c r="N35" i="39"/>
  <c r="O35" i="39"/>
  <c r="P35" i="39"/>
  <c r="N36" i="39"/>
  <c r="O36" i="39"/>
  <c r="P36" i="39"/>
  <c r="N37" i="39"/>
  <c r="O37" i="39"/>
  <c r="P37" i="39"/>
  <c r="N38" i="39"/>
  <c r="O38" i="39"/>
  <c r="P38" i="39"/>
  <c r="N39" i="39"/>
  <c r="O39" i="39"/>
  <c r="P39" i="39"/>
  <c r="N40" i="39"/>
  <c r="O40" i="39"/>
  <c r="P40" i="39"/>
  <c r="N41" i="39"/>
  <c r="O41" i="39"/>
  <c r="P41" i="39"/>
  <c r="N42" i="39"/>
  <c r="O42" i="39"/>
  <c r="P42" i="39"/>
  <c r="N43" i="39"/>
  <c r="O43" i="39"/>
  <c r="P43" i="39"/>
  <c r="N44" i="39"/>
  <c r="O44" i="39"/>
  <c r="P44" i="39"/>
  <c r="N45" i="39"/>
  <c r="O45" i="39"/>
  <c r="P45" i="39"/>
  <c r="N46" i="39"/>
  <c r="O46" i="39"/>
  <c r="P46" i="39"/>
  <c r="N47" i="39"/>
  <c r="O47" i="39"/>
  <c r="P47" i="39"/>
  <c r="N48" i="39"/>
  <c r="O48" i="39"/>
  <c r="P48" i="39"/>
  <c r="N49" i="39"/>
  <c r="O49" i="39"/>
  <c r="P49" i="39"/>
  <c r="N50" i="39"/>
  <c r="O50" i="39"/>
  <c r="P50" i="39"/>
  <c r="N51" i="39"/>
  <c r="O51" i="39"/>
  <c r="P51" i="39"/>
  <c r="N52" i="39"/>
  <c r="O52" i="39"/>
  <c r="P52" i="39"/>
  <c r="N53" i="39"/>
  <c r="O53" i="39"/>
  <c r="P53" i="39"/>
  <c r="N54" i="39"/>
  <c r="O54" i="39"/>
  <c r="P54" i="39"/>
  <c r="N55" i="39"/>
  <c r="O55" i="39"/>
  <c r="P55" i="39"/>
  <c r="N56" i="39"/>
  <c r="O56" i="39"/>
  <c r="P56" i="39"/>
  <c r="N57" i="39"/>
  <c r="O57" i="39"/>
  <c r="P57" i="39"/>
  <c r="N58" i="39"/>
  <c r="O58" i="39"/>
  <c r="P58" i="39"/>
  <c r="N59" i="39"/>
  <c r="O59" i="39"/>
  <c r="P59" i="39"/>
  <c r="N60" i="39"/>
  <c r="O60" i="39"/>
  <c r="P60" i="39"/>
  <c r="N61" i="39"/>
  <c r="O61" i="39"/>
  <c r="P61" i="39"/>
  <c r="N62" i="39"/>
  <c r="O62" i="39"/>
  <c r="P62" i="39"/>
  <c r="N63" i="39"/>
  <c r="O63" i="39"/>
  <c r="P63" i="39"/>
  <c r="N64" i="39"/>
  <c r="O64" i="39"/>
  <c r="P64" i="39"/>
  <c r="N65" i="39"/>
  <c r="O65" i="39"/>
  <c r="P65" i="39"/>
  <c r="N66" i="39"/>
  <c r="O66" i="39"/>
  <c r="P66" i="39"/>
  <c r="N67" i="39"/>
  <c r="O67" i="39"/>
  <c r="P67" i="39"/>
  <c r="N68" i="39"/>
  <c r="O68" i="39"/>
  <c r="P68" i="39"/>
  <c r="N69" i="39"/>
  <c r="O69" i="39"/>
  <c r="P69" i="39"/>
  <c r="N70" i="39"/>
  <c r="O70" i="39"/>
  <c r="P70" i="39"/>
  <c r="N71" i="39"/>
  <c r="O71" i="39"/>
  <c r="P71" i="39"/>
  <c r="N72" i="39"/>
  <c r="O72" i="39"/>
  <c r="P72" i="39"/>
  <c r="N73" i="39"/>
  <c r="O73" i="39"/>
  <c r="P73" i="39"/>
  <c r="N74" i="39"/>
  <c r="O74" i="39"/>
  <c r="P74" i="39"/>
  <c r="N75" i="39"/>
  <c r="O75" i="39"/>
  <c r="P75" i="39"/>
  <c r="N76" i="39"/>
  <c r="O76" i="39"/>
  <c r="P76" i="39"/>
  <c r="N77" i="39"/>
  <c r="O77" i="39"/>
  <c r="P77" i="39"/>
  <c r="N78" i="39"/>
  <c r="O78" i="39"/>
  <c r="P78" i="39"/>
  <c r="N79" i="39"/>
  <c r="O79" i="39"/>
  <c r="P79" i="39"/>
  <c r="N80" i="39"/>
  <c r="O80" i="39"/>
  <c r="P80" i="39"/>
  <c r="N81" i="39"/>
  <c r="O81" i="39"/>
  <c r="P81" i="39"/>
  <c r="N82" i="39"/>
  <c r="O82" i="39"/>
  <c r="P82" i="39"/>
  <c r="N83" i="39"/>
  <c r="O83" i="39"/>
  <c r="P83" i="39"/>
  <c r="N84" i="39"/>
  <c r="O84" i="39"/>
  <c r="P84" i="39"/>
  <c r="N85" i="39"/>
  <c r="O85" i="39"/>
  <c r="P85" i="39"/>
  <c r="N86" i="39"/>
  <c r="O86" i="39"/>
  <c r="P86" i="39"/>
  <c r="N87" i="39"/>
  <c r="O87" i="39"/>
  <c r="P87" i="39"/>
  <c r="N88" i="39"/>
  <c r="O88" i="39"/>
  <c r="P88" i="39"/>
  <c r="N89" i="39"/>
  <c r="O89" i="39"/>
  <c r="P89" i="39"/>
  <c r="N90" i="39"/>
  <c r="O90" i="39"/>
  <c r="P90" i="39"/>
  <c r="N91" i="39"/>
  <c r="O91" i="39"/>
  <c r="P91" i="39"/>
  <c r="N92" i="39"/>
  <c r="O92" i="39"/>
  <c r="P92" i="39"/>
  <c r="N93" i="39"/>
  <c r="O93" i="39"/>
  <c r="P93" i="39"/>
  <c r="N94" i="39"/>
  <c r="O94" i="39"/>
  <c r="P94" i="39"/>
  <c r="N95" i="39"/>
  <c r="O95" i="39"/>
  <c r="P95" i="39"/>
  <c r="N96" i="39"/>
  <c r="O96" i="39"/>
  <c r="P96" i="39"/>
  <c r="N97" i="39"/>
  <c r="O97" i="39"/>
  <c r="P97" i="39"/>
  <c r="N98" i="39"/>
  <c r="O98" i="39"/>
  <c r="P98" i="39"/>
  <c r="N99" i="39"/>
  <c r="O99" i="39"/>
  <c r="P99" i="39"/>
  <c r="N100" i="39"/>
  <c r="O100" i="39"/>
  <c r="P100" i="39"/>
  <c r="N101" i="39"/>
  <c r="O101" i="39"/>
  <c r="P101" i="39"/>
  <c r="N102" i="39"/>
  <c r="O102" i="39"/>
  <c r="P102" i="39"/>
  <c r="N103" i="39"/>
  <c r="O103" i="39"/>
  <c r="P103" i="39"/>
  <c r="N104" i="39"/>
  <c r="O104" i="39"/>
  <c r="P104" i="39"/>
  <c r="N105" i="39"/>
  <c r="O105" i="39"/>
  <c r="P105" i="39"/>
  <c r="N106" i="39"/>
  <c r="O106" i="39"/>
  <c r="P106" i="39"/>
  <c r="N107" i="39"/>
  <c r="O107" i="39"/>
  <c r="P107" i="39"/>
  <c r="N108" i="39"/>
  <c r="O108" i="39"/>
  <c r="P108" i="39"/>
  <c r="N109" i="39"/>
  <c r="O109" i="39"/>
  <c r="P109" i="39"/>
  <c r="N110" i="39"/>
  <c r="O110" i="39"/>
  <c r="P110" i="39"/>
  <c r="N111" i="39"/>
  <c r="O111" i="39"/>
  <c r="P111" i="39"/>
  <c r="N112" i="39"/>
  <c r="O112" i="39"/>
  <c r="P112" i="39"/>
  <c r="N113" i="39"/>
  <c r="O113" i="39"/>
  <c r="P113" i="39"/>
  <c r="N114" i="39"/>
  <c r="O114" i="39"/>
  <c r="P114" i="39"/>
  <c r="N115" i="39"/>
  <c r="O115" i="39"/>
  <c r="P115" i="39"/>
  <c r="N116" i="39"/>
  <c r="O116" i="39"/>
  <c r="P116" i="39"/>
  <c r="N117" i="39"/>
  <c r="O117" i="39"/>
  <c r="P117" i="39"/>
  <c r="N118" i="39"/>
  <c r="O118" i="39"/>
  <c r="P118" i="39"/>
  <c r="N119" i="39"/>
  <c r="O119" i="39"/>
  <c r="P119" i="39"/>
  <c r="N120" i="39"/>
  <c r="O120" i="39"/>
  <c r="P120" i="39"/>
  <c r="N121" i="39"/>
  <c r="O121" i="39"/>
  <c r="P121" i="39"/>
  <c r="N122" i="39"/>
  <c r="O122" i="39"/>
  <c r="P122" i="39"/>
  <c r="N123" i="39"/>
  <c r="O123" i="39"/>
  <c r="P123" i="39"/>
  <c r="N124" i="39"/>
  <c r="O124" i="39"/>
  <c r="P124" i="39"/>
  <c r="N125" i="39"/>
  <c r="O125" i="39"/>
  <c r="P125" i="39"/>
  <c r="N126" i="39"/>
  <c r="O126" i="39"/>
  <c r="P126" i="39"/>
  <c r="N127" i="39"/>
  <c r="O127" i="39"/>
  <c r="P127" i="39"/>
  <c r="N128" i="39"/>
  <c r="O128" i="39"/>
  <c r="P128" i="39"/>
  <c r="N129" i="39"/>
  <c r="O129" i="39"/>
  <c r="P129" i="39"/>
  <c r="N130" i="39"/>
  <c r="O130" i="39"/>
  <c r="P130" i="39"/>
  <c r="N131" i="39"/>
  <c r="O131" i="39"/>
  <c r="P131" i="39"/>
  <c r="N132" i="39"/>
  <c r="O132" i="39"/>
  <c r="P132" i="39"/>
  <c r="N133" i="39"/>
  <c r="O133" i="39"/>
  <c r="P133" i="39"/>
  <c r="N134" i="39"/>
  <c r="O134" i="39"/>
  <c r="P134" i="39"/>
  <c r="N135" i="39"/>
  <c r="O135" i="39"/>
  <c r="P135" i="39"/>
  <c r="N136" i="39"/>
  <c r="O136" i="39"/>
  <c r="P136" i="39"/>
  <c r="N137" i="39"/>
  <c r="O137" i="39"/>
  <c r="P137" i="39"/>
  <c r="N138" i="39"/>
  <c r="O138" i="39"/>
  <c r="P138" i="39"/>
  <c r="N139" i="39"/>
  <c r="O139" i="39"/>
  <c r="P139" i="39"/>
  <c r="N140" i="39"/>
  <c r="O140" i="39"/>
  <c r="P140" i="39"/>
  <c r="N141" i="39"/>
  <c r="O141" i="39"/>
  <c r="P141" i="39"/>
  <c r="N142" i="39"/>
  <c r="O142" i="39"/>
  <c r="P142" i="39"/>
  <c r="N143" i="39"/>
  <c r="O143" i="39"/>
  <c r="P143" i="39"/>
  <c r="N144" i="39"/>
  <c r="O144" i="39"/>
  <c r="P144" i="39"/>
  <c r="N145" i="39"/>
  <c r="O145" i="39"/>
  <c r="P145" i="39"/>
  <c r="N146" i="39"/>
  <c r="O146" i="39"/>
  <c r="P146" i="39"/>
  <c r="N147" i="39"/>
  <c r="O147" i="39"/>
  <c r="P147" i="39"/>
  <c r="N148" i="39"/>
  <c r="O148" i="39"/>
  <c r="P148" i="39"/>
  <c r="N149" i="39"/>
  <c r="O149" i="39"/>
  <c r="P149" i="39"/>
  <c r="N150" i="39"/>
  <c r="O150" i="39"/>
  <c r="P150" i="39"/>
  <c r="N151" i="39"/>
  <c r="O151" i="39"/>
  <c r="P151" i="39"/>
  <c r="N152" i="39"/>
  <c r="O152" i="39"/>
  <c r="P152" i="39"/>
  <c r="N153" i="39"/>
  <c r="O153" i="39"/>
  <c r="P153" i="39"/>
  <c r="N154" i="39"/>
  <c r="O154" i="39"/>
  <c r="P154" i="39"/>
  <c r="N155" i="39"/>
  <c r="O155" i="39"/>
  <c r="P155" i="39"/>
  <c r="N156" i="39"/>
  <c r="O156" i="39"/>
  <c r="P156" i="39"/>
  <c r="N157" i="39"/>
  <c r="O157" i="39"/>
  <c r="P157" i="39"/>
  <c r="N158" i="39"/>
  <c r="O158" i="39"/>
  <c r="P158" i="39"/>
  <c r="N159" i="39"/>
  <c r="O159" i="39"/>
  <c r="P159" i="39"/>
  <c r="N160" i="39"/>
  <c r="O160" i="39"/>
  <c r="P160" i="39"/>
  <c r="N161" i="39"/>
  <c r="O161" i="39"/>
  <c r="P161" i="39"/>
  <c r="N162" i="39"/>
  <c r="O162" i="39"/>
  <c r="P162" i="39"/>
  <c r="N163" i="39"/>
  <c r="O163" i="39"/>
  <c r="P163" i="39"/>
  <c r="N164" i="39"/>
  <c r="O164" i="39"/>
  <c r="P164" i="39"/>
  <c r="N165" i="39"/>
  <c r="O165" i="39"/>
  <c r="P165" i="39"/>
  <c r="N166" i="39"/>
  <c r="O166" i="39"/>
  <c r="P166" i="39"/>
  <c r="N167" i="39"/>
  <c r="O167" i="39"/>
  <c r="P167" i="39"/>
  <c r="N168" i="39"/>
  <c r="O168" i="39"/>
  <c r="P168" i="39"/>
  <c r="N169" i="39"/>
  <c r="O169" i="39"/>
  <c r="P169" i="39"/>
  <c r="N170" i="39"/>
  <c r="O170" i="39"/>
  <c r="P170" i="39"/>
  <c r="N171" i="39"/>
  <c r="O171" i="39"/>
  <c r="P171" i="39"/>
  <c r="N172" i="39"/>
  <c r="O172" i="39"/>
  <c r="P172" i="39"/>
  <c r="N173" i="39"/>
  <c r="O173" i="39"/>
  <c r="P173" i="39"/>
  <c r="N174" i="39"/>
  <c r="O174" i="39"/>
  <c r="P174" i="39"/>
  <c r="N175" i="39"/>
  <c r="O175" i="39"/>
  <c r="P175" i="39"/>
  <c r="N176" i="39"/>
  <c r="O176" i="39"/>
  <c r="P176" i="39"/>
  <c r="N177" i="39"/>
  <c r="O177" i="39"/>
  <c r="P177" i="39"/>
  <c r="N178" i="39"/>
  <c r="O178" i="39"/>
  <c r="P178" i="39"/>
  <c r="N179" i="39"/>
  <c r="O179" i="39"/>
  <c r="P179" i="39"/>
  <c r="N180" i="39"/>
  <c r="O180" i="39"/>
  <c r="P180" i="39"/>
  <c r="N181" i="39"/>
  <c r="O181" i="39"/>
  <c r="P181" i="39"/>
  <c r="N182" i="39"/>
  <c r="O182" i="39"/>
  <c r="P182" i="39"/>
  <c r="N183" i="39"/>
  <c r="O183" i="39"/>
  <c r="P183" i="39"/>
  <c r="N184" i="39"/>
  <c r="O184" i="39"/>
  <c r="P184" i="39"/>
  <c r="N185" i="39"/>
  <c r="O185" i="39"/>
  <c r="P185" i="39"/>
  <c r="N186" i="39"/>
  <c r="O186" i="39"/>
  <c r="P186" i="39"/>
  <c r="N187" i="39"/>
  <c r="O187" i="39"/>
  <c r="P187" i="39"/>
  <c r="N188" i="39"/>
  <c r="O188" i="39"/>
  <c r="P188" i="39"/>
  <c r="N189" i="39"/>
  <c r="O189" i="39"/>
  <c r="P189" i="39"/>
  <c r="N190" i="39"/>
  <c r="O190" i="39"/>
  <c r="P190" i="39"/>
  <c r="N191" i="39"/>
  <c r="O191" i="39"/>
  <c r="P191" i="39"/>
  <c r="N192" i="39"/>
  <c r="O192" i="39"/>
  <c r="P192" i="39"/>
  <c r="N193" i="39"/>
  <c r="O193" i="39"/>
  <c r="P193" i="39"/>
  <c r="N194" i="39"/>
  <c r="O194" i="39"/>
  <c r="P194" i="39"/>
  <c r="N195" i="39"/>
  <c r="O195" i="39"/>
  <c r="P195" i="39"/>
  <c r="N196" i="39"/>
  <c r="O196" i="39"/>
  <c r="P196" i="39"/>
  <c r="N197" i="39"/>
  <c r="O197" i="39"/>
  <c r="P197" i="39"/>
  <c r="N198" i="39"/>
  <c r="O198" i="39"/>
  <c r="P198" i="39"/>
  <c r="N199" i="39"/>
  <c r="O199" i="39"/>
  <c r="P199" i="39"/>
  <c r="N200" i="39"/>
  <c r="O200" i="39"/>
  <c r="P200" i="39"/>
  <c r="N201" i="39"/>
  <c r="O201" i="39"/>
  <c r="P201" i="39"/>
  <c r="N202" i="39"/>
  <c r="O202" i="39"/>
  <c r="P202" i="39"/>
  <c r="N203" i="39"/>
  <c r="O203" i="39"/>
  <c r="P203" i="39"/>
  <c r="N204" i="39"/>
  <c r="O204" i="39"/>
  <c r="P204" i="39"/>
  <c r="N205" i="39"/>
  <c r="O205" i="39"/>
  <c r="P205" i="39"/>
  <c r="N206" i="39"/>
  <c r="O206" i="39"/>
  <c r="P206" i="39"/>
  <c r="N207" i="39"/>
  <c r="O207" i="39"/>
  <c r="P207" i="39"/>
  <c r="N208" i="39"/>
  <c r="O208" i="39"/>
  <c r="P208" i="39"/>
  <c r="N209" i="39"/>
  <c r="O209" i="39"/>
  <c r="P209" i="39"/>
  <c r="N210" i="39"/>
  <c r="O210" i="39"/>
  <c r="P210" i="39"/>
  <c r="N211" i="39"/>
  <c r="O211" i="39"/>
  <c r="P211" i="39"/>
  <c r="N212" i="39"/>
  <c r="O212" i="39"/>
  <c r="P212" i="39"/>
  <c r="N213" i="39"/>
  <c r="O213" i="39"/>
  <c r="P213" i="39"/>
  <c r="N214" i="39"/>
  <c r="O214" i="39"/>
  <c r="P214" i="39"/>
  <c r="N215" i="39"/>
  <c r="O215" i="39"/>
  <c r="P215" i="39"/>
  <c r="N216" i="39"/>
  <c r="O216" i="39"/>
  <c r="P216" i="39"/>
  <c r="N217" i="39"/>
  <c r="O217" i="39"/>
  <c r="P217" i="39"/>
  <c r="N218" i="39"/>
  <c r="O218" i="39"/>
  <c r="P218" i="39"/>
  <c r="N219" i="39"/>
  <c r="O219" i="39"/>
  <c r="P219" i="39"/>
  <c r="N220" i="39"/>
  <c r="O220" i="39"/>
  <c r="P220" i="39"/>
  <c r="N221" i="39"/>
  <c r="O221" i="39"/>
  <c r="P221" i="39"/>
  <c r="N222" i="39"/>
  <c r="O222" i="39"/>
  <c r="P222" i="39"/>
  <c r="O14" i="39"/>
  <c r="P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65" i="39"/>
  <c r="J66" i="39"/>
  <c r="J67" i="39"/>
  <c r="J68" i="39"/>
  <c r="J69" i="39"/>
  <c r="J70" i="39"/>
  <c r="J71" i="39"/>
  <c r="J72" i="39"/>
  <c r="J73" i="39"/>
  <c r="J74" i="39"/>
  <c r="J75" i="39"/>
  <c r="J76" i="39"/>
  <c r="J77" i="39"/>
  <c r="J78" i="39"/>
  <c r="J79" i="39"/>
  <c r="J80" i="39"/>
  <c r="J81" i="39"/>
  <c r="J82" i="39"/>
  <c r="J83" i="39"/>
  <c r="J84" i="39"/>
  <c r="J85" i="39"/>
  <c r="J86" i="39"/>
  <c r="J87" i="39"/>
  <c r="J88" i="39"/>
  <c r="J89" i="39"/>
  <c r="J90" i="39"/>
  <c r="J91" i="39"/>
  <c r="J92" i="39"/>
  <c r="J93" i="39"/>
  <c r="J94" i="39"/>
  <c r="J95" i="39"/>
  <c r="J96" i="39"/>
  <c r="J97" i="39"/>
  <c r="J98" i="39"/>
  <c r="J99" i="39"/>
  <c r="J100" i="39"/>
  <c r="J101" i="39"/>
  <c r="J102" i="39"/>
  <c r="J103" i="39"/>
  <c r="J104" i="39"/>
  <c r="J105" i="39"/>
  <c r="J106" i="39"/>
  <c r="J107" i="39"/>
  <c r="J108" i="39"/>
  <c r="J109" i="39"/>
  <c r="J110" i="39"/>
  <c r="J111" i="39"/>
  <c r="J112" i="39"/>
  <c r="J113" i="39"/>
  <c r="J114" i="39"/>
  <c r="J115" i="39"/>
  <c r="J116" i="39"/>
  <c r="J117" i="39"/>
  <c r="J118" i="39"/>
  <c r="J119" i="39"/>
  <c r="J120" i="39"/>
  <c r="J121" i="39"/>
  <c r="J122" i="39"/>
  <c r="J123" i="39"/>
  <c r="J124" i="39"/>
  <c r="J125" i="39"/>
  <c r="J126" i="39"/>
  <c r="J127" i="39"/>
  <c r="J128" i="39"/>
  <c r="J129" i="39"/>
  <c r="J130" i="39"/>
  <c r="J131" i="39"/>
  <c r="J132" i="39"/>
  <c r="J133" i="39"/>
  <c r="J134" i="39"/>
  <c r="J135" i="39"/>
  <c r="J136" i="39"/>
  <c r="J137" i="39"/>
  <c r="J138" i="39"/>
  <c r="J139" i="39"/>
  <c r="J140" i="39"/>
  <c r="J141" i="39"/>
  <c r="J142" i="39"/>
  <c r="J143" i="39"/>
  <c r="J144" i="39"/>
  <c r="J145" i="39"/>
  <c r="J146" i="39"/>
  <c r="J147" i="39"/>
  <c r="J148" i="39"/>
  <c r="J149" i="39"/>
  <c r="J150" i="39"/>
  <c r="J151" i="39"/>
  <c r="J152" i="39"/>
  <c r="J153" i="39"/>
  <c r="J154" i="39"/>
  <c r="J155" i="39"/>
  <c r="J156" i="39"/>
  <c r="J157" i="39"/>
  <c r="J158" i="39"/>
  <c r="J159" i="39"/>
  <c r="J160" i="39"/>
  <c r="J161" i="39"/>
  <c r="J162" i="39"/>
  <c r="J163" i="39"/>
  <c r="J164" i="39"/>
  <c r="J165" i="39"/>
  <c r="J166" i="39"/>
  <c r="J167" i="39"/>
  <c r="J168" i="39"/>
  <c r="J169" i="39"/>
  <c r="J170" i="39"/>
  <c r="J171" i="39"/>
  <c r="J172" i="39"/>
  <c r="J173" i="39"/>
  <c r="J174" i="39"/>
  <c r="J175" i="39"/>
  <c r="J176" i="39"/>
  <c r="J177" i="39"/>
  <c r="J178" i="39"/>
  <c r="J179" i="39"/>
  <c r="J180" i="39"/>
  <c r="J181" i="39"/>
  <c r="J182" i="39"/>
  <c r="J183" i="39"/>
  <c r="J184" i="39"/>
  <c r="J185" i="39"/>
  <c r="J186" i="39"/>
  <c r="J187" i="39"/>
  <c r="J188" i="39"/>
  <c r="J189" i="39"/>
  <c r="J190" i="39"/>
  <c r="J191" i="39"/>
  <c r="J192" i="39"/>
  <c r="J193" i="39"/>
  <c r="J194" i="39"/>
  <c r="J195" i="39"/>
  <c r="J196" i="39"/>
  <c r="J197" i="39"/>
  <c r="J198" i="39"/>
  <c r="J199" i="39"/>
  <c r="J200" i="39"/>
  <c r="J201" i="39"/>
  <c r="J202" i="39"/>
  <c r="J203" i="39"/>
  <c r="J204" i="39"/>
  <c r="J205" i="39"/>
  <c r="J206" i="39"/>
  <c r="J207" i="39"/>
  <c r="J208" i="39"/>
  <c r="J209" i="39"/>
  <c r="J210" i="39"/>
  <c r="J211" i="39"/>
  <c r="J212" i="39"/>
  <c r="J213" i="39"/>
  <c r="J214" i="39"/>
  <c r="J215" i="39"/>
  <c r="J216" i="39"/>
  <c r="J217" i="39"/>
  <c r="J218" i="39"/>
  <c r="J219" i="39"/>
  <c r="J220" i="39"/>
  <c r="J221" i="39"/>
  <c r="J222" i="39"/>
  <c r="J14" i="39"/>
  <c r="H15" i="39"/>
  <c r="H16" i="39"/>
  <c r="H17" i="39"/>
  <c r="H18" i="39"/>
  <c r="H19" i="39"/>
  <c r="H20" i="39"/>
  <c r="H21" i="39"/>
  <c r="H22" i="39"/>
  <c r="H23" i="39"/>
  <c r="H24" i="39"/>
  <c r="H25" i="39"/>
  <c r="H26" i="39"/>
  <c r="H27" i="39"/>
  <c r="H28" i="39"/>
  <c r="H29" i="39"/>
  <c r="H30" i="39"/>
  <c r="H31" i="39"/>
  <c r="H32" i="39"/>
  <c r="H33" i="39"/>
  <c r="H34" i="39"/>
  <c r="H35" i="39"/>
  <c r="H36" i="39"/>
  <c r="H37" i="39"/>
  <c r="H38" i="39"/>
  <c r="H39" i="39"/>
  <c r="H40" i="39"/>
  <c r="H41" i="39"/>
  <c r="H42" i="39"/>
  <c r="H43" i="39"/>
  <c r="H44" i="39"/>
  <c r="H45" i="39"/>
  <c r="H46" i="39"/>
  <c r="H47" i="39"/>
  <c r="H48" i="39"/>
  <c r="H49" i="39"/>
  <c r="H50" i="39"/>
  <c r="H51" i="39"/>
  <c r="H52" i="39"/>
  <c r="H53" i="39"/>
  <c r="H54" i="39"/>
  <c r="H55" i="39"/>
  <c r="H56" i="39"/>
  <c r="H57" i="39"/>
  <c r="H58" i="39"/>
  <c r="H59" i="39"/>
  <c r="H60" i="39"/>
  <c r="H61" i="39"/>
  <c r="H62" i="39"/>
  <c r="H63" i="39"/>
  <c r="H64" i="39"/>
  <c r="H65" i="39"/>
  <c r="H66" i="39"/>
  <c r="H67" i="39"/>
  <c r="H68" i="39"/>
  <c r="H69" i="39"/>
  <c r="H70" i="39"/>
  <c r="H71" i="39"/>
  <c r="H72" i="39"/>
  <c r="H73" i="39"/>
  <c r="H74" i="39"/>
  <c r="H75" i="39"/>
  <c r="H76" i="39"/>
  <c r="H77" i="39"/>
  <c r="H78" i="39"/>
  <c r="H79" i="39"/>
  <c r="H80" i="39"/>
  <c r="H81" i="39"/>
  <c r="H82" i="39"/>
  <c r="H83" i="39"/>
  <c r="H84" i="39"/>
  <c r="H85" i="39"/>
  <c r="H86" i="39"/>
  <c r="H87" i="39"/>
  <c r="H88" i="39"/>
  <c r="H89" i="39"/>
  <c r="H90" i="39"/>
  <c r="H91" i="39"/>
  <c r="H92" i="39"/>
  <c r="H93" i="39"/>
  <c r="H94" i="39"/>
  <c r="H95" i="39"/>
  <c r="H96" i="39"/>
  <c r="H97" i="39"/>
  <c r="H98" i="39"/>
  <c r="H99" i="39"/>
  <c r="H100" i="39"/>
  <c r="H101" i="39"/>
  <c r="H102" i="39"/>
  <c r="H103" i="39"/>
  <c r="H104" i="39"/>
  <c r="H105" i="39"/>
  <c r="H106" i="39"/>
  <c r="H107" i="39"/>
  <c r="H108" i="39"/>
  <c r="H109" i="39"/>
  <c r="H110" i="39"/>
  <c r="H111" i="39"/>
  <c r="H112" i="39"/>
  <c r="H113" i="39"/>
  <c r="H114" i="39"/>
  <c r="H115" i="39"/>
  <c r="H116" i="39"/>
  <c r="H117" i="39"/>
  <c r="H118" i="39"/>
  <c r="H119" i="39"/>
  <c r="H120" i="39"/>
  <c r="H121" i="39"/>
  <c r="H122" i="39"/>
  <c r="H123" i="39"/>
  <c r="H124" i="39"/>
  <c r="H125" i="39"/>
  <c r="H126" i="39"/>
  <c r="H127" i="39"/>
  <c r="H128" i="39"/>
  <c r="H129" i="39"/>
  <c r="H130" i="39"/>
  <c r="H131" i="39"/>
  <c r="H132" i="39"/>
  <c r="H133" i="39"/>
  <c r="H134" i="39"/>
  <c r="H135" i="39"/>
  <c r="H136" i="39"/>
  <c r="H137" i="39"/>
  <c r="H138" i="39"/>
  <c r="H139" i="39"/>
  <c r="H140" i="39"/>
  <c r="H141" i="39"/>
  <c r="H142" i="39"/>
  <c r="H143" i="39"/>
  <c r="H144" i="39"/>
  <c r="H145" i="39"/>
  <c r="H146" i="39"/>
  <c r="H147" i="39"/>
  <c r="H148" i="39"/>
  <c r="H149" i="39"/>
  <c r="H150" i="39"/>
  <c r="H151" i="39"/>
  <c r="H152" i="39"/>
  <c r="H153" i="39"/>
  <c r="H154" i="39"/>
  <c r="H155" i="39"/>
  <c r="H156" i="39"/>
  <c r="H157" i="39"/>
  <c r="H158" i="39"/>
  <c r="H159" i="39"/>
  <c r="H160" i="39"/>
  <c r="H161" i="39"/>
  <c r="H162" i="39"/>
  <c r="H163" i="39"/>
  <c r="H164" i="39"/>
  <c r="H165" i="39"/>
  <c r="H166" i="39"/>
  <c r="H167" i="39"/>
  <c r="H168" i="39"/>
  <c r="H169" i="39"/>
  <c r="H170" i="39"/>
  <c r="H171" i="39"/>
  <c r="H172" i="39"/>
  <c r="H173" i="39"/>
  <c r="H174" i="39"/>
  <c r="H175" i="39"/>
  <c r="H176" i="39"/>
  <c r="H177" i="39"/>
  <c r="H178" i="39"/>
  <c r="H179" i="39"/>
  <c r="H180" i="39"/>
  <c r="H181" i="39"/>
  <c r="H182" i="39"/>
  <c r="H183" i="39"/>
  <c r="H184" i="39"/>
  <c r="H185" i="39"/>
  <c r="H186" i="39"/>
  <c r="H187" i="39"/>
  <c r="H188" i="39"/>
  <c r="H189" i="39"/>
  <c r="H190" i="39"/>
  <c r="H191" i="39"/>
  <c r="H192" i="39"/>
  <c r="H193" i="39"/>
  <c r="H194" i="39"/>
  <c r="H195" i="39"/>
  <c r="H196" i="39"/>
  <c r="H197" i="39"/>
  <c r="H198" i="39"/>
  <c r="H199" i="39"/>
  <c r="H200" i="39"/>
  <c r="H201" i="39"/>
  <c r="H202" i="39"/>
  <c r="H203" i="39"/>
  <c r="H204" i="39"/>
  <c r="H205" i="39"/>
  <c r="H206" i="39"/>
  <c r="H207" i="39"/>
  <c r="H208" i="39"/>
  <c r="H209" i="39"/>
  <c r="H210" i="39"/>
  <c r="H211" i="39"/>
  <c r="H212" i="39"/>
  <c r="H213" i="39"/>
  <c r="H214" i="39"/>
  <c r="H215" i="39"/>
  <c r="H216" i="39"/>
  <c r="H217" i="39"/>
  <c r="H218" i="39"/>
  <c r="H219" i="39"/>
  <c r="H220" i="39"/>
  <c r="H221" i="39"/>
  <c r="H222" i="39"/>
  <c r="H14" i="39"/>
  <c r="B223" i="64"/>
  <c r="C223" i="55"/>
  <c r="D224" i="55"/>
  <c r="B224" i="56" s="1"/>
  <c r="R222" i="39"/>
  <c r="Q222" i="39"/>
  <c r="D222" i="39"/>
  <c r="G222" i="39"/>
  <c r="B222" i="39"/>
  <c r="B223" i="34"/>
  <c r="B224" i="34"/>
  <c r="E224" i="27"/>
  <c r="B224" i="24" s="1"/>
  <c r="E223" i="27"/>
  <c r="B223" i="24" s="1"/>
  <c r="B225" i="41" l="1"/>
  <c r="B223" i="41"/>
  <c r="B224" i="41"/>
  <c r="B222" i="41"/>
  <c r="B223" i="19"/>
  <c r="B222" i="19"/>
  <c r="C223" i="59"/>
  <c r="B222" i="68"/>
  <c r="B97" i="67"/>
  <c r="B97" i="68" s="1"/>
  <c r="B105" i="67"/>
  <c r="B105" i="68" s="1"/>
  <c r="B137" i="67"/>
  <c r="B137" i="68" s="1"/>
  <c r="B193" i="67"/>
  <c r="B193" i="68" s="1"/>
  <c r="B201" i="67"/>
  <c r="B201" i="68" s="1"/>
  <c r="B209" i="67"/>
  <c r="B209" i="68" s="1"/>
  <c r="B217" i="67"/>
  <c r="B217" i="68" s="1"/>
  <c r="D114" i="66"/>
  <c r="D115" i="66"/>
  <c r="D116" i="66"/>
  <c r="D117" i="66"/>
  <c r="D118" i="66"/>
  <c r="D119" i="66"/>
  <c r="D120" i="66"/>
  <c r="D121" i="66"/>
  <c r="D122" i="66"/>
  <c r="D123" i="66"/>
  <c r="D124" i="66"/>
  <c r="D125" i="66"/>
  <c r="D126" i="66"/>
  <c r="D127" i="66"/>
  <c r="D128" i="66"/>
  <c r="D129" i="66"/>
  <c r="D130" i="66"/>
  <c r="D131" i="66"/>
  <c r="D132" i="66"/>
  <c r="D133" i="66"/>
  <c r="D134" i="66"/>
  <c r="D135" i="66"/>
  <c r="D136" i="66"/>
  <c r="D137" i="66"/>
  <c r="D138" i="66"/>
  <c r="D139" i="66"/>
  <c r="D140" i="66"/>
  <c r="D141" i="66"/>
  <c r="D142" i="66"/>
  <c r="D143" i="66"/>
  <c r="D144" i="66"/>
  <c r="D145" i="66"/>
  <c r="D146" i="66"/>
  <c r="D147" i="66"/>
  <c r="D148" i="66"/>
  <c r="D149" i="66"/>
  <c r="D150" i="66"/>
  <c r="D151" i="66"/>
  <c r="D152" i="66"/>
  <c r="D153" i="66"/>
  <c r="D154" i="66"/>
  <c r="D155" i="66"/>
  <c r="D156" i="66"/>
  <c r="D157" i="66"/>
  <c r="D158" i="66"/>
  <c r="D159" i="66"/>
  <c r="D160" i="66"/>
  <c r="D161" i="66"/>
  <c r="D162" i="66"/>
  <c r="D163" i="66"/>
  <c r="D164" i="66"/>
  <c r="D165" i="66"/>
  <c r="D166" i="66"/>
  <c r="D167" i="66"/>
  <c r="D168" i="66"/>
  <c r="D169" i="66"/>
  <c r="D170" i="66"/>
  <c r="D171" i="66"/>
  <c r="D172" i="66"/>
  <c r="D173" i="66"/>
  <c r="D174" i="66"/>
  <c r="D175" i="66"/>
  <c r="D176" i="66"/>
  <c r="D177" i="66"/>
  <c r="D178" i="66"/>
  <c r="D179" i="66"/>
  <c r="D180" i="66"/>
  <c r="D181" i="66"/>
  <c r="D182" i="66"/>
  <c r="D183" i="66"/>
  <c r="D184" i="66"/>
  <c r="D185" i="66"/>
  <c r="D186" i="66"/>
  <c r="D187" i="66"/>
  <c r="D188" i="66"/>
  <c r="D189" i="66"/>
  <c r="D190" i="66"/>
  <c r="D191" i="66"/>
  <c r="D192" i="66"/>
  <c r="D193" i="66"/>
  <c r="D194" i="66"/>
  <c r="D195" i="66"/>
  <c r="D196" i="66"/>
  <c r="D197" i="66"/>
  <c r="D198" i="66"/>
  <c r="D199" i="66"/>
  <c r="D200" i="66"/>
  <c r="D201" i="66"/>
  <c r="D202" i="66"/>
  <c r="D203" i="66"/>
  <c r="D204" i="66"/>
  <c r="D205" i="66"/>
  <c r="D206" i="66"/>
  <c r="D207" i="66"/>
  <c r="D208" i="66"/>
  <c r="D209" i="66"/>
  <c r="D210" i="66"/>
  <c r="D211" i="66"/>
  <c r="D212" i="66"/>
  <c r="D213" i="66"/>
  <c r="D214" i="66"/>
  <c r="D215" i="66"/>
  <c r="D216" i="66"/>
  <c r="D217" i="66"/>
  <c r="D218" i="66"/>
  <c r="D219" i="66"/>
  <c r="D220" i="66"/>
  <c r="D221" i="66"/>
  <c r="D222" i="66"/>
  <c r="D223" i="66"/>
  <c r="D113" i="66"/>
  <c r="B222" i="66"/>
  <c r="B221" i="66"/>
  <c r="B220" i="66"/>
  <c r="B219" i="66"/>
  <c r="B218" i="66"/>
  <c r="B217" i="66"/>
  <c r="B216" i="66"/>
  <c r="B215" i="66"/>
  <c r="B214" i="66"/>
  <c r="B213" i="66"/>
  <c r="B212" i="66"/>
  <c r="B211" i="66"/>
  <c r="B210" i="66"/>
  <c r="B209" i="66"/>
  <c r="B208" i="66"/>
  <c r="B207" i="66"/>
  <c r="B206" i="66"/>
  <c r="B205" i="66"/>
  <c r="B204" i="66"/>
  <c r="B203" i="66"/>
  <c r="B202" i="66"/>
  <c r="B201" i="66"/>
  <c r="B200" i="66"/>
  <c r="B199" i="66"/>
  <c r="B198" i="66"/>
  <c r="B197" i="66"/>
  <c r="B196" i="66"/>
  <c r="B195" i="66"/>
  <c r="B194" i="66"/>
  <c r="B193" i="66"/>
  <c r="B192" i="66"/>
  <c r="B191" i="66"/>
  <c r="B190" i="66"/>
  <c r="B189" i="66"/>
  <c r="B188" i="66"/>
  <c r="B187" i="66"/>
  <c r="B186" i="66"/>
  <c r="B185" i="66"/>
  <c r="B184" i="66"/>
  <c r="B183" i="66"/>
  <c r="B182" i="66"/>
  <c r="B181" i="66"/>
  <c r="B180" i="66"/>
  <c r="B179" i="66"/>
  <c r="B178" i="66"/>
  <c r="B177" i="66"/>
  <c r="B176" i="66"/>
  <c r="B175" i="66"/>
  <c r="B174" i="66"/>
  <c r="B173" i="66"/>
  <c r="B172" i="66"/>
  <c r="B171" i="66"/>
  <c r="B170" i="66"/>
  <c r="B169" i="66"/>
  <c r="B168" i="66"/>
  <c r="B167" i="66"/>
  <c r="B166" i="66"/>
  <c r="B165" i="66"/>
  <c r="B164" i="66"/>
  <c r="B163" i="66"/>
  <c r="B162" i="66"/>
  <c r="B161" i="66"/>
  <c r="B160" i="66"/>
  <c r="B159" i="66"/>
  <c r="B158" i="66"/>
  <c r="B157" i="66"/>
  <c r="B156" i="66"/>
  <c r="B155" i="66"/>
  <c r="B154" i="66"/>
  <c r="B153" i="66"/>
  <c r="B152" i="66"/>
  <c r="B151" i="66"/>
  <c r="B150" i="66"/>
  <c r="B149" i="66"/>
  <c r="B148" i="66"/>
  <c r="B147" i="66"/>
  <c r="B146" i="66"/>
  <c r="B145" i="66"/>
  <c r="B144" i="66"/>
  <c r="B143" i="66"/>
  <c r="B142" i="66"/>
  <c r="B141" i="66"/>
  <c r="B140" i="66"/>
  <c r="B139" i="66"/>
  <c r="B138" i="66"/>
  <c r="B137" i="66"/>
  <c r="B136" i="66"/>
  <c r="B135" i="66"/>
  <c r="B134" i="66"/>
  <c r="B133" i="66"/>
  <c r="B132" i="66"/>
  <c r="B131" i="66"/>
  <c r="B130" i="66"/>
  <c r="B129" i="66"/>
  <c r="B128" i="66"/>
  <c r="B127" i="66"/>
  <c r="B126" i="66"/>
  <c r="B125" i="66"/>
  <c r="B124" i="66"/>
  <c r="B123" i="66"/>
  <c r="B122" i="66"/>
  <c r="B121" i="66"/>
  <c r="B120" i="66"/>
  <c r="B119" i="66"/>
  <c r="B118" i="66"/>
  <c r="B117" i="66"/>
  <c r="B116" i="66"/>
  <c r="B115" i="66"/>
  <c r="B114" i="66"/>
  <c r="B113" i="66"/>
  <c r="B112" i="66"/>
  <c r="D112" i="66" s="1"/>
  <c r="B111" i="66"/>
  <c r="D111" i="66" s="1"/>
  <c r="B110" i="66"/>
  <c r="D110" i="66" s="1"/>
  <c r="B109" i="66"/>
  <c r="D109" i="66" s="1"/>
  <c r="B108" i="66"/>
  <c r="D108" i="66" s="1"/>
  <c r="B107" i="66"/>
  <c r="D107" i="66" s="1"/>
  <c r="B106" i="66"/>
  <c r="D106" i="66" s="1"/>
  <c r="B105" i="66"/>
  <c r="D105" i="66" s="1"/>
  <c r="B104" i="66"/>
  <c r="D104" i="66" s="1"/>
  <c r="B103" i="66"/>
  <c r="D103" i="66" s="1"/>
  <c r="B102" i="66"/>
  <c r="D102" i="66" s="1"/>
  <c r="B101" i="66"/>
  <c r="D101" i="66" s="1"/>
  <c r="B100" i="66"/>
  <c r="D100" i="66" s="1"/>
  <c r="B99" i="66"/>
  <c r="D99" i="66" s="1"/>
  <c r="B98" i="66"/>
  <c r="D98" i="66" s="1"/>
  <c r="B97" i="66"/>
  <c r="D97" i="66" s="1"/>
  <c r="B96" i="66"/>
  <c r="D96" i="66" s="1"/>
  <c r="B95" i="66"/>
  <c r="D95" i="66" s="1"/>
  <c r="B94" i="66"/>
  <c r="D94" i="66" s="1"/>
  <c r="B93" i="66"/>
  <c r="D93" i="66" s="1"/>
  <c r="B92" i="66"/>
  <c r="D92" i="66" s="1"/>
  <c r="B91" i="66"/>
  <c r="D91" i="66" s="1"/>
  <c r="B90" i="66"/>
  <c r="D90" i="66" s="1"/>
  <c r="B89" i="66"/>
  <c r="D89" i="66" s="1"/>
  <c r="B88" i="66"/>
  <c r="D88" i="66" s="1"/>
  <c r="B87" i="66"/>
  <c r="D87" i="66" s="1"/>
  <c r="B86" i="66"/>
  <c r="D86" i="66" s="1"/>
  <c r="B85" i="66"/>
  <c r="D85" i="66" s="1"/>
  <c r="B84" i="66"/>
  <c r="D84" i="66" s="1"/>
  <c r="B83" i="66"/>
  <c r="D83" i="66" s="1"/>
  <c r="B82" i="66"/>
  <c r="D82" i="66" s="1"/>
  <c r="B81" i="66"/>
  <c r="D81" i="66" s="1"/>
  <c r="B80" i="66"/>
  <c r="D80" i="66" s="1"/>
  <c r="B79" i="66"/>
  <c r="D79" i="66" s="1"/>
  <c r="B78" i="66"/>
  <c r="D78" i="66" s="1"/>
  <c r="B77" i="66"/>
  <c r="D77" i="66" s="1"/>
  <c r="B76" i="66"/>
  <c r="D76" i="66" s="1"/>
  <c r="B75" i="66"/>
  <c r="D75" i="66" s="1"/>
  <c r="B74" i="66"/>
  <c r="D74" i="66" s="1"/>
  <c r="B73" i="66"/>
  <c r="D73" i="66" s="1"/>
  <c r="B72" i="66"/>
  <c r="D72" i="66" s="1"/>
  <c r="B71" i="66"/>
  <c r="D71" i="66" s="1"/>
  <c r="B70" i="66"/>
  <c r="D70" i="66" s="1"/>
  <c r="B69" i="66"/>
  <c r="D69" i="66" s="1"/>
  <c r="B68" i="66"/>
  <c r="D68" i="66" s="1"/>
  <c r="B67" i="66"/>
  <c r="D67" i="66" s="1"/>
  <c r="B66" i="66"/>
  <c r="D66" i="66" s="1"/>
  <c r="B65" i="66"/>
  <c r="D65" i="66" s="1"/>
  <c r="B64" i="66"/>
  <c r="D64" i="66" s="1"/>
  <c r="B63" i="66"/>
  <c r="D63" i="66" s="1"/>
  <c r="B62" i="66"/>
  <c r="D62" i="66" s="1"/>
  <c r="B61" i="66"/>
  <c r="D61" i="66" s="1"/>
  <c r="B60" i="66"/>
  <c r="D60" i="66" s="1"/>
  <c r="B59" i="66"/>
  <c r="D59" i="66" s="1"/>
  <c r="B58" i="66"/>
  <c r="D58" i="66" s="1"/>
  <c r="B57" i="66"/>
  <c r="D57" i="66" s="1"/>
  <c r="B56" i="66"/>
  <c r="D56" i="66" s="1"/>
  <c r="B55" i="66"/>
  <c r="D55" i="66" s="1"/>
  <c r="B54" i="66"/>
  <c r="D54" i="66" s="1"/>
  <c r="B53" i="66"/>
  <c r="D53" i="66" s="1"/>
  <c r="B52" i="66"/>
  <c r="D52" i="66" s="1"/>
  <c r="B51" i="66"/>
  <c r="D51" i="66" s="1"/>
  <c r="B50" i="66"/>
  <c r="D50" i="66" s="1"/>
  <c r="B49" i="66"/>
  <c r="D49" i="66" s="1"/>
  <c r="B48" i="66"/>
  <c r="D48" i="66" s="1"/>
  <c r="B47" i="66"/>
  <c r="D47" i="66" s="1"/>
  <c r="B46" i="66"/>
  <c r="D46" i="66" s="1"/>
  <c r="B45" i="66"/>
  <c r="D45" i="66" s="1"/>
  <c r="B44" i="66"/>
  <c r="D44" i="66" s="1"/>
  <c r="B43" i="66"/>
  <c r="D43" i="66" s="1"/>
  <c r="B42" i="66"/>
  <c r="D42" i="66" s="1"/>
  <c r="B41" i="66"/>
  <c r="D41" i="66" s="1"/>
  <c r="B40" i="66"/>
  <c r="D40" i="66" s="1"/>
  <c r="B39" i="66"/>
  <c r="D39" i="66" s="1"/>
  <c r="B38" i="66"/>
  <c r="D38" i="66" s="1"/>
  <c r="B37" i="66"/>
  <c r="D37" i="66" s="1"/>
  <c r="B36" i="66"/>
  <c r="D36" i="66" s="1"/>
  <c r="B35" i="66"/>
  <c r="D35" i="66" s="1"/>
  <c r="B34" i="66"/>
  <c r="D34" i="66" s="1"/>
  <c r="B33" i="66"/>
  <c r="D33" i="66" s="1"/>
  <c r="B32" i="66"/>
  <c r="D32" i="66" s="1"/>
  <c r="B31" i="66"/>
  <c r="D31" i="66" s="1"/>
  <c r="B30" i="66"/>
  <c r="D30" i="66" s="1"/>
  <c r="B29" i="66"/>
  <c r="D29" i="66" s="1"/>
  <c r="B28" i="66"/>
  <c r="D28" i="66" s="1"/>
  <c r="B27" i="66"/>
  <c r="D27" i="66" s="1"/>
  <c r="B26" i="66"/>
  <c r="D26" i="66" s="1"/>
  <c r="B25" i="66"/>
  <c r="D25" i="66" s="1"/>
  <c r="B24" i="66"/>
  <c r="D24" i="66" s="1"/>
  <c r="B23" i="66"/>
  <c r="D23" i="66" s="1"/>
  <c r="B22" i="66"/>
  <c r="D22" i="66" s="1"/>
  <c r="B21" i="66"/>
  <c r="D21" i="66" s="1"/>
  <c r="B20" i="66"/>
  <c r="D20" i="66" s="1"/>
  <c r="B19" i="66"/>
  <c r="D19" i="66" s="1"/>
  <c r="B18" i="66"/>
  <c r="D18" i="66" s="1"/>
  <c r="B17" i="66"/>
  <c r="D17" i="66" s="1"/>
  <c r="B16" i="66"/>
  <c r="D16" i="66" s="1"/>
  <c r="B15" i="66"/>
  <c r="D15" i="66" s="1"/>
  <c r="B14" i="66"/>
  <c r="D14" i="66" s="1"/>
  <c r="B13" i="66"/>
  <c r="D13" i="66" s="1"/>
  <c r="B12" i="66"/>
  <c r="D12" i="66" s="1"/>
  <c r="B11" i="66"/>
  <c r="D11" i="66" s="1"/>
  <c r="B10" i="66"/>
  <c r="D10" i="66" s="1"/>
  <c r="B9" i="66"/>
  <c r="D9" i="66" s="1"/>
  <c r="B8" i="66"/>
  <c r="D8" i="66" s="1"/>
  <c r="B7" i="66"/>
  <c r="D7" i="66" s="1"/>
  <c r="B6" i="66"/>
  <c r="D6" i="66" s="1"/>
  <c r="B5" i="66"/>
  <c r="D5" i="66" s="1"/>
  <c r="B4" i="66"/>
  <c r="D4" i="66" s="1"/>
  <c r="B3" i="66"/>
  <c r="D3" i="66" s="1"/>
  <c r="B2" i="66"/>
  <c r="D2" i="66" s="1"/>
  <c r="B95" i="67"/>
  <c r="B95" i="68" s="1"/>
  <c r="B96" i="67"/>
  <c r="B96" i="68" s="1"/>
  <c r="B98" i="67"/>
  <c r="B98" i="68" s="1"/>
  <c r="B99" i="67"/>
  <c r="B99" i="68" s="1"/>
  <c r="B100" i="67"/>
  <c r="B100" i="68" s="1"/>
  <c r="B101" i="67"/>
  <c r="B101" i="68" s="1"/>
  <c r="B102" i="67"/>
  <c r="B102" i="68" s="1"/>
  <c r="B103" i="67"/>
  <c r="B103" i="68" s="1"/>
  <c r="B104" i="67"/>
  <c r="B104" i="68" s="1"/>
  <c r="B106" i="67"/>
  <c r="B106" i="68" s="1"/>
  <c r="B107" i="67"/>
  <c r="B107" i="68" s="1"/>
  <c r="B108" i="67"/>
  <c r="B108" i="68" s="1"/>
  <c r="B109" i="67"/>
  <c r="B109" i="68" s="1"/>
  <c r="B110" i="67"/>
  <c r="B110" i="68" s="1"/>
  <c r="B111" i="67"/>
  <c r="B111" i="68" s="1"/>
  <c r="B112" i="67"/>
  <c r="B112" i="68" s="1"/>
  <c r="B113" i="67"/>
  <c r="B113" i="68" s="1"/>
  <c r="B114" i="67"/>
  <c r="B114" i="68" s="1"/>
  <c r="B115" i="67"/>
  <c r="B115" i="68" s="1"/>
  <c r="B116" i="67"/>
  <c r="B116" i="68" s="1"/>
  <c r="B117" i="67"/>
  <c r="B117" i="68" s="1"/>
  <c r="B118" i="67"/>
  <c r="B118" i="68" s="1"/>
  <c r="B119" i="67"/>
  <c r="B119" i="68" s="1"/>
  <c r="B120" i="67"/>
  <c r="B120" i="68" s="1"/>
  <c r="B121" i="67"/>
  <c r="B121" i="68" s="1"/>
  <c r="B122" i="67"/>
  <c r="B122" i="68" s="1"/>
  <c r="B123" i="67"/>
  <c r="B123" i="68" s="1"/>
  <c r="B124" i="67"/>
  <c r="B124" i="68" s="1"/>
  <c r="B125" i="67"/>
  <c r="B125" i="68" s="1"/>
  <c r="B126" i="67"/>
  <c r="B126" i="68" s="1"/>
  <c r="B127" i="67"/>
  <c r="B127" i="68" s="1"/>
  <c r="B128" i="67"/>
  <c r="B128" i="68" s="1"/>
  <c r="B129" i="67"/>
  <c r="B129" i="68" s="1"/>
  <c r="B130" i="67"/>
  <c r="B130" i="68" s="1"/>
  <c r="B131" i="67"/>
  <c r="B131" i="68" s="1"/>
  <c r="B132" i="67"/>
  <c r="B132" i="68" s="1"/>
  <c r="B133" i="67"/>
  <c r="B133" i="68" s="1"/>
  <c r="B134" i="67"/>
  <c r="B134" i="68" s="1"/>
  <c r="B135" i="67"/>
  <c r="B135" i="68" s="1"/>
  <c r="B136" i="67"/>
  <c r="B136" i="68" s="1"/>
  <c r="B138" i="67"/>
  <c r="B138" i="68" s="1"/>
  <c r="B139" i="67"/>
  <c r="B139" i="68" s="1"/>
  <c r="B140" i="67"/>
  <c r="B140" i="68" s="1"/>
  <c r="B141" i="67"/>
  <c r="B141" i="68" s="1"/>
  <c r="B142" i="67"/>
  <c r="B142" i="68" s="1"/>
  <c r="B143" i="67"/>
  <c r="B143" i="68" s="1"/>
  <c r="B144" i="67"/>
  <c r="B144" i="68" s="1"/>
  <c r="B145" i="67"/>
  <c r="B145" i="68" s="1"/>
  <c r="B146" i="67"/>
  <c r="B146" i="68" s="1"/>
  <c r="B147" i="67"/>
  <c r="B147" i="68" s="1"/>
  <c r="B148" i="67"/>
  <c r="B148" i="68" s="1"/>
  <c r="B149" i="67"/>
  <c r="B149" i="68" s="1"/>
  <c r="B150" i="67"/>
  <c r="B150" i="68" s="1"/>
  <c r="B151" i="67"/>
  <c r="B151" i="68" s="1"/>
  <c r="B152" i="67"/>
  <c r="B152" i="68" s="1"/>
  <c r="B153" i="67"/>
  <c r="B153" i="68" s="1"/>
  <c r="B154" i="67"/>
  <c r="B154" i="68" s="1"/>
  <c r="B155" i="67"/>
  <c r="B155" i="68" s="1"/>
  <c r="B156" i="67"/>
  <c r="B156" i="68" s="1"/>
  <c r="B157" i="67"/>
  <c r="B157" i="68" s="1"/>
  <c r="B158" i="67"/>
  <c r="B158" i="68" s="1"/>
  <c r="B159" i="67"/>
  <c r="B159" i="68" s="1"/>
  <c r="B160" i="67"/>
  <c r="B160" i="68" s="1"/>
  <c r="B161" i="67"/>
  <c r="B161" i="68" s="1"/>
  <c r="B162" i="67"/>
  <c r="B162" i="68" s="1"/>
  <c r="B163" i="67"/>
  <c r="B163" i="68" s="1"/>
  <c r="B164" i="67"/>
  <c r="B164" i="68" s="1"/>
  <c r="B165" i="67"/>
  <c r="B165" i="68" s="1"/>
  <c r="B166" i="67"/>
  <c r="B166" i="68" s="1"/>
  <c r="B167" i="67"/>
  <c r="B167" i="68" s="1"/>
  <c r="B168" i="67"/>
  <c r="B168" i="68" s="1"/>
  <c r="B169" i="67"/>
  <c r="B169" i="68" s="1"/>
  <c r="B170" i="67"/>
  <c r="B170" i="68" s="1"/>
  <c r="B171" i="67"/>
  <c r="B171" i="68" s="1"/>
  <c r="B172" i="67"/>
  <c r="B172" i="68" s="1"/>
  <c r="B173" i="67"/>
  <c r="B173" i="68" s="1"/>
  <c r="B174" i="67"/>
  <c r="B174" i="68" s="1"/>
  <c r="B175" i="67"/>
  <c r="B175" i="68" s="1"/>
  <c r="B176" i="67"/>
  <c r="B176" i="68" s="1"/>
  <c r="B177" i="67"/>
  <c r="B177" i="68" s="1"/>
  <c r="B178" i="67"/>
  <c r="B178" i="68" s="1"/>
  <c r="B179" i="67"/>
  <c r="B179" i="68" s="1"/>
  <c r="B180" i="67"/>
  <c r="B180" i="68" s="1"/>
  <c r="B181" i="67"/>
  <c r="B181" i="68" s="1"/>
  <c r="B182" i="67"/>
  <c r="B182" i="68" s="1"/>
  <c r="B183" i="67"/>
  <c r="B183" i="68" s="1"/>
  <c r="B184" i="67"/>
  <c r="B184" i="68" s="1"/>
  <c r="B185" i="67"/>
  <c r="B185" i="68" s="1"/>
  <c r="B186" i="67"/>
  <c r="B186" i="68" s="1"/>
  <c r="B187" i="67"/>
  <c r="B187" i="68" s="1"/>
  <c r="B188" i="67"/>
  <c r="B188" i="68" s="1"/>
  <c r="B189" i="67"/>
  <c r="B189" i="68" s="1"/>
  <c r="B190" i="67"/>
  <c r="B190" i="68" s="1"/>
  <c r="B191" i="67"/>
  <c r="B191" i="68" s="1"/>
  <c r="B192" i="67"/>
  <c r="B192" i="68" s="1"/>
  <c r="B194" i="67"/>
  <c r="B194" i="68" s="1"/>
  <c r="B195" i="67"/>
  <c r="B195" i="68" s="1"/>
  <c r="B196" i="67"/>
  <c r="B196" i="68" s="1"/>
  <c r="B197" i="67"/>
  <c r="B197" i="68" s="1"/>
  <c r="B198" i="67"/>
  <c r="B198" i="68" s="1"/>
  <c r="B199" i="67"/>
  <c r="B199" i="68" s="1"/>
  <c r="B200" i="67"/>
  <c r="B200" i="68" s="1"/>
  <c r="B202" i="67"/>
  <c r="B202" i="68" s="1"/>
  <c r="B203" i="67"/>
  <c r="B203" i="68" s="1"/>
  <c r="B204" i="67"/>
  <c r="B204" i="68" s="1"/>
  <c r="B205" i="67"/>
  <c r="B205" i="68" s="1"/>
  <c r="B206" i="67"/>
  <c r="B206" i="68" s="1"/>
  <c r="B207" i="67"/>
  <c r="B207" i="68" s="1"/>
  <c r="B208" i="67"/>
  <c r="B208" i="68" s="1"/>
  <c r="B210" i="67"/>
  <c r="B210" i="68" s="1"/>
  <c r="B211" i="67"/>
  <c r="B211" i="68" s="1"/>
  <c r="B212" i="67"/>
  <c r="B212" i="68" s="1"/>
  <c r="B213" i="67"/>
  <c r="B213" i="68" s="1"/>
  <c r="B214" i="67"/>
  <c r="B214" i="68" s="1"/>
  <c r="B215" i="67"/>
  <c r="B215" i="68" s="1"/>
  <c r="B216" i="67"/>
  <c r="B216" i="68" s="1"/>
  <c r="B218" i="67"/>
  <c r="B218" i="68" s="1"/>
  <c r="B219" i="67"/>
  <c r="B219" i="68" s="1"/>
  <c r="B220" i="67"/>
  <c r="B220" i="68" s="1"/>
  <c r="B221" i="67"/>
  <c r="B221" i="68" s="1"/>
  <c r="B3" i="64"/>
  <c r="D3" i="64" s="1"/>
  <c r="B3" i="67" s="1"/>
  <c r="B3" i="68" s="1"/>
  <c r="B4" i="64"/>
  <c r="D4" i="64" s="1"/>
  <c r="B4" i="67" s="1"/>
  <c r="B4" i="68" s="1"/>
  <c r="B5" i="64"/>
  <c r="D5" i="64" s="1"/>
  <c r="B5" i="67" s="1"/>
  <c r="B5" i="68" s="1"/>
  <c r="B6" i="64"/>
  <c r="D6" i="64" s="1"/>
  <c r="B6" i="67" s="1"/>
  <c r="B6" i="68" s="1"/>
  <c r="B7" i="64"/>
  <c r="D7" i="64" s="1"/>
  <c r="B7" i="67" s="1"/>
  <c r="B7" i="68" s="1"/>
  <c r="B8" i="64"/>
  <c r="D8" i="64" s="1"/>
  <c r="B8" i="67" s="1"/>
  <c r="B8" i="68" s="1"/>
  <c r="B9" i="64"/>
  <c r="D9" i="64" s="1"/>
  <c r="B9" i="67" s="1"/>
  <c r="B9" i="68" s="1"/>
  <c r="B10" i="64"/>
  <c r="D10" i="64" s="1"/>
  <c r="B10" i="67" s="1"/>
  <c r="B10" i="68" s="1"/>
  <c r="B11" i="64"/>
  <c r="D11" i="64" s="1"/>
  <c r="B11" i="67" s="1"/>
  <c r="B11" i="68" s="1"/>
  <c r="B12" i="64"/>
  <c r="D12" i="64" s="1"/>
  <c r="B12" i="67" s="1"/>
  <c r="B12" i="68" s="1"/>
  <c r="B13" i="64"/>
  <c r="D13" i="64" s="1"/>
  <c r="B13" i="67" s="1"/>
  <c r="B13" i="68" s="1"/>
  <c r="B14" i="64"/>
  <c r="D14" i="64" s="1"/>
  <c r="B14" i="67" s="1"/>
  <c r="B14" i="68" s="1"/>
  <c r="B15" i="64"/>
  <c r="D15" i="64" s="1"/>
  <c r="B15" i="67" s="1"/>
  <c r="B15" i="68" s="1"/>
  <c r="B16" i="64"/>
  <c r="D16" i="64" s="1"/>
  <c r="B16" i="67" s="1"/>
  <c r="B16" i="68" s="1"/>
  <c r="B17" i="64"/>
  <c r="D17" i="64" s="1"/>
  <c r="B17" i="67" s="1"/>
  <c r="B17" i="68" s="1"/>
  <c r="B18" i="64"/>
  <c r="D18" i="64" s="1"/>
  <c r="B18" i="67" s="1"/>
  <c r="B18" i="68" s="1"/>
  <c r="B19" i="64"/>
  <c r="D19" i="64" s="1"/>
  <c r="B19" i="67" s="1"/>
  <c r="B19" i="68" s="1"/>
  <c r="B20" i="64"/>
  <c r="D20" i="64" s="1"/>
  <c r="B20" i="67" s="1"/>
  <c r="B20" i="68" s="1"/>
  <c r="B21" i="64"/>
  <c r="D21" i="64" s="1"/>
  <c r="B21" i="67" s="1"/>
  <c r="B21" i="68" s="1"/>
  <c r="B22" i="64"/>
  <c r="D22" i="64" s="1"/>
  <c r="B22" i="67" s="1"/>
  <c r="B22" i="68" s="1"/>
  <c r="B23" i="64"/>
  <c r="D23" i="64" s="1"/>
  <c r="B23" i="67" s="1"/>
  <c r="B23" i="68" s="1"/>
  <c r="B24" i="64"/>
  <c r="D24" i="64" s="1"/>
  <c r="B24" i="67" s="1"/>
  <c r="B24" i="68" s="1"/>
  <c r="B25" i="64"/>
  <c r="D25" i="64" s="1"/>
  <c r="B25" i="67" s="1"/>
  <c r="B25" i="68" s="1"/>
  <c r="B26" i="64"/>
  <c r="D26" i="64" s="1"/>
  <c r="B26" i="67" s="1"/>
  <c r="B26" i="68" s="1"/>
  <c r="B27" i="64"/>
  <c r="D27" i="64" s="1"/>
  <c r="B27" i="67" s="1"/>
  <c r="B27" i="68" s="1"/>
  <c r="B28" i="64"/>
  <c r="D28" i="64" s="1"/>
  <c r="B28" i="67" s="1"/>
  <c r="B28" i="68" s="1"/>
  <c r="B29" i="64"/>
  <c r="D29" i="64" s="1"/>
  <c r="B29" i="67" s="1"/>
  <c r="B29" i="68" s="1"/>
  <c r="B30" i="64"/>
  <c r="D30" i="64" s="1"/>
  <c r="B30" i="67" s="1"/>
  <c r="B30" i="68" s="1"/>
  <c r="B31" i="64"/>
  <c r="D31" i="64" s="1"/>
  <c r="B31" i="67" s="1"/>
  <c r="B31" i="68" s="1"/>
  <c r="B32" i="64"/>
  <c r="D32" i="64" s="1"/>
  <c r="B32" i="67" s="1"/>
  <c r="B32" i="68" s="1"/>
  <c r="B33" i="64"/>
  <c r="D33" i="64" s="1"/>
  <c r="B33" i="67" s="1"/>
  <c r="B33" i="68" s="1"/>
  <c r="B34" i="64"/>
  <c r="D34" i="64" s="1"/>
  <c r="B34" i="67" s="1"/>
  <c r="B34" i="68" s="1"/>
  <c r="B35" i="64"/>
  <c r="D35" i="64" s="1"/>
  <c r="B35" i="67" s="1"/>
  <c r="B35" i="68" s="1"/>
  <c r="B36" i="64"/>
  <c r="D36" i="64" s="1"/>
  <c r="B36" i="67" s="1"/>
  <c r="B36" i="68" s="1"/>
  <c r="B37" i="64"/>
  <c r="D37" i="64" s="1"/>
  <c r="B37" i="67" s="1"/>
  <c r="B37" i="68" s="1"/>
  <c r="B38" i="64"/>
  <c r="D38" i="64" s="1"/>
  <c r="B38" i="67" s="1"/>
  <c r="B38" i="68" s="1"/>
  <c r="B39" i="64"/>
  <c r="D39" i="64" s="1"/>
  <c r="B39" i="67" s="1"/>
  <c r="B39" i="68" s="1"/>
  <c r="B40" i="64"/>
  <c r="D40" i="64" s="1"/>
  <c r="B40" i="67" s="1"/>
  <c r="B40" i="68" s="1"/>
  <c r="B41" i="64"/>
  <c r="D41" i="64" s="1"/>
  <c r="B41" i="67" s="1"/>
  <c r="B41" i="68" s="1"/>
  <c r="B42" i="64"/>
  <c r="D42" i="64" s="1"/>
  <c r="B42" i="67" s="1"/>
  <c r="B42" i="68" s="1"/>
  <c r="B43" i="64"/>
  <c r="D43" i="64" s="1"/>
  <c r="B43" i="67" s="1"/>
  <c r="B43" i="68" s="1"/>
  <c r="B44" i="64"/>
  <c r="D44" i="64" s="1"/>
  <c r="B44" i="67" s="1"/>
  <c r="B44" i="68" s="1"/>
  <c r="B45" i="64"/>
  <c r="D45" i="64" s="1"/>
  <c r="B45" i="67" s="1"/>
  <c r="B45" i="68" s="1"/>
  <c r="B46" i="64"/>
  <c r="D46" i="64" s="1"/>
  <c r="B46" i="67" s="1"/>
  <c r="B46" i="68" s="1"/>
  <c r="B47" i="64"/>
  <c r="D47" i="64" s="1"/>
  <c r="B47" i="67" s="1"/>
  <c r="B47" i="68" s="1"/>
  <c r="B48" i="64"/>
  <c r="D48" i="64" s="1"/>
  <c r="B48" i="67" s="1"/>
  <c r="B48" i="68" s="1"/>
  <c r="B49" i="64"/>
  <c r="D49" i="64" s="1"/>
  <c r="B49" i="67" s="1"/>
  <c r="B49" i="68" s="1"/>
  <c r="B50" i="64"/>
  <c r="D50" i="64" s="1"/>
  <c r="B50" i="67" s="1"/>
  <c r="B50" i="68" s="1"/>
  <c r="B51" i="64"/>
  <c r="D51" i="64" s="1"/>
  <c r="B51" i="67" s="1"/>
  <c r="B51" i="68" s="1"/>
  <c r="B52" i="64"/>
  <c r="D52" i="64" s="1"/>
  <c r="B52" i="67" s="1"/>
  <c r="B52" i="68" s="1"/>
  <c r="B53" i="64"/>
  <c r="D53" i="64" s="1"/>
  <c r="B53" i="67" s="1"/>
  <c r="B53" i="68" s="1"/>
  <c r="B54" i="64"/>
  <c r="D54" i="64" s="1"/>
  <c r="B54" i="67" s="1"/>
  <c r="B54" i="68" s="1"/>
  <c r="B55" i="64"/>
  <c r="D55" i="64" s="1"/>
  <c r="B55" i="67" s="1"/>
  <c r="B55" i="68" s="1"/>
  <c r="B56" i="64"/>
  <c r="D56" i="64" s="1"/>
  <c r="B56" i="67" s="1"/>
  <c r="B56" i="68" s="1"/>
  <c r="B57" i="64"/>
  <c r="D57" i="64" s="1"/>
  <c r="B57" i="67" s="1"/>
  <c r="B57" i="68" s="1"/>
  <c r="B58" i="64"/>
  <c r="D58" i="64" s="1"/>
  <c r="B58" i="67" s="1"/>
  <c r="B58" i="68" s="1"/>
  <c r="B59" i="64"/>
  <c r="D59" i="64" s="1"/>
  <c r="B59" i="67" s="1"/>
  <c r="B59" i="68" s="1"/>
  <c r="B60" i="64"/>
  <c r="D60" i="64" s="1"/>
  <c r="B60" i="67" s="1"/>
  <c r="B60" i="68" s="1"/>
  <c r="B61" i="64"/>
  <c r="D61" i="64" s="1"/>
  <c r="B61" i="67" s="1"/>
  <c r="B61" i="68" s="1"/>
  <c r="B62" i="64"/>
  <c r="D62" i="64" s="1"/>
  <c r="B62" i="67" s="1"/>
  <c r="B62" i="68" s="1"/>
  <c r="B63" i="64"/>
  <c r="D63" i="64" s="1"/>
  <c r="B63" i="67" s="1"/>
  <c r="B63" i="68" s="1"/>
  <c r="B64" i="64"/>
  <c r="D64" i="64" s="1"/>
  <c r="B64" i="67" s="1"/>
  <c r="B64" i="68" s="1"/>
  <c r="B65" i="64"/>
  <c r="D65" i="64" s="1"/>
  <c r="B65" i="67" s="1"/>
  <c r="B65" i="68" s="1"/>
  <c r="B66" i="64"/>
  <c r="D66" i="64" s="1"/>
  <c r="B66" i="67" s="1"/>
  <c r="B66" i="68" s="1"/>
  <c r="B67" i="64"/>
  <c r="D67" i="64" s="1"/>
  <c r="B67" i="67" s="1"/>
  <c r="B67" i="68" s="1"/>
  <c r="B68" i="64"/>
  <c r="D68" i="64" s="1"/>
  <c r="B68" i="67" s="1"/>
  <c r="B68" i="68" s="1"/>
  <c r="B69" i="64"/>
  <c r="D69" i="64" s="1"/>
  <c r="B69" i="67" s="1"/>
  <c r="B69" i="68" s="1"/>
  <c r="B70" i="64"/>
  <c r="D70" i="64" s="1"/>
  <c r="B70" i="67" s="1"/>
  <c r="B70" i="68" s="1"/>
  <c r="B71" i="64"/>
  <c r="D71" i="64" s="1"/>
  <c r="B71" i="67" s="1"/>
  <c r="B71" i="68" s="1"/>
  <c r="B72" i="64"/>
  <c r="D72" i="64" s="1"/>
  <c r="B72" i="67" s="1"/>
  <c r="B72" i="68" s="1"/>
  <c r="B73" i="64"/>
  <c r="D73" i="64" s="1"/>
  <c r="B73" i="67" s="1"/>
  <c r="B73" i="68" s="1"/>
  <c r="B74" i="64"/>
  <c r="D74" i="64" s="1"/>
  <c r="B74" i="67" s="1"/>
  <c r="B74" i="68" s="1"/>
  <c r="B75" i="64"/>
  <c r="D75" i="64" s="1"/>
  <c r="B75" i="67" s="1"/>
  <c r="B75" i="68" s="1"/>
  <c r="B76" i="64"/>
  <c r="D76" i="64" s="1"/>
  <c r="B76" i="67" s="1"/>
  <c r="B76" i="68" s="1"/>
  <c r="B77" i="64"/>
  <c r="D77" i="64" s="1"/>
  <c r="B77" i="67" s="1"/>
  <c r="B77" i="68" s="1"/>
  <c r="B78" i="64"/>
  <c r="D78" i="64" s="1"/>
  <c r="B78" i="67" s="1"/>
  <c r="B78" i="68" s="1"/>
  <c r="B79" i="64"/>
  <c r="D79" i="64" s="1"/>
  <c r="B79" i="67" s="1"/>
  <c r="B79" i="68" s="1"/>
  <c r="B80" i="64"/>
  <c r="D80" i="64" s="1"/>
  <c r="B80" i="67" s="1"/>
  <c r="B80" i="68" s="1"/>
  <c r="B81" i="64"/>
  <c r="D81" i="64" s="1"/>
  <c r="B81" i="67" s="1"/>
  <c r="B81" i="68" s="1"/>
  <c r="B82" i="64"/>
  <c r="D82" i="64" s="1"/>
  <c r="B82" i="67" s="1"/>
  <c r="B82" i="68" s="1"/>
  <c r="B83" i="64"/>
  <c r="D83" i="64" s="1"/>
  <c r="B83" i="67" s="1"/>
  <c r="B83" i="68" s="1"/>
  <c r="B84" i="64"/>
  <c r="D84" i="64" s="1"/>
  <c r="B84" i="67" s="1"/>
  <c r="B84" i="68" s="1"/>
  <c r="B85" i="64"/>
  <c r="D85" i="64" s="1"/>
  <c r="B85" i="67" s="1"/>
  <c r="B85" i="68" s="1"/>
  <c r="B86" i="64"/>
  <c r="D86" i="64" s="1"/>
  <c r="B86" i="67" s="1"/>
  <c r="B86" i="68" s="1"/>
  <c r="B87" i="64"/>
  <c r="D87" i="64" s="1"/>
  <c r="B87" i="67" s="1"/>
  <c r="B87" i="68" s="1"/>
  <c r="B88" i="64"/>
  <c r="D88" i="64" s="1"/>
  <c r="B88" i="67" s="1"/>
  <c r="B88" i="68" s="1"/>
  <c r="B89" i="64"/>
  <c r="D89" i="64" s="1"/>
  <c r="B89" i="67" s="1"/>
  <c r="B89" i="68" s="1"/>
  <c r="B90" i="64"/>
  <c r="D90" i="64" s="1"/>
  <c r="B90" i="67" s="1"/>
  <c r="B90" i="68" s="1"/>
  <c r="B91" i="64"/>
  <c r="D91" i="64" s="1"/>
  <c r="B91" i="67" s="1"/>
  <c r="B91" i="68" s="1"/>
  <c r="B92" i="64"/>
  <c r="D92" i="64" s="1"/>
  <c r="B92" i="67" s="1"/>
  <c r="B92" i="68" s="1"/>
  <c r="B93" i="64"/>
  <c r="D93" i="64" s="1"/>
  <c r="B93" i="67" s="1"/>
  <c r="B93" i="68" s="1"/>
  <c r="B94" i="64"/>
  <c r="D94" i="64" s="1"/>
  <c r="B94" i="67" s="1"/>
  <c r="B94" i="68" s="1"/>
  <c r="B95" i="64"/>
  <c r="B96" i="64"/>
  <c r="B97" i="64"/>
  <c r="B98" i="64"/>
  <c r="B99" i="64"/>
  <c r="B100" i="64"/>
  <c r="B101" i="64"/>
  <c r="B102" i="64"/>
  <c r="B103" i="64"/>
  <c r="B104" i="64"/>
  <c r="B105" i="64"/>
  <c r="B106" i="64"/>
  <c r="B107" i="64"/>
  <c r="B108" i="64"/>
  <c r="B109" i="64"/>
  <c r="B110" i="64"/>
  <c r="B111" i="64"/>
  <c r="B112" i="64"/>
  <c r="B113" i="64"/>
  <c r="B114" i="64"/>
  <c r="B115" i="64"/>
  <c r="B116" i="64"/>
  <c r="B117" i="64"/>
  <c r="B118" i="64"/>
  <c r="B119" i="64"/>
  <c r="B120" i="64"/>
  <c r="B121" i="64"/>
  <c r="B122" i="64"/>
  <c r="B123" i="64"/>
  <c r="B124" i="64"/>
  <c r="B125" i="64"/>
  <c r="B126" i="64"/>
  <c r="B127" i="64"/>
  <c r="B128" i="64"/>
  <c r="B129" i="64"/>
  <c r="B130" i="64"/>
  <c r="B131" i="64"/>
  <c r="B132" i="64"/>
  <c r="B133" i="64"/>
  <c r="B134" i="64"/>
  <c r="B135" i="64"/>
  <c r="B136" i="64"/>
  <c r="B137" i="64"/>
  <c r="B138" i="64"/>
  <c r="B139" i="64"/>
  <c r="B140" i="64"/>
  <c r="B141" i="64"/>
  <c r="B142" i="64"/>
  <c r="B143" i="64"/>
  <c r="B144" i="64"/>
  <c r="B145" i="64"/>
  <c r="B146" i="64"/>
  <c r="B147" i="64"/>
  <c r="B148" i="64"/>
  <c r="B149" i="64"/>
  <c r="B150" i="64"/>
  <c r="B151" i="64"/>
  <c r="B152" i="64"/>
  <c r="B153" i="64"/>
  <c r="B154" i="64"/>
  <c r="B155" i="64"/>
  <c r="B156" i="64"/>
  <c r="B157" i="64"/>
  <c r="B158" i="64"/>
  <c r="B159" i="64"/>
  <c r="B160" i="64"/>
  <c r="B161" i="64"/>
  <c r="B162" i="64"/>
  <c r="B163" i="64"/>
  <c r="B164" i="64"/>
  <c r="B165" i="64"/>
  <c r="B166" i="64"/>
  <c r="B167" i="64"/>
  <c r="B168" i="64"/>
  <c r="B169" i="64"/>
  <c r="B170" i="64"/>
  <c r="B171" i="64"/>
  <c r="B172" i="64"/>
  <c r="B173" i="64"/>
  <c r="B174" i="64"/>
  <c r="B175" i="64"/>
  <c r="B176" i="64"/>
  <c r="B177" i="64"/>
  <c r="B178" i="64"/>
  <c r="B179" i="64"/>
  <c r="B180" i="64"/>
  <c r="B181" i="64"/>
  <c r="B182" i="64"/>
  <c r="B183" i="64"/>
  <c r="B184" i="64"/>
  <c r="B185" i="64"/>
  <c r="B186" i="64"/>
  <c r="B187" i="64"/>
  <c r="B188" i="64"/>
  <c r="B189" i="64"/>
  <c r="B190" i="64"/>
  <c r="B191" i="64"/>
  <c r="B192" i="64"/>
  <c r="B193" i="64"/>
  <c r="B194" i="64"/>
  <c r="B195" i="64"/>
  <c r="B196" i="64"/>
  <c r="B197" i="64"/>
  <c r="B198" i="64"/>
  <c r="B199" i="64"/>
  <c r="B200" i="64"/>
  <c r="B201" i="64"/>
  <c r="B202" i="64"/>
  <c r="B203" i="64"/>
  <c r="B204" i="64"/>
  <c r="B205" i="64"/>
  <c r="B206" i="64"/>
  <c r="B207" i="64"/>
  <c r="B208" i="64"/>
  <c r="B209" i="64"/>
  <c r="B210" i="64"/>
  <c r="B211" i="64"/>
  <c r="B212" i="64"/>
  <c r="B213" i="64"/>
  <c r="B214" i="64"/>
  <c r="B215" i="64"/>
  <c r="B216" i="64"/>
  <c r="B217" i="64"/>
  <c r="B218" i="64"/>
  <c r="B219" i="64"/>
  <c r="B220" i="64"/>
  <c r="B221" i="64"/>
  <c r="B222" i="64"/>
  <c r="B2" i="64"/>
  <c r="D2" i="64" s="1"/>
  <c r="B2" i="67" l="1"/>
  <c r="B2" i="68" s="1"/>
  <c r="B114" i="60"/>
  <c r="B115" i="60"/>
  <c r="B116" i="60"/>
  <c r="B117" i="60"/>
  <c r="B118" i="60"/>
  <c r="B119" i="60"/>
  <c r="B120" i="60"/>
  <c r="B121" i="60"/>
  <c r="B122" i="60"/>
  <c r="B123" i="60"/>
  <c r="B124" i="60"/>
  <c r="B125" i="60"/>
  <c r="B126" i="60"/>
  <c r="B127" i="60"/>
  <c r="B128" i="60"/>
  <c r="B129" i="60"/>
  <c r="B130" i="60"/>
  <c r="B131" i="60"/>
  <c r="B132" i="60"/>
  <c r="B133" i="60"/>
  <c r="B134" i="60"/>
  <c r="B135" i="60"/>
  <c r="B136" i="60"/>
  <c r="B137" i="60"/>
  <c r="B138" i="60"/>
  <c r="B139" i="60"/>
  <c r="B140" i="60"/>
  <c r="B141" i="60"/>
  <c r="B142" i="60"/>
  <c r="B143" i="60"/>
  <c r="B144" i="60"/>
  <c r="B145" i="60"/>
  <c r="B146" i="60"/>
  <c r="B147" i="60"/>
  <c r="B148" i="60"/>
  <c r="B149" i="60"/>
  <c r="B150" i="60"/>
  <c r="B151" i="60"/>
  <c r="B152" i="60"/>
  <c r="B153" i="60"/>
  <c r="B154" i="60"/>
  <c r="B155" i="60"/>
  <c r="B156" i="60"/>
  <c r="B157" i="60"/>
  <c r="B158" i="60"/>
  <c r="B159" i="60"/>
  <c r="B160" i="60"/>
  <c r="B161" i="60"/>
  <c r="B162" i="60"/>
  <c r="B163" i="60"/>
  <c r="B164" i="60"/>
  <c r="B165" i="60"/>
  <c r="B166" i="60"/>
  <c r="B167" i="60"/>
  <c r="B168" i="60"/>
  <c r="B169" i="60"/>
  <c r="B170" i="60"/>
  <c r="B171" i="60"/>
  <c r="B172" i="60"/>
  <c r="B173" i="60"/>
  <c r="B174" i="60"/>
  <c r="B175" i="60"/>
  <c r="B176" i="60"/>
  <c r="B177" i="60"/>
  <c r="B178" i="60"/>
  <c r="B179" i="60"/>
  <c r="B180" i="60"/>
  <c r="B181" i="60"/>
  <c r="B182" i="60"/>
  <c r="B183" i="60"/>
  <c r="B184" i="60"/>
  <c r="B185" i="60"/>
  <c r="B186" i="60"/>
  <c r="B187" i="60"/>
  <c r="B188" i="60"/>
  <c r="B189" i="60"/>
  <c r="B190" i="60"/>
  <c r="B191" i="60"/>
  <c r="B192" i="60"/>
  <c r="B193" i="60"/>
  <c r="B194" i="60"/>
  <c r="B195" i="60"/>
  <c r="B196" i="60"/>
  <c r="B197" i="60"/>
  <c r="B198" i="60"/>
  <c r="B199" i="60"/>
  <c r="B200" i="60"/>
  <c r="B201" i="60"/>
  <c r="B202" i="60"/>
  <c r="B203" i="60"/>
  <c r="B204" i="60"/>
  <c r="B205" i="60"/>
  <c r="B206" i="60"/>
  <c r="B207" i="60"/>
  <c r="B208" i="60"/>
  <c r="B209" i="60"/>
  <c r="B210" i="60"/>
  <c r="B211" i="60"/>
  <c r="B212" i="60"/>
  <c r="B213" i="60"/>
  <c r="B214" i="60"/>
  <c r="B215" i="60"/>
  <c r="B216" i="60"/>
  <c r="B217" i="60"/>
  <c r="B218" i="60"/>
  <c r="B219" i="60"/>
  <c r="B220" i="60"/>
  <c r="B221" i="60"/>
  <c r="B222" i="60"/>
  <c r="B113" i="60"/>
  <c r="B47" i="58"/>
  <c r="B48" i="58"/>
  <c r="B49" i="58"/>
  <c r="B50" i="58"/>
  <c r="B51" i="58"/>
  <c r="B52" i="58"/>
  <c r="B53" i="58"/>
  <c r="B54" i="58"/>
  <c r="B55" i="58"/>
  <c r="B56" i="58"/>
  <c r="B57" i="58"/>
  <c r="B58" i="58"/>
  <c r="B59" i="58"/>
  <c r="B60" i="58"/>
  <c r="B61" i="58"/>
  <c r="B62" i="58"/>
  <c r="B63" i="58"/>
  <c r="B64" i="58"/>
  <c r="B65" i="58"/>
  <c r="B66" i="58"/>
  <c r="B67" i="58"/>
  <c r="B68" i="58"/>
  <c r="B69" i="58"/>
  <c r="B70" i="58"/>
  <c r="B71" i="58"/>
  <c r="B72" i="58"/>
  <c r="B73" i="58"/>
  <c r="B74" i="58"/>
  <c r="B75" i="58"/>
  <c r="B76" i="58"/>
  <c r="B77" i="58"/>
  <c r="B78" i="58"/>
  <c r="B79" i="58"/>
  <c r="B80" i="58"/>
  <c r="B81" i="58"/>
  <c r="B82" i="58"/>
  <c r="B83" i="58"/>
  <c r="B84" i="58"/>
  <c r="B85" i="58"/>
  <c r="B86" i="58"/>
  <c r="B87" i="58"/>
  <c r="B88" i="58"/>
  <c r="B89" i="58"/>
  <c r="B90" i="58"/>
  <c r="B91" i="58"/>
  <c r="B92" i="58"/>
  <c r="B93" i="58"/>
  <c r="B94" i="58"/>
  <c r="B95" i="58"/>
  <c r="B96" i="58"/>
  <c r="B97" i="58"/>
  <c r="B98" i="58"/>
  <c r="B99" i="58"/>
  <c r="B100" i="58"/>
  <c r="B101" i="58"/>
  <c r="B102" i="58"/>
  <c r="B103" i="58"/>
  <c r="B104" i="58"/>
  <c r="B105" i="58"/>
  <c r="B106" i="58"/>
  <c r="B107" i="58"/>
  <c r="B108" i="58"/>
  <c r="B109" i="58"/>
  <c r="B46" i="58"/>
  <c r="D213" i="55"/>
  <c r="B213" i="56" s="1"/>
  <c r="D82" i="55"/>
  <c r="B82" i="56" s="1"/>
  <c r="D83" i="55"/>
  <c r="B83" i="56" s="1"/>
  <c r="D84" i="55"/>
  <c r="B84" i="56" s="1"/>
  <c r="D85" i="55"/>
  <c r="B85" i="56" s="1"/>
  <c r="D86" i="55"/>
  <c r="B86" i="56" s="1"/>
  <c r="D87" i="55"/>
  <c r="B87" i="56" s="1"/>
  <c r="D88" i="55"/>
  <c r="B88" i="56" s="1"/>
  <c r="D89" i="55"/>
  <c r="B89" i="56" s="1"/>
  <c r="D90" i="55"/>
  <c r="B90" i="56" s="1"/>
  <c r="D91" i="55"/>
  <c r="B91" i="56" s="1"/>
  <c r="D92" i="55"/>
  <c r="B92" i="56" s="1"/>
  <c r="D93" i="55"/>
  <c r="B93" i="56" s="1"/>
  <c r="D94" i="55"/>
  <c r="B94" i="56" s="1"/>
  <c r="D95" i="55"/>
  <c r="B95" i="56" s="1"/>
  <c r="D96" i="55"/>
  <c r="B96" i="56" s="1"/>
  <c r="D97" i="55"/>
  <c r="B97" i="56" s="1"/>
  <c r="D98" i="55"/>
  <c r="B98" i="56" s="1"/>
  <c r="D99" i="55"/>
  <c r="B99" i="56" s="1"/>
  <c r="D100" i="55"/>
  <c r="B100" i="56" s="1"/>
  <c r="D101" i="55"/>
  <c r="B101" i="56" s="1"/>
  <c r="D102" i="55"/>
  <c r="B102" i="56" s="1"/>
  <c r="D103" i="55"/>
  <c r="B103" i="56" s="1"/>
  <c r="D104" i="55"/>
  <c r="B104" i="56" s="1"/>
  <c r="D105" i="55"/>
  <c r="B105" i="56" s="1"/>
  <c r="D106" i="55"/>
  <c r="B106" i="56" s="1"/>
  <c r="D107" i="55"/>
  <c r="B107" i="56" s="1"/>
  <c r="D108" i="55"/>
  <c r="B108" i="56" s="1"/>
  <c r="D109" i="55"/>
  <c r="B109" i="56" s="1"/>
  <c r="D110" i="55"/>
  <c r="B110" i="56" s="1"/>
  <c r="D111" i="55"/>
  <c r="B111" i="56" s="1"/>
  <c r="D112" i="55"/>
  <c r="B112" i="56" s="1"/>
  <c r="D113" i="55"/>
  <c r="B113" i="56" s="1"/>
  <c r="D114" i="55"/>
  <c r="B114" i="56" s="1"/>
  <c r="D115" i="55"/>
  <c r="B115" i="56" s="1"/>
  <c r="D116" i="55"/>
  <c r="B116" i="56" s="1"/>
  <c r="D117" i="55"/>
  <c r="B117" i="56" s="1"/>
  <c r="D118" i="55"/>
  <c r="B118" i="56" s="1"/>
  <c r="D119" i="55"/>
  <c r="B119" i="56" s="1"/>
  <c r="D120" i="55"/>
  <c r="B120" i="56" s="1"/>
  <c r="D121" i="55"/>
  <c r="B121" i="56" s="1"/>
  <c r="D122" i="55"/>
  <c r="B122" i="56" s="1"/>
  <c r="D123" i="55"/>
  <c r="B123" i="56" s="1"/>
  <c r="D124" i="55"/>
  <c r="B124" i="56" s="1"/>
  <c r="D125" i="55"/>
  <c r="B125" i="56" s="1"/>
  <c r="D126" i="55"/>
  <c r="B126" i="56" s="1"/>
  <c r="D127" i="55"/>
  <c r="B127" i="56" s="1"/>
  <c r="D128" i="55"/>
  <c r="B128" i="56" s="1"/>
  <c r="D129" i="55"/>
  <c r="B129" i="56" s="1"/>
  <c r="D130" i="55"/>
  <c r="B130" i="56" s="1"/>
  <c r="D131" i="55"/>
  <c r="B131" i="56" s="1"/>
  <c r="D132" i="55"/>
  <c r="B132" i="56" s="1"/>
  <c r="D133" i="55"/>
  <c r="B133" i="56" s="1"/>
  <c r="D134" i="55"/>
  <c r="B134" i="56" s="1"/>
  <c r="D135" i="55"/>
  <c r="B135" i="56" s="1"/>
  <c r="D136" i="55"/>
  <c r="B136" i="56" s="1"/>
  <c r="D137" i="55"/>
  <c r="B137" i="56" s="1"/>
  <c r="D138" i="55"/>
  <c r="B138" i="56" s="1"/>
  <c r="D139" i="55"/>
  <c r="B139" i="56" s="1"/>
  <c r="D140" i="55"/>
  <c r="B140" i="56" s="1"/>
  <c r="D141" i="55"/>
  <c r="B141" i="56" s="1"/>
  <c r="D142" i="55"/>
  <c r="B142" i="56" s="1"/>
  <c r="D143" i="55"/>
  <c r="B143" i="56" s="1"/>
  <c r="D144" i="55"/>
  <c r="B144" i="56" s="1"/>
  <c r="D145" i="55"/>
  <c r="B145" i="56" s="1"/>
  <c r="D146" i="55"/>
  <c r="B146" i="56" s="1"/>
  <c r="D147" i="55"/>
  <c r="B147" i="56" s="1"/>
  <c r="D148" i="55"/>
  <c r="B148" i="56" s="1"/>
  <c r="D149" i="55"/>
  <c r="B149" i="56" s="1"/>
  <c r="D150" i="55"/>
  <c r="B150" i="56" s="1"/>
  <c r="D151" i="55"/>
  <c r="B151" i="56" s="1"/>
  <c r="D152" i="55"/>
  <c r="B152" i="56" s="1"/>
  <c r="D153" i="55"/>
  <c r="B153" i="56" s="1"/>
  <c r="D154" i="55"/>
  <c r="B154" i="56" s="1"/>
  <c r="D155" i="55"/>
  <c r="B155" i="56" s="1"/>
  <c r="D156" i="55"/>
  <c r="B156" i="56" s="1"/>
  <c r="D157" i="55"/>
  <c r="B157" i="56" s="1"/>
  <c r="D158" i="55"/>
  <c r="B158" i="56" s="1"/>
  <c r="D159" i="55"/>
  <c r="B159" i="56" s="1"/>
  <c r="D160" i="55"/>
  <c r="B160" i="56" s="1"/>
  <c r="D161" i="55"/>
  <c r="B161" i="56" s="1"/>
  <c r="D162" i="55"/>
  <c r="B162" i="56" s="1"/>
  <c r="D163" i="55"/>
  <c r="B163" i="56" s="1"/>
  <c r="D164" i="55"/>
  <c r="B164" i="56" s="1"/>
  <c r="D165" i="55"/>
  <c r="B165" i="56" s="1"/>
  <c r="D166" i="55"/>
  <c r="B166" i="56" s="1"/>
  <c r="D167" i="55"/>
  <c r="B167" i="56" s="1"/>
  <c r="D168" i="55"/>
  <c r="B168" i="56" s="1"/>
  <c r="D169" i="55"/>
  <c r="B169" i="56" s="1"/>
  <c r="D170" i="55"/>
  <c r="B170" i="56" s="1"/>
  <c r="D171" i="55"/>
  <c r="B171" i="56" s="1"/>
  <c r="D172" i="55"/>
  <c r="B172" i="56" s="1"/>
  <c r="D173" i="55"/>
  <c r="B173" i="56" s="1"/>
  <c r="D174" i="55"/>
  <c r="B174" i="56" s="1"/>
  <c r="D175" i="55"/>
  <c r="B175" i="56" s="1"/>
  <c r="D176" i="55"/>
  <c r="B176" i="56" s="1"/>
  <c r="D177" i="55"/>
  <c r="B177" i="56" s="1"/>
  <c r="D178" i="55"/>
  <c r="B178" i="56" s="1"/>
  <c r="D179" i="55"/>
  <c r="B179" i="56" s="1"/>
  <c r="D180" i="55"/>
  <c r="B180" i="56" s="1"/>
  <c r="D181" i="55"/>
  <c r="B181" i="56" s="1"/>
  <c r="D182" i="55"/>
  <c r="B182" i="56" s="1"/>
  <c r="D183" i="55"/>
  <c r="B183" i="56" s="1"/>
  <c r="D184" i="55"/>
  <c r="B184" i="56" s="1"/>
  <c r="D185" i="55"/>
  <c r="B185" i="56" s="1"/>
  <c r="D186" i="55"/>
  <c r="B186" i="56" s="1"/>
  <c r="D187" i="55"/>
  <c r="B187" i="56" s="1"/>
  <c r="D188" i="55"/>
  <c r="B188" i="56" s="1"/>
  <c r="D189" i="55"/>
  <c r="B189" i="56" s="1"/>
  <c r="D190" i="55"/>
  <c r="B190" i="56" s="1"/>
  <c r="D191" i="55"/>
  <c r="B191" i="56" s="1"/>
  <c r="D192" i="55"/>
  <c r="B192" i="56" s="1"/>
  <c r="D193" i="55"/>
  <c r="B193" i="56" s="1"/>
  <c r="D194" i="55"/>
  <c r="B194" i="56" s="1"/>
  <c r="D195" i="55"/>
  <c r="B195" i="56" s="1"/>
  <c r="D196" i="55"/>
  <c r="B196" i="56" s="1"/>
  <c r="D197" i="55"/>
  <c r="B197" i="56" s="1"/>
  <c r="D198" i="55"/>
  <c r="B198" i="56" s="1"/>
  <c r="D199" i="55"/>
  <c r="B199" i="56" s="1"/>
  <c r="D200" i="55"/>
  <c r="B200" i="56" s="1"/>
  <c r="D201" i="55"/>
  <c r="B201" i="56" s="1"/>
  <c r="D202" i="55"/>
  <c r="B202" i="56" s="1"/>
  <c r="D203" i="55"/>
  <c r="B203" i="56" s="1"/>
  <c r="D204" i="55"/>
  <c r="B204" i="56" s="1"/>
  <c r="D205" i="55"/>
  <c r="B205" i="56" s="1"/>
  <c r="D206" i="55"/>
  <c r="B206" i="56" s="1"/>
  <c r="D207" i="55"/>
  <c r="B207" i="56" s="1"/>
  <c r="D208" i="55"/>
  <c r="B208" i="56" s="1"/>
  <c r="D209" i="55"/>
  <c r="B209" i="56" s="1"/>
  <c r="D210" i="55"/>
  <c r="B210" i="56" s="1"/>
  <c r="D211" i="55"/>
  <c r="B211" i="56" s="1"/>
  <c r="D212" i="55"/>
  <c r="B212" i="56" s="1"/>
  <c r="D214" i="55"/>
  <c r="B214" i="56" s="1"/>
  <c r="D215" i="55"/>
  <c r="B215" i="56" s="1"/>
  <c r="D216" i="55"/>
  <c r="B216" i="56" s="1"/>
  <c r="D217" i="55"/>
  <c r="B217" i="56" s="1"/>
  <c r="D218" i="55"/>
  <c r="B218" i="56" s="1"/>
  <c r="D219" i="55"/>
  <c r="B219" i="56" s="1"/>
  <c r="D220" i="55"/>
  <c r="B220" i="56" s="1"/>
  <c r="D221" i="55"/>
  <c r="B221" i="56" s="1"/>
  <c r="D222" i="55"/>
  <c r="B222" i="56" s="1"/>
  <c r="D223" i="55"/>
  <c r="B223" i="56" s="1"/>
  <c r="D81" i="55"/>
  <c r="B81" i="56" s="1"/>
  <c r="C3" i="55" l="1"/>
  <c r="D3" i="55" s="1"/>
  <c r="B3" i="56" s="1"/>
  <c r="C4" i="55"/>
  <c r="D4" i="55" s="1"/>
  <c r="B4" i="56" s="1"/>
  <c r="C5" i="55"/>
  <c r="D5" i="55" s="1"/>
  <c r="B5" i="56" s="1"/>
  <c r="C6" i="55"/>
  <c r="D6" i="55" s="1"/>
  <c r="B6" i="56" s="1"/>
  <c r="C7" i="55"/>
  <c r="D7" i="55" s="1"/>
  <c r="B7" i="56" s="1"/>
  <c r="C8" i="55"/>
  <c r="D8" i="55" s="1"/>
  <c r="B8" i="56" s="1"/>
  <c r="C9" i="55"/>
  <c r="D9" i="55" s="1"/>
  <c r="B9" i="56" s="1"/>
  <c r="C10" i="55"/>
  <c r="D10" i="55" s="1"/>
  <c r="B10" i="56" s="1"/>
  <c r="C11" i="55"/>
  <c r="D11" i="55" s="1"/>
  <c r="B11" i="56" s="1"/>
  <c r="C12" i="55"/>
  <c r="D12" i="55" s="1"/>
  <c r="B12" i="56" s="1"/>
  <c r="C13" i="55"/>
  <c r="D13" i="55" s="1"/>
  <c r="B13" i="56" s="1"/>
  <c r="C14" i="55"/>
  <c r="D14" i="55" s="1"/>
  <c r="B14" i="56" s="1"/>
  <c r="C15" i="55"/>
  <c r="D15" i="55" s="1"/>
  <c r="B15" i="56" s="1"/>
  <c r="C16" i="55"/>
  <c r="D16" i="55" s="1"/>
  <c r="B16" i="56" s="1"/>
  <c r="C17" i="55"/>
  <c r="D17" i="55" s="1"/>
  <c r="B17" i="56" s="1"/>
  <c r="C18" i="55"/>
  <c r="D18" i="55" s="1"/>
  <c r="B18" i="56" s="1"/>
  <c r="C19" i="55"/>
  <c r="D19" i="55" s="1"/>
  <c r="B19" i="56" s="1"/>
  <c r="C20" i="55"/>
  <c r="D20" i="55" s="1"/>
  <c r="B20" i="56" s="1"/>
  <c r="C21" i="55"/>
  <c r="D21" i="55" s="1"/>
  <c r="B21" i="56" s="1"/>
  <c r="C22" i="55"/>
  <c r="D22" i="55" s="1"/>
  <c r="B22" i="56" s="1"/>
  <c r="C23" i="55"/>
  <c r="D23" i="55" s="1"/>
  <c r="B23" i="56" s="1"/>
  <c r="C24" i="55"/>
  <c r="D24" i="55" s="1"/>
  <c r="B24" i="56" s="1"/>
  <c r="C25" i="55"/>
  <c r="D25" i="55" s="1"/>
  <c r="B25" i="56" s="1"/>
  <c r="C26" i="55"/>
  <c r="D26" i="55" s="1"/>
  <c r="B26" i="56" s="1"/>
  <c r="C27" i="55"/>
  <c r="D27" i="55" s="1"/>
  <c r="B27" i="56" s="1"/>
  <c r="C28" i="55"/>
  <c r="D28" i="55" s="1"/>
  <c r="B28" i="56" s="1"/>
  <c r="C29" i="55"/>
  <c r="D29" i="55" s="1"/>
  <c r="B29" i="56" s="1"/>
  <c r="C30" i="55"/>
  <c r="D30" i="55" s="1"/>
  <c r="B30" i="56" s="1"/>
  <c r="C31" i="55"/>
  <c r="D31" i="55" s="1"/>
  <c r="B31" i="56" s="1"/>
  <c r="C32" i="55"/>
  <c r="D32" i="55" s="1"/>
  <c r="B32" i="56" s="1"/>
  <c r="C33" i="55"/>
  <c r="D33" i="55" s="1"/>
  <c r="B33" i="56" s="1"/>
  <c r="C34" i="55"/>
  <c r="D34" i="55" s="1"/>
  <c r="B34" i="56" s="1"/>
  <c r="C35" i="55"/>
  <c r="D35" i="55" s="1"/>
  <c r="B35" i="56" s="1"/>
  <c r="C36" i="55"/>
  <c r="D36" i="55" s="1"/>
  <c r="B36" i="56" s="1"/>
  <c r="C37" i="55"/>
  <c r="D37" i="55" s="1"/>
  <c r="B37" i="56" s="1"/>
  <c r="C38" i="55"/>
  <c r="D38" i="55" s="1"/>
  <c r="B38" i="56" s="1"/>
  <c r="C39" i="55"/>
  <c r="D39" i="55" s="1"/>
  <c r="B39" i="56" s="1"/>
  <c r="C40" i="55"/>
  <c r="D40" i="55" s="1"/>
  <c r="B40" i="56" s="1"/>
  <c r="C41" i="55"/>
  <c r="D41" i="55" s="1"/>
  <c r="B41" i="56" s="1"/>
  <c r="C42" i="55"/>
  <c r="D42" i="55" s="1"/>
  <c r="B42" i="56" s="1"/>
  <c r="C43" i="55"/>
  <c r="D43" i="55" s="1"/>
  <c r="B43" i="56" s="1"/>
  <c r="C44" i="55"/>
  <c r="D44" i="55" s="1"/>
  <c r="B44" i="56" s="1"/>
  <c r="C45" i="55"/>
  <c r="D45" i="55" s="1"/>
  <c r="B45" i="56" s="1"/>
  <c r="C46" i="55"/>
  <c r="D46" i="55" s="1"/>
  <c r="B46" i="56" s="1"/>
  <c r="C47" i="55"/>
  <c r="D47" i="55" s="1"/>
  <c r="B47" i="56" s="1"/>
  <c r="C48" i="55"/>
  <c r="D48" i="55" s="1"/>
  <c r="B48" i="56" s="1"/>
  <c r="C49" i="55"/>
  <c r="D49" i="55" s="1"/>
  <c r="B49" i="56" s="1"/>
  <c r="C50" i="55"/>
  <c r="D50" i="55" s="1"/>
  <c r="B50" i="56" s="1"/>
  <c r="C51" i="55"/>
  <c r="D51" i="55" s="1"/>
  <c r="B51" i="56" s="1"/>
  <c r="C52" i="55"/>
  <c r="D52" i="55" s="1"/>
  <c r="B52" i="56" s="1"/>
  <c r="C53" i="55"/>
  <c r="D53" i="55" s="1"/>
  <c r="B53" i="56" s="1"/>
  <c r="C54" i="55"/>
  <c r="D54" i="55" s="1"/>
  <c r="B54" i="56" s="1"/>
  <c r="C55" i="55"/>
  <c r="D55" i="55" s="1"/>
  <c r="B55" i="56" s="1"/>
  <c r="C56" i="55"/>
  <c r="D56" i="55" s="1"/>
  <c r="B56" i="56" s="1"/>
  <c r="C57" i="55"/>
  <c r="D57" i="55" s="1"/>
  <c r="B57" i="56" s="1"/>
  <c r="C58" i="55"/>
  <c r="D58" i="55" s="1"/>
  <c r="B58" i="56" s="1"/>
  <c r="C59" i="55"/>
  <c r="D59" i="55" s="1"/>
  <c r="B59" i="56" s="1"/>
  <c r="C60" i="55"/>
  <c r="D60" i="55" s="1"/>
  <c r="B60" i="56" s="1"/>
  <c r="C61" i="55"/>
  <c r="D61" i="55" s="1"/>
  <c r="B61" i="56" s="1"/>
  <c r="C62" i="55"/>
  <c r="D62" i="55" s="1"/>
  <c r="B62" i="56" s="1"/>
  <c r="C63" i="55"/>
  <c r="D63" i="55" s="1"/>
  <c r="B63" i="56" s="1"/>
  <c r="C64" i="55"/>
  <c r="D64" i="55" s="1"/>
  <c r="B64" i="56" s="1"/>
  <c r="C65" i="55"/>
  <c r="D65" i="55" s="1"/>
  <c r="B65" i="56" s="1"/>
  <c r="C66" i="55"/>
  <c r="D66" i="55" s="1"/>
  <c r="B66" i="56" s="1"/>
  <c r="C67" i="55"/>
  <c r="D67" i="55" s="1"/>
  <c r="B67" i="56" s="1"/>
  <c r="C68" i="55"/>
  <c r="D68" i="55" s="1"/>
  <c r="B68" i="56" s="1"/>
  <c r="C69" i="55"/>
  <c r="D69" i="55" s="1"/>
  <c r="B69" i="56" s="1"/>
  <c r="C70" i="55"/>
  <c r="D70" i="55" s="1"/>
  <c r="B70" i="56" s="1"/>
  <c r="C71" i="55"/>
  <c r="D71" i="55" s="1"/>
  <c r="B71" i="56" s="1"/>
  <c r="C72" i="55"/>
  <c r="D72" i="55" s="1"/>
  <c r="B72" i="56" s="1"/>
  <c r="C73" i="55"/>
  <c r="D73" i="55" s="1"/>
  <c r="B73" i="56" s="1"/>
  <c r="C74" i="55"/>
  <c r="D74" i="55" s="1"/>
  <c r="B74" i="56" s="1"/>
  <c r="C75" i="55"/>
  <c r="D75" i="55" s="1"/>
  <c r="B75" i="56" s="1"/>
  <c r="C76" i="55"/>
  <c r="D76" i="55" s="1"/>
  <c r="B76" i="56" s="1"/>
  <c r="C77" i="55"/>
  <c r="D77" i="55" s="1"/>
  <c r="B77" i="56" s="1"/>
  <c r="C78" i="55"/>
  <c r="D78" i="55" s="1"/>
  <c r="B78" i="56" s="1"/>
  <c r="C79" i="55"/>
  <c r="D79" i="55" s="1"/>
  <c r="B79" i="56" s="1"/>
  <c r="C80" i="55"/>
  <c r="D80" i="55" s="1"/>
  <c r="B80" i="56" s="1"/>
  <c r="C81" i="55"/>
  <c r="C82" i="55"/>
  <c r="C83" i="55"/>
  <c r="C84" i="55"/>
  <c r="C85" i="55"/>
  <c r="C86" i="55"/>
  <c r="C87" i="55"/>
  <c r="C88" i="55"/>
  <c r="C89" i="55"/>
  <c r="C90" i="55"/>
  <c r="C91" i="55"/>
  <c r="C92" i="55"/>
  <c r="C93" i="55"/>
  <c r="C94" i="55"/>
  <c r="C95" i="55"/>
  <c r="C96" i="55"/>
  <c r="C97" i="55"/>
  <c r="C98" i="55"/>
  <c r="C99" i="55"/>
  <c r="C100" i="55"/>
  <c r="C101" i="55"/>
  <c r="C102" i="55"/>
  <c r="C103" i="55"/>
  <c r="C104" i="55"/>
  <c r="C105" i="55"/>
  <c r="C106" i="55"/>
  <c r="C107" i="55"/>
  <c r="C108" i="55"/>
  <c r="C109" i="55"/>
  <c r="C110" i="55"/>
  <c r="C111" i="55"/>
  <c r="C112" i="55"/>
  <c r="C113" i="55"/>
  <c r="C114" i="55"/>
  <c r="C115" i="55"/>
  <c r="C116" i="55"/>
  <c r="C117" i="55"/>
  <c r="C118" i="55"/>
  <c r="C119" i="55"/>
  <c r="C120" i="55"/>
  <c r="C121" i="55"/>
  <c r="C122" i="55"/>
  <c r="C123" i="55"/>
  <c r="C124" i="55"/>
  <c r="C125" i="55"/>
  <c r="C126" i="55"/>
  <c r="C127" i="55"/>
  <c r="C128" i="55"/>
  <c r="C129" i="55"/>
  <c r="C130" i="55"/>
  <c r="C131" i="55"/>
  <c r="C132" i="55"/>
  <c r="C133" i="55"/>
  <c r="C134" i="55"/>
  <c r="C135" i="55"/>
  <c r="C136" i="55"/>
  <c r="C137" i="55"/>
  <c r="C138" i="55"/>
  <c r="C139" i="55"/>
  <c r="C140" i="55"/>
  <c r="C141" i="55"/>
  <c r="C142" i="55"/>
  <c r="C143" i="55"/>
  <c r="C144" i="55"/>
  <c r="C145" i="55"/>
  <c r="C146" i="55"/>
  <c r="C147" i="55"/>
  <c r="C148" i="55"/>
  <c r="C149" i="55"/>
  <c r="C150" i="55"/>
  <c r="C151" i="55"/>
  <c r="C152" i="55"/>
  <c r="C153" i="55"/>
  <c r="C154" i="55"/>
  <c r="C155" i="55"/>
  <c r="C156" i="55"/>
  <c r="C157" i="55"/>
  <c r="C158" i="55"/>
  <c r="C159" i="55"/>
  <c r="C160" i="55"/>
  <c r="C161" i="55"/>
  <c r="C162" i="55"/>
  <c r="C163" i="55"/>
  <c r="C164" i="55"/>
  <c r="C165" i="55"/>
  <c r="C166" i="55"/>
  <c r="C167" i="55"/>
  <c r="C168" i="55"/>
  <c r="C169" i="55"/>
  <c r="C170" i="55"/>
  <c r="C171" i="55"/>
  <c r="C172" i="55"/>
  <c r="C173" i="55"/>
  <c r="C174" i="55"/>
  <c r="C175" i="55"/>
  <c r="C176" i="55"/>
  <c r="C177" i="55"/>
  <c r="C178" i="55"/>
  <c r="C179" i="55"/>
  <c r="C180" i="55"/>
  <c r="C181" i="55"/>
  <c r="C182" i="55"/>
  <c r="C183" i="55"/>
  <c r="C184" i="55"/>
  <c r="C185" i="55"/>
  <c r="C186" i="55"/>
  <c r="C187" i="55"/>
  <c r="C188" i="55"/>
  <c r="C189" i="55"/>
  <c r="C190" i="55"/>
  <c r="C191" i="55"/>
  <c r="C192" i="55"/>
  <c r="C193" i="55"/>
  <c r="C194" i="55"/>
  <c r="C195" i="55"/>
  <c r="C196" i="55"/>
  <c r="C197" i="55"/>
  <c r="C198" i="55"/>
  <c r="C199" i="55"/>
  <c r="C200" i="55"/>
  <c r="C201" i="55"/>
  <c r="C202" i="55"/>
  <c r="C203" i="55"/>
  <c r="C204" i="55"/>
  <c r="C205" i="55"/>
  <c r="C206" i="55"/>
  <c r="C207" i="55"/>
  <c r="C208" i="55"/>
  <c r="C209" i="55"/>
  <c r="C210" i="55"/>
  <c r="C211" i="55"/>
  <c r="C212" i="55"/>
  <c r="C213" i="55"/>
  <c r="C214" i="55"/>
  <c r="C215" i="55"/>
  <c r="C216" i="55"/>
  <c r="C217" i="55"/>
  <c r="C218" i="55"/>
  <c r="C219" i="55"/>
  <c r="C220" i="55"/>
  <c r="C221" i="55"/>
  <c r="C222" i="55"/>
  <c r="C2" i="55"/>
  <c r="D2" i="55" s="1"/>
  <c r="B2" i="56" s="1"/>
  <c r="F111" i="51" l="1"/>
  <c r="G111" i="51" s="1"/>
  <c r="F112" i="51"/>
  <c r="G112" i="51" s="1"/>
  <c r="F113" i="51"/>
  <c r="G113" i="51" s="1"/>
  <c r="G2" i="42"/>
  <c r="C221" i="59"/>
  <c r="F111" i="44" l="1"/>
  <c r="F112" i="44"/>
  <c r="F113" i="44"/>
  <c r="F114" i="51"/>
  <c r="G114" i="51" s="1"/>
  <c r="B114" i="53" s="1"/>
  <c r="B14" i="39"/>
  <c r="B138" i="26"/>
  <c r="C138" i="51" s="1"/>
  <c r="B111" i="53"/>
  <c r="B112" i="53"/>
  <c r="B113" i="53"/>
  <c r="C221" i="51"/>
  <c r="C223" i="51"/>
  <c r="F223" i="51"/>
  <c r="G223" i="51" s="1"/>
  <c r="B223" i="53" s="1"/>
  <c r="B223" i="51"/>
  <c r="D223" i="51" s="1"/>
  <c r="B223" i="52" s="1"/>
  <c r="F222" i="51"/>
  <c r="G222" i="51" s="1"/>
  <c r="B222" i="53" s="1"/>
  <c r="B222" i="51"/>
  <c r="D222" i="51" s="1"/>
  <c r="B222" i="52" s="1"/>
  <c r="F221" i="51"/>
  <c r="G221" i="51" s="1"/>
  <c r="B221" i="53" s="1"/>
  <c r="B221" i="51"/>
  <c r="D221" i="51" s="1"/>
  <c r="B221" i="52" s="1"/>
  <c r="F220" i="51"/>
  <c r="G220" i="51" s="1"/>
  <c r="B220" i="53" s="1"/>
  <c r="B220" i="51"/>
  <c r="D220" i="51" s="1"/>
  <c r="B220" i="52" s="1"/>
  <c r="F219" i="51"/>
  <c r="G219" i="51" s="1"/>
  <c r="B219" i="53" s="1"/>
  <c r="B219" i="51"/>
  <c r="D219" i="51" s="1"/>
  <c r="B219" i="52" s="1"/>
  <c r="F218" i="51"/>
  <c r="G218" i="51" s="1"/>
  <c r="B218" i="53" s="1"/>
  <c r="B218" i="51"/>
  <c r="D218" i="51" s="1"/>
  <c r="B218" i="52" s="1"/>
  <c r="F217" i="51"/>
  <c r="G217" i="51" s="1"/>
  <c r="B217" i="53" s="1"/>
  <c r="B217" i="51"/>
  <c r="D217" i="51" s="1"/>
  <c r="B217" i="52" s="1"/>
  <c r="F216" i="51"/>
  <c r="G216" i="51" s="1"/>
  <c r="B216" i="53" s="1"/>
  <c r="B216" i="51"/>
  <c r="D216" i="51" s="1"/>
  <c r="B216" i="52" s="1"/>
  <c r="F215" i="51"/>
  <c r="G215" i="51" s="1"/>
  <c r="B215" i="53" s="1"/>
  <c r="B215" i="51"/>
  <c r="D215" i="51" s="1"/>
  <c r="B215" i="52" s="1"/>
  <c r="F214" i="51"/>
  <c r="G214" i="51" s="1"/>
  <c r="B214" i="53" s="1"/>
  <c r="B214" i="51"/>
  <c r="D214" i="51" s="1"/>
  <c r="B214" i="52" s="1"/>
  <c r="F213" i="51"/>
  <c r="G213" i="51" s="1"/>
  <c r="B213" i="53" s="1"/>
  <c r="B213" i="51"/>
  <c r="D213" i="51" s="1"/>
  <c r="B213" i="52" s="1"/>
  <c r="F212" i="51"/>
  <c r="G212" i="51" s="1"/>
  <c r="B212" i="53" s="1"/>
  <c r="B212" i="51"/>
  <c r="D212" i="51" s="1"/>
  <c r="B212" i="52" s="1"/>
  <c r="F211" i="51"/>
  <c r="G211" i="51" s="1"/>
  <c r="B211" i="53" s="1"/>
  <c r="B211" i="51"/>
  <c r="D211" i="51" s="1"/>
  <c r="B211" i="52" s="1"/>
  <c r="F210" i="51"/>
  <c r="G210" i="51" s="1"/>
  <c r="B210" i="53" s="1"/>
  <c r="B210" i="51"/>
  <c r="D210" i="51" s="1"/>
  <c r="B210" i="52" s="1"/>
  <c r="F209" i="51"/>
  <c r="G209" i="51" s="1"/>
  <c r="B209" i="53" s="1"/>
  <c r="B209" i="51"/>
  <c r="D209" i="51" s="1"/>
  <c r="B209" i="52" s="1"/>
  <c r="F208" i="51"/>
  <c r="G208" i="51" s="1"/>
  <c r="B208" i="53" s="1"/>
  <c r="B208" i="51"/>
  <c r="D208" i="51" s="1"/>
  <c r="B208" i="52" s="1"/>
  <c r="F207" i="51"/>
  <c r="G207" i="51" s="1"/>
  <c r="B207" i="53" s="1"/>
  <c r="B207" i="51"/>
  <c r="D207" i="51" s="1"/>
  <c r="B207" i="52" s="1"/>
  <c r="F206" i="51"/>
  <c r="G206" i="51" s="1"/>
  <c r="B206" i="53" s="1"/>
  <c r="B206" i="51"/>
  <c r="D206" i="51" s="1"/>
  <c r="B206" i="52" s="1"/>
  <c r="F205" i="51"/>
  <c r="G205" i="51" s="1"/>
  <c r="B205" i="53" s="1"/>
  <c r="B205" i="51"/>
  <c r="D205" i="51" s="1"/>
  <c r="B205" i="52" s="1"/>
  <c r="F204" i="51"/>
  <c r="G204" i="51" s="1"/>
  <c r="B204" i="53" s="1"/>
  <c r="B204" i="51"/>
  <c r="D204" i="51" s="1"/>
  <c r="B204" i="52" s="1"/>
  <c r="F203" i="51"/>
  <c r="G203" i="51" s="1"/>
  <c r="B203" i="53" s="1"/>
  <c r="B203" i="51"/>
  <c r="D203" i="51" s="1"/>
  <c r="B203" i="52" s="1"/>
  <c r="F202" i="51"/>
  <c r="G202" i="51" s="1"/>
  <c r="B202" i="53" s="1"/>
  <c r="B202" i="51"/>
  <c r="D202" i="51" s="1"/>
  <c r="B202" i="52" s="1"/>
  <c r="F201" i="51"/>
  <c r="G201" i="51" s="1"/>
  <c r="B201" i="53" s="1"/>
  <c r="B201" i="51"/>
  <c r="D201" i="51" s="1"/>
  <c r="B201" i="52" s="1"/>
  <c r="F200" i="51"/>
  <c r="G200" i="51" s="1"/>
  <c r="B200" i="53" s="1"/>
  <c r="B200" i="51"/>
  <c r="D200" i="51" s="1"/>
  <c r="B200" i="52" s="1"/>
  <c r="F199" i="51"/>
  <c r="G199" i="51" s="1"/>
  <c r="B199" i="53" s="1"/>
  <c r="B199" i="51"/>
  <c r="D199" i="51" s="1"/>
  <c r="B199" i="52" s="1"/>
  <c r="F198" i="51"/>
  <c r="G198" i="51" s="1"/>
  <c r="B198" i="53" s="1"/>
  <c r="B198" i="51"/>
  <c r="D198" i="51" s="1"/>
  <c r="B198" i="52" s="1"/>
  <c r="F197" i="51"/>
  <c r="G197" i="51" s="1"/>
  <c r="B197" i="53" s="1"/>
  <c r="B197" i="51"/>
  <c r="D197" i="51" s="1"/>
  <c r="B197" i="52" s="1"/>
  <c r="F196" i="51"/>
  <c r="G196" i="51" s="1"/>
  <c r="B196" i="53" s="1"/>
  <c r="B196" i="51"/>
  <c r="D196" i="51" s="1"/>
  <c r="B196" i="52" s="1"/>
  <c r="F195" i="51"/>
  <c r="G195" i="51" s="1"/>
  <c r="B195" i="53" s="1"/>
  <c r="B195" i="51"/>
  <c r="D195" i="51" s="1"/>
  <c r="B195" i="52" s="1"/>
  <c r="F194" i="51"/>
  <c r="G194" i="51" s="1"/>
  <c r="B194" i="53" s="1"/>
  <c r="B194" i="51"/>
  <c r="D194" i="51" s="1"/>
  <c r="B194" i="52" s="1"/>
  <c r="F193" i="51"/>
  <c r="G193" i="51" s="1"/>
  <c r="B193" i="53" s="1"/>
  <c r="B193" i="51"/>
  <c r="D193" i="51" s="1"/>
  <c r="B193" i="52" s="1"/>
  <c r="F192" i="51"/>
  <c r="G192" i="51" s="1"/>
  <c r="B192" i="53" s="1"/>
  <c r="B192" i="51"/>
  <c r="D192" i="51" s="1"/>
  <c r="B192" i="52" s="1"/>
  <c r="F191" i="51"/>
  <c r="G191" i="51" s="1"/>
  <c r="B191" i="53" s="1"/>
  <c r="B191" i="51"/>
  <c r="D191" i="51" s="1"/>
  <c r="B191" i="52" s="1"/>
  <c r="F190" i="51"/>
  <c r="G190" i="51" s="1"/>
  <c r="B190" i="53" s="1"/>
  <c r="B190" i="51"/>
  <c r="D190" i="51" s="1"/>
  <c r="B190" i="52" s="1"/>
  <c r="F189" i="51"/>
  <c r="G189" i="51" s="1"/>
  <c r="B189" i="53" s="1"/>
  <c r="B189" i="51"/>
  <c r="D189" i="51" s="1"/>
  <c r="B189" i="52" s="1"/>
  <c r="F188" i="51"/>
  <c r="G188" i="51" s="1"/>
  <c r="B188" i="53" s="1"/>
  <c r="B188" i="51"/>
  <c r="D188" i="51" s="1"/>
  <c r="B188" i="52" s="1"/>
  <c r="F187" i="51"/>
  <c r="G187" i="51" s="1"/>
  <c r="B187" i="53" s="1"/>
  <c r="B187" i="51"/>
  <c r="D187" i="51" s="1"/>
  <c r="B187" i="52" s="1"/>
  <c r="F186" i="51"/>
  <c r="G186" i="51" s="1"/>
  <c r="B186" i="53" s="1"/>
  <c r="B186" i="51"/>
  <c r="D186" i="51" s="1"/>
  <c r="B186" i="52" s="1"/>
  <c r="F185" i="51"/>
  <c r="G185" i="51" s="1"/>
  <c r="B185" i="53" s="1"/>
  <c r="B185" i="51"/>
  <c r="D185" i="51" s="1"/>
  <c r="B185" i="52" s="1"/>
  <c r="F184" i="51"/>
  <c r="G184" i="51" s="1"/>
  <c r="B184" i="53" s="1"/>
  <c r="B184" i="51"/>
  <c r="D184" i="51" s="1"/>
  <c r="B184" i="52" s="1"/>
  <c r="F183" i="51"/>
  <c r="G183" i="51" s="1"/>
  <c r="B183" i="53" s="1"/>
  <c r="B183" i="51"/>
  <c r="D183" i="51" s="1"/>
  <c r="B183" i="52" s="1"/>
  <c r="F182" i="51"/>
  <c r="G182" i="51" s="1"/>
  <c r="B182" i="53" s="1"/>
  <c r="B182" i="51"/>
  <c r="D182" i="51" s="1"/>
  <c r="B182" i="52" s="1"/>
  <c r="F181" i="51"/>
  <c r="G181" i="51" s="1"/>
  <c r="B181" i="53" s="1"/>
  <c r="B181" i="51"/>
  <c r="D181" i="51" s="1"/>
  <c r="B181" i="52" s="1"/>
  <c r="F180" i="51"/>
  <c r="G180" i="51" s="1"/>
  <c r="B180" i="53" s="1"/>
  <c r="B180" i="51"/>
  <c r="D180" i="51" s="1"/>
  <c r="B180" i="52" s="1"/>
  <c r="F179" i="51"/>
  <c r="G179" i="51" s="1"/>
  <c r="B179" i="53" s="1"/>
  <c r="B179" i="51"/>
  <c r="D179" i="51" s="1"/>
  <c r="B179" i="52" s="1"/>
  <c r="F178" i="51"/>
  <c r="G178" i="51" s="1"/>
  <c r="B178" i="53" s="1"/>
  <c r="B178" i="51"/>
  <c r="D178" i="51" s="1"/>
  <c r="B178" i="52" s="1"/>
  <c r="F177" i="51"/>
  <c r="G177" i="51" s="1"/>
  <c r="B177" i="53" s="1"/>
  <c r="B177" i="51"/>
  <c r="D177" i="51" s="1"/>
  <c r="B177" i="52" s="1"/>
  <c r="F176" i="51"/>
  <c r="G176" i="51" s="1"/>
  <c r="B176" i="53" s="1"/>
  <c r="B176" i="51"/>
  <c r="D176" i="51" s="1"/>
  <c r="B176" i="52" s="1"/>
  <c r="F175" i="51"/>
  <c r="G175" i="51" s="1"/>
  <c r="B175" i="53" s="1"/>
  <c r="B175" i="51"/>
  <c r="D175" i="51" s="1"/>
  <c r="B175" i="52" s="1"/>
  <c r="F174" i="51"/>
  <c r="G174" i="51" s="1"/>
  <c r="B174" i="53" s="1"/>
  <c r="B174" i="51"/>
  <c r="D174" i="51" s="1"/>
  <c r="B174" i="52" s="1"/>
  <c r="F173" i="51"/>
  <c r="G173" i="51" s="1"/>
  <c r="B173" i="53" s="1"/>
  <c r="B173" i="51"/>
  <c r="D173" i="51" s="1"/>
  <c r="B173" i="52" s="1"/>
  <c r="F172" i="51"/>
  <c r="G172" i="51" s="1"/>
  <c r="B172" i="53" s="1"/>
  <c r="B172" i="51"/>
  <c r="D172" i="51" s="1"/>
  <c r="B172" i="52" s="1"/>
  <c r="F171" i="51"/>
  <c r="G171" i="51" s="1"/>
  <c r="B171" i="53" s="1"/>
  <c r="B171" i="51"/>
  <c r="D171" i="51" s="1"/>
  <c r="B171" i="52" s="1"/>
  <c r="F170" i="51"/>
  <c r="G170" i="51" s="1"/>
  <c r="B170" i="53" s="1"/>
  <c r="B170" i="51"/>
  <c r="D170" i="51" s="1"/>
  <c r="B170" i="52" s="1"/>
  <c r="F169" i="51"/>
  <c r="G169" i="51" s="1"/>
  <c r="B169" i="53" s="1"/>
  <c r="B169" i="51"/>
  <c r="D169" i="51" s="1"/>
  <c r="B169" i="52" s="1"/>
  <c r="F168" i="51"/>
  <c r="G168" i="51" s="1"/>
  <c r="B168" i="53" s="1"/>
  <c r="B168" i="51"/>
  <c r="D168" i="51" s="1"/>
  <c r="B168" i="52" s="1"/>
  <c r="F167" i="51"/>
  <c r="G167" i="51" s="1"/>
  <c r="B167" i="53" s="1"/>
  <c r="B167" i="51"/>
  <c r="D167" i="51" s="1"/>
  <c r="B167" i="52" s="1"/>
  <c r="F166" i="51"/>
  <c r="G166" i="51" s="1"/>
  <c r="B166" i="53" s="1"/>
  <c r="B166" i="51"/>
  <c r="D166" i="51" s="1"/>
  <c r="B166" i="52" s="1"/>
  <c r="F165" i="51"/>
  <c r="G165" i="51" s="1"/>
  <c r="B165" i="53" s="1"/>
  <c r="B165" i="51"/>
  <c r="D165" i="51" s="1"/>
  <c r="B165" i="52" s="1"/>
  <c r="F164" i="51"/>
  <c r="G164" i="51" s="1"/>
  <c r="B164" i="53" s="1"/>
  <c r="B164" i="51"/>
  <c r="D164" i="51" s="1"/>
  <c r="B164" i="52" s="1"/>
  <c r="F163" i="51"/>
  <c r="G163" i="51" s="1"/>
  <c r="B163" i="53" s="1"/>
  <c r="B163" i="51"/>
  <c r="D163" i="51" s="1"/>
  <c r="B163" i="52" s="1"/>
  <c r="F162" i="51"/>
  <c r="G162" i="51" s="1"/>
  <c r="B162" i="53" s="1"/>
  <c r="B162" i="51"/>
  <c r="D162" i="51" s="1"/>
  <c r="B162" i="52" s="1"/>
  <c r="F161" i="51"/>
  <c r="G161" i="51" s="1"/>
  <c r="B161" i="53" s="1"/>
  <c r="B161" i="51"/>
  <c r="D161" i="51" s="1"/>
  <c r="B161" i="52" s="1"/>
  <c r="F160" i="51"/>
  <c r="G160" i="51" s="1"/>
  <c r="B160" i="53" s="1"/>
  <c r="B160" i="51"/>
  <c r="D160" i="51" s="1"/>
  <c r="B160" i="52" s="1"/>
  <c r="F159" i="51"/>
  <c r="G159" i="51" s="1"/>
  <c r="B159" i="53" s="1"/>
  <c r="B159" i="51"/>
  <c r="D159" i="51" s="1"/>
  <c r="B159" i="52" s="1"/>
  <c r="F158" i="51"/>
  <c r="G158" i="51" s="1"/>
  <c r="B158" i="53" s="1"/>
  <c r="B158" i="51"/>
  <c r="D158" i="51" s="1"/>
  <c r="B158" i="52" s="1"/>
  <c r="F157" i="51"/>
  <c r="G157" i="51" s="1"/>
  <c r="B157" i="53" s="1"/>
  <c r="B157" i="51"/>
  <c r="D157" i="51" s="1"/>
  <c r="B157" i="52" s="1"/>
  <c r="F156" i="51"/>
  <c r="G156" i="51" s="1"/>
  <c r="B156" i="53" s="1"/>
  <c r="B156" i="51"/>
  <c r="D156" i="51" s="1"/>
  <c r="B156" i="52" s="1"/>
  <c r="F155" i="51"/>
  <c r="G155" i="51" s="1"/>
  <c r="B155" i="53" s="1"/>
  <c r="B155" i="51"/>
  <c r="D155" i="51" s="1"/>
  <c r="B155" i="52" s="1"/>
  <c r="F154" i="51"/>
  <c r="G154" i="51" s="1"/>
  <c r="B154" i="53" s="1"/>
  <c r="B154" i="51"/>
  <c r="D154" i="51" s="1"/>
  <c r="B154" i="52" s="1"/>
  <c r="F153" i="51"/>
  <c r="G153" i="51" s="1"/>
  <c r="B153" i="53" s="1"/>
  <c r="B153" i="51"/>
  <c r="D153" i="51" s="1"/>
  <c r="B153" i="52" s="1"/>
  <c r="F152" i="51"/>
  <c r="G152" i="51" s="1"/>
  <c r="B152" i="53" s="1"/>
  <c r="B152" i="51"/>
  <c r="D152" i="51" s="1"/>
  <c r="B152" i="52" s="1"/>
  <c r="F151" i="51"/>
  <c r="G151" i="51" s="1"/>
  <c r="B151" i="53" s="1"/>
  <c r="B151" i="51"/>
  <c r="D151" i="51" s="1"/>
  <c r="B151" i="52" s="1"/>
  <c r="F150" i="51"/>
  <c r="G150" i="51" s="1"/>
  <c r="B150" i="53" s="1"/>
  <c r="B150" i="51"/>
  <c r="D150" i="51" s="1"/>
  <c r="B150" i="52" s="1"/>
  <c r="F149" i="51"/>
  <c r="G149" i="51" s="1"/>
  <c r="B149" i="53" s="1"/>
  <c r="B149" i="51"/>
  <c r="D149" i="51" s="1"/>
  <c r="B149" i="52" s="1"/>
  <c r="F148" i="51"/>
  <c r="G148" i="51" s="1"/>
  <c r="B148" i="53" s="1"/>
  <c r="B148" i="51"/>
  <c r="D148" i="51" s="1"/>
  <c r="B148" i="52" s="1"/>
  <c r="F147" i="51"/>
  <c r="G147" i="51" s="1"/>
  <c r="B147" i="53" s="1"/>
  <c r="B147" i="51"/>
  <c r="D147" i="51" s="1"/>
  <c r="B147" i="52" s="1"/>
  <c r="F146" i="51"/>
  <c r="G146" i="51" s="1"/>
  <c r="B146" i="53" s="1"/>
  <c r="B146" i="51"/>
  <c r="D146" i="51" s="1"/>
  <c r="B146" i="52" s="1"/>
  <c r="F145" i="51"/>
  <c r="G145" i="51" s="1"/>
  <c r="B145" i="53" s="1"/>
  <c r="B145" i="51"/>
  <c r="D145" i="51" s="1"/>
  <c r="B145" i="52" s="1"/>
  <c r="F144" i="51"/>
  <c r="G144" i="51" s="1"/>
  <c r="B144" i="53" s="1"/>
  <c r="B144" i="51"/>
  <c r="D144" i="51" s="1"/>
  <c r="B144" i="52" s="1"/>
  <c r="F143" i="51"/>
  <c r="G143" i="51" s="1"/>
  <c r="B143" i="53" s="1"/>
  <c r="B143" i="51"/>
  <c r="D143" i="51" s="1"/>
  <c r="B143" i="52" s="1"/>
  <c r="F142" i="51"/>
  <c r="G142" i="51" s="1"/>
  <c r="B142" i="53" s="1"/>
  <c r="B142" i="51"/>
  <c r="D142" i="51" s="1"/>
  <c r="B142" i="52" s="1"/>
  <c r="F141" i="51"/>
  <c r="G141" i="51" s="1"/>
  <c r="B141" i="53" s="1"/>
  <c r="B141" i="51"/>
  <c r="D141" i="51" s="1"/>
  <c r="B141" i="52" s="1"/>
  <c r="F140" i="51"/>
  <c r="G140" i="51" s="1"/>
  <c r="B140" i="53" s="1"/>
  <c r="B140" i="51"/>
  <c r="D140" i="51" s="1"/>
  <c r="B140" i="52" s="1"/>
  <c r="F139" i="51"/>
  <c r="G139" i="51" s="1"/>
  <c r="B139" i="53" s="1"/>
  <c r="B139" i="51"/>
  <c r="D139" i="51" s="1"/>
  <c r="B139" i="52" s="1"/>
  <c r="F138" i="51"/>
  <c r="G138" i="51" s="1"/>
  <c r="B138" i="53" s="1"/>
  <c r="B138" i="51"/>
  <c r="D138" i="51" s="1"/>
  <c r="B138" i="52" s="1"/>
  <c r="F137" i="51"/>
  <c r="G137" i="51" s="1"/>
  <c r="B137" i="53" s="1"/>
  <c r="B137" i="51"/>
  <c r="D137" i="51" s="1"/>
  <c r="B137" i="52" s="1"/>
  <c r="F136" i="51"/>
  <c r="G136" i="51" s="1"/>
  <c r="B136" i="53" s="1"/>
  <c r="B136" i="51"/>
  <c r="D136" i="51" s="1"/>
  <c r="B136" i="52" s="1"/>
  <c r="F135" i="51"/>
  <c r="G135" i="51" s="1"/>
  <c r="B135" i="53" s="1"/>
  <c r="B135" i="51"/>
  <c r="D135" i="51" s="1"/>
  <c r="B135" i="52" s="1"/>
  <c r="F134" i="51"/>
  <c r="G134" i="51" s="1"/>
  <c r="B134" i="53" s="1"/>
  <c r="B134" i="51"/>
  <c r="D134" i="51" s="1"/>
  <c r="B134" i="52" s="1"/>
  <c r="F133" i="51"/>
  <c r="G133" i="51" s="1"/>
  <c r="B133" i="53" s="1"/>
  <c r="B133" i="51"/>
  <c r="D133" i="51" s="1"/>
  <c r="B133" i="52" s="1"/>
  <c r="F132" i="51"/>
  <c r="G132" i="51" s="1"/>
  <c r="B132" i="53" s="1"/>
  <c r="B132" i="51"/>
  <c r="D132" i="51" s="1"/>
  <c r="B132" i="52" s="1"/>
  <c r="F131" i="51"/>
  <c r="G131" i="51" s="1"/>
  <c r="B131" i="53" s="1"/>
  <c r="B131" i="51"/>
  <c r="D131" i="51" s="1"/>
  <c r="B131" i="52" s="1"/>
  <c r="F130" i="51"/>
  <c r="G130" i="51" s="1"/>
  <c r="B130" i="53" s="1"/>
  <c r="B130" i="51"/>
  <c r="D130" i="51" s="1"/>
  <c r="B130" i="52" s="1"/>
  <c r="F129" i="51"/>
  <c r="G129" i="51" s="1"/>
  <c r="B129" i="53" s="1"/>
  <c r="B129" i="51"/>
  <c r="D129" i="51" s="1"/>
  <c r="B129" i="52" s="1"/>
  <c r="F128" i="51"/>
  <c r="G128" i="51" s="1"/>
  <c r="B128" i="53" s="1"/>
  <c r="B128" i="51"/>
  <c r="D128" i="51" s="1"/>
  <c r="B128" i="52" s="1"/>
  <c r="F127" i="51"/>
  <c r="G127" i="51" s="1"/>
  <c r="B127" i="53" s="1"/>
  <c r="B127" i="51"/>
  <c r="D127" i="51" s="1"/>
  <c r="B127" i="52" s="1"/>
  <c r="F126" i="51"/>
  <c r="G126" i="51" s="1"/>
  <c r="B126" i="53" s="1"/>
  <c r="B126" i="51"/>
  <c r="D126" i="51" s="1"/>
  <c r="B126" i="52" s="1"/>
  <c r="F125" i="51"/>
  <c r="G125" i="51" s="1"/>
  <c r="B125" i="53" s="1"/>
  <c r="B125" i="51"/>
  <c r="D125" i="51" s="1"/>
  <c r="B125" i="52" s="1"/>
  <c r="F124" i="51"/>
  <c r="G124" i="51" s="1"/>
  <c r="B124" i="53" s="1"/>
  <c r="B124" i="51"/>
  <c r="D124" i="51" s="1"/>
  <c r="B124" i="52" s="1"/>
  <c r="F123" i="51"/>
  <c r="G123" i="51" s="1"/>
  <c r="B123" i="53" s="1"/>
  <c r="B123" i="51"/>
  <c r="D123" i="51" s="1"/>
  <c r="B123" i="52" s="1"/>
  <c r="F122" i="51"/>
  <c r="G122" i="51" s="1"/>
  <c r="B122" i="53" s="1"/>
  <c r="B122" i="51"/>
  <c r="D122" i="51" s="1"/>
  <c r="B122" i="52" s="1"/>
  <c r="F121" i="51"/>
  <c r="G121" i="51" s="1"/>
  <c r="B121" i="53" s="1"/>
  <c r="B121" i="51"/>
  <c r="D121" i="51" s="1"/>
  <c r="B121" i="52" s="1"/>
  <c r="F120" i="51"/>
  <c r="G120" i="51" s="1"/>
  <c r="B120" i="53" s="1"/>
  <c r="B120" i="51"/>
  <c r="D120" i="51" s="1"/>
  <c r="B120" i="52" s="1"/>
  <c r="F119" i="51"/>
  <c r="G119" i="51" s="1"/>
  <c r="B119" i="53" s="1"/>
  <c r="B119" i="51"/>
  <c r="D119" i="51" s="1"/>
  <c r="B119" i="52" s="1"/>
  <c r="F118" i="51"/>
  <c r="G118" i="51" s="1"/>
  <c r="B118" i="53" s="1"/>
  <c r="B118" i="51"/>
  <c r="D118" i="51" s="1"/>
  <c r="B118" i="52" s="1"/>
  <c r="F117" i="51"/>
  <c r="G117" i="51" s="1"/>
  <c r="B117" i="53" s="1"/>
  <c r="B117" i="51"/>
  <c r="D117" i="51" s="1"/>
  <c r="B117" i="52" s="1"/>
  <c r="F116" i="51"/>
  <c r="G116" i="51" s="1"/>
  <c r="B116" i="53" s="1"/>
  <c r="B116" i="51"/>
  <c r="D116" i="51" s="1"/>
  <c r="B116" i="52" s="1"/>
  <c r="F115" i="51"/>
  <c r="G115" i="51" s="1"/>
  <c r="B115" i="53" s="1"/>
  <c r="B115" i="51"/>
  <c r="D115" i="51" s="1"/>
  <c r="B115" i="52" s="1"/>
  <c r="B114" i="51"/>
  <c r="D114" i="51" s="1"/>
  <c r="B114" i="52" s="1"/>
  <c r="C138" i="59" l="1"/>
  <c r="F223" i="44"/>
  <c r="G223" i="44" s="1"/>
  <c r="B223" i="49" s="1"/>
  <c r="F114" i="44"/>
  <c r="G114" i="44" s="1"/>
  <c r="B114" i="49" s="1"/>
  <c r="F115" i="44"/>
  <c r="G115" i="44" s="1"/>
  <c r="B115" i="49" s="1"/>
  <c r="F116" i="44"/>
  <c r="G116" i="44" s="1"/>
  <c r="B116" i="49" s="1"/>
  <c r="F117" i="44"/>
  <c r="G117" i="44" s="1"/>
  <c r="B117" i="49" s="1"/>
  <c r="F118" i="44"/>
  <c r="G118" i="44" s="1"/>
  <c r="B118" i="49" s="1"/>
  <c r="F119" i="44"/>
  <c r="G119" i="44" s="1"/>
  <c r="B119" i="49" s="1"/>
  <c r="F120" i="44"/>
  <c r="G120" i="44" s="1"/>
  <c r="B120" i="49" s="1"/>
  <c r="F121" i="44"/>
  <c r="G121" i="44" s="1"/>
  <c r="B121" i="49" s="1"/>
  <c r="F122" i="44"/>
  <c r="G122" i="44" s="1"/>
  <c r="B122" i="49" s="1"/>
  <c r="F123" i="44"/>
  <c r="G123" i="44" s="1"/>
  <c r="B123" i="49" s="1"/>
  <c r="F124" i="44"/>
  <c r="G124" i="44" s="1"/>
  <c r="B124" i="49" s="1"/>
  <c r="F125" i="44"/>
  <c r="G125" i="44" s="1"/>
  <c r="B125" i="49" s="1"/>
  <c r="F126" i="44"/>
  <c r="G126" i="44" s="1"/>
  <c r="B126" i="49" s="1"/>
  <c r="F127" i="44"/>
  <c r="G127" i="44" s="1"/>
  <c r="B127" i="49" s="1"/>
  <c r="F128" i="44"/>
  <c r="G128" i="44" s="1"/>
  <c r="B128" i="49" s="1"/>
  <c r="F129" i="44"/>
  <c r="G129" i="44" s="1"/>
  <c r="B129" i="49" s="1"/>
  <c r="F130" i="44"/>
  <c r="G130" i="44" s="1"/>
  <c r="B130" i="49" s="1"/>
  <c r="F131" i="44"/>
  <c r="G131" i="44" s="1"/>
  <c r="B131" i="49" s="1"/>
  <c r="F132" i="44"/>
  <c r="G132" i="44" s="1"/>
  <c r="B132" i="49" s="1"/>
  <c r="F133" i="44"/>
  <c r="G133" i="44" s="1"/>
  <c r="B133" i="49" s="1"/>
  <c r="F134" i="44"/>
  <c r="G134" i="44" s="1"/>
  <c r="B134" i="49" s="1"/>
  <c r="F135" i="44"/>
  <c r="G135" i="44" s="1"/>
  <c r="B135" i="49" s="1"/>
  <c r="F136" i="44"/>
  <c r="G136" i="44" s="1"/>
  <c r="B136" i="49" s="1"/>
  <c r="F137" i="44"/>
  <c r="G137" i="44" s="1"/>
  <c r="B137" i="49" s="1"/>
  <c r="F138" i="44"/>
  <c r="G138" i="44" s="1"/>
  <c r="B138" i="49" s="1"/>
  <c r="F139" i="44"/>
  <c r="G139" i="44" s="1"/>
  <c r="B139" i="49" s="1"/>
  <c r="F140" i="44"/>
  <c r="G140" i="44" s="1"/>
  <c r="B140" i="49" s="1"/>
  <c r="F141" i="44"/>
  <c r="G141" i="44" s="1"/>
  <c r="B141" i="49" s="1"/>
  <c r="F142" i="44"/>
  <c r="G142" i="44" s="1"/>
  <c r="B142" i="49" s="1"/>
  <c r="F143" i="44"/>
  <c r="G143" i="44" s="1"/>
  <c r="B143" i="49" s="1"/>
  <c r="F144" i="44"/>
  <c r="G144" i="44" s="1"/>
  <c r="B144" i="49" s="1"/>
  <c r="F145" i="44"/>
  <c r="G145" i="44" s="1"/>
  <c r="B145" i="49" s="1"/>
  <c r="F146" i="44"/>
  <c r="G146" i="44" s="1"/>
  <c r="B146" i="49" s="1"/>
  <c r="F147" i="44"/>
  <c r="G147" i="44" s="1"/>
  <c r="B147" i="49" s="1"/>
  <c r="F148" i="44"/>
  <c r="G148" i="44" s="1"/>
  <c r="B148" i="49" s="1"/>
  <c r="F149" i="44"/>
  <c r="G149" i="44" s="1"/>
  <c r="B149" i="49" s="1"/>
  <c r="F150" i="44"/>
  <c r="G150" i="44" s="1"/>
  <c r="B150" i="49" s="1"/>
  <c r="F151" i="44"/>
  <c r="G151" i="44" s="1"/>
  <c r="B151" i="49" s="1"/>
  <c r="F152" i="44"/>
  <c r="G152" i="44" s="1"/>
  <c r="B152" i="49" s="1"/>
  <c r="F153" i="44"/>
  <c r="G153" i="44" s="1"/>
  <c r="B153" i="49" s="1"/>
  <c r="F154" i="44"/>
  <c r="G154" i="44" s="1"/>
  <c r="B154" i="49" s="1"/>
  <c r="F155" i="44"/>
  <c r="G155" i="44" s="1"/>
  <c r="B155" i="49" s="1"/>
  <c r="F156" i="44"/>
  <c r="G156" i="44" s="1"/>
  <c r="B156" i="49" s="1"/>
  <c r="F157" i="44"/>
  <c r="G157" i="44" s="1"/>
  <c r="B157" i="49" s="1"/>
  <c r="F158" i="44"/>
  <c r="G158" i="44" s="1"/>
  <c r="B158" i="49" s="1"/>
  <c r="F159" i="44"/>
  <c r="G159" i="44" s="1"/>
  <c r="B159" i="49" s="1"/>
  <c r="F160" i="44"/>
  <c r="G160" i="44" s="1"/>
  <c r="B160" i="49" s="1"/>
  <c r="F161" i="44"/>
  <c r="G161" i="44" s="1"/>
  <c r="B161" i="49" s="1"/>
  <c r="F162" i="44"/>
  <c r="G162" i="44" s="1"/>
  <c r="B162" i="49" s="1"/>
  <c r="F163" i="44"/>
  <c r="G163" i="44" s="1"/>
  <c r="B163" i="49" s="1"/>
  <c r="F164" i="44"/>
  <c r="G164" i="44" s="1"/>
  <c r="B164" i="49" s="1"/>
  <c r="F165" i="44"/>
  <c r="G165" i="44" s="1"/>
  <c r="B165" i="49" s="1"/>
  <c r="F166" i="44"/>
  <c r="G166" i="44" s="1"/>
  <c r="B166" i="49" s="1"/>
  <c r="F167" i="44"/>
  <c r="G167" i="44" s="1"/>
  <c r="B167" i="49" s="1"/>
  <c r="F168" i="44"/>
  <c r="G168" i="44" s="1"/>
  <c r="B168" i="49" s="1"/>
  <c r="F169" i="44"/>
  <c r="G169" i="44" s="1"/>
  <c r="B169" i="49" s="1"/>
  <c r="F170" i="44"/>
  <c r="G170" i="44" s="1"/>
  <c r="B170" i="49" s="1"/>
  <c r="F171" i="44"/>
  <c r="G171" i="44" s="1"/>
  <c r="B171" i="49" s="1"/>
  <c r="F172" i="44"/>
  <c r="G172" i="44" s="1"/>
  <c r="B172" i="49" s="1"/>
  <c r="F173" i="44"/>
  <c r="G173" i="44" s="1"/>
  <c r="B173" i="49" s="1"/>
  <c r="F174" i="44"/>
  <c r="G174" i="44" s="1"/>
  <c r="B174" i="49" s="1"/>
  <c r="F175" i="44"/>
  <c r="G175" i="44" s="1"/>
  <c r="B175" i="49" s="1"/>
  <c r="F176" i="44"/>
  <c r="G176" i="44" s="1"/>
  <c r="B176" i="49" s="1"/>
  <c r="F177" i="44"/>
  <c r="G177" i="44" s="1"/>
  <c r="B177" i="49" s="1"/>
  <c r="F178" i="44"/>
  <c r="G178" i="44" s="1"/>
  <c r="B178" i="49" s="1"/>
  <c r="F179" i="44"/>
  <c r="G179" i="44" s="1"/>
  <c r="B179" i="49" s="1"/>
  <c r="F180" i="44"/>
  <c r="G180" i="44" s="1"/>
  <c r="B180" i="49" s="1"/>
  <c r="F181" i="44"/>
  <c r="G181" i="44" s="1"/>
  <c r="B181" i="49" s="1"/>
  <c r="F182" i="44"/>
  <c r="G182" i="44" s="1"/>
  <c r="B182" i="49" s="1"/>
  <c r="F183" i="44"/>
  <c r="G183" i="44" s="1"/>
  <c r="B183" i="49" s="1"/>
  <c r="F184" i="44"/>
  <c r="G184" i="44" s="1"/>
  <c r="B184" i="49" s="1"/>
  <c r="F185" i="44"/>
  <c r="G185" i="44" s="1"/>
  <c r="B185" i="49" s="1"/>
  <c r="F186" i="44"/>
  <c r="G186" i="44" s="1"/>
  <c r="B186" i="49" s="1"/>
  <c r="F187" i="44"/>
  <c r="G187" i="44" s="1"/>
  <c r="B187" i="49" s="1"/>
  <c r="F188" i="44"/>
  <c r="G188" i="44" s="1"/>
  <c r="B188" i="49" s="1"/>
  <c r="F189" i="44"/>
  <c r="G189" i="44" s="1"/>
  <c r="B189" i="49" s="1"/>
  <c r="F190" i="44"/>
  <c r="G190" i="44" s="1"/>
  <c r="B190" i="49" s="1"/>
  <c r="F191" i="44"/>
  <c r="G191" i="44" s="1"/>
  <c r="B191" i="49" s="1"/>
  <c r="F192" i="44"/>
  <c r="G192" i="44" s="1"/>
  <c r="B192" i="49" s="1"/>
  <c r="F193" i="44"/>
  <c r="G193" i="44" s="1"/>
  <c r="B193" i="49" s="1"/>
  <c r="F194" i="44"/>
  <c r="G194" i="44" s="1"/>
  <c r="B194" i="49" s="1"/>
  <c r="F195" i="44"/>
  <c r="G195" i="44" s="1"/>
  <c r="B195" i="49" s="1"/>
  <c r="F196" i="44"/>
  <c r="G196" i="44" s="1"/>
  <c r="B196" i="49" s="1"/>
  <c r="F197" i="44"/>
  <c r="G197" i="44" s="1"/>
  <c r="B197" i="49" s="1"/>
  <c r="F198" i="44"/>
  <c r="G198" i="44" s="1"/>
  <c r="B198" i="49" s="1"/>
  <c r="F199" i="44"/>
  <c r="G199" i="44" s="1"/>
  <c r="B199" i="49" s="1"/>
  <c r="F200" i="44"/>
  <c r="G200" i="44" s="1"/>
  <c r="B200" i="49" s="1"/>
  <c r="F201" i="44"/>
  <c r="G201" i="44" s="1"/>
  <c r="B201" i="49" s="1"/>
  <c r="F202" i="44"/>
  <c r="G202" i="44" s="1"/>
  <c r="B202" i="49" s="1"/>
  <c r="F203" i="44"/>
  <c r="G203" i="44" s="1"/>
  <c r="B203" i="49" s="1"/>
  <c r="F204" i="44"/>
  <c r="G204" i="44" s="1"/>
  <c r="B204" i="49" s="1"/>
  <c r="F205" i="44"/>
  <c r="G205" i="44" s="1"/>
  <c r="B205" i="49" s="1"/>
  <c r="F206" i="44"/>
  <c r="G206" i="44" s="1"/>
  <c r="B206" i="49" s="1"/>
  <c r="F207" i="44"/>
  <c r="G207" i="44" s="1"/>
  <c r="B207" i="49" s="1"/>
  <c r="F208" i="44"/>
  <c r="G208" i="44" s="1"/>
  <c r="B208" i="49" s="1"/>
  <c r="F209" i="44"/>
  <c r="G209" i="44" s="1"/>
  <c r="B209" i="49" s="1"/>
  <c r="F210" i="44"/>
  <c r="G210" i="44" s="1"/>
  <c r="B210" i="49" s="1"/>
  <c r="F211" i="44"/>
  <c r="G211" i="44" s="1"/>
  <c r="B211" i="49" s="1"/>
  <c r="F212" i="44"/>
  <c r="G212" i="44" s="1"/>
  <c r="B212" i="49" s="1"/>
  <c r="F213" i="44"/>
  <c r="G213" i="44" s="1"/>
  <c r="B213" i="49" s="1"/>
  <c r="F214" i="44"/>
  <c r="G214" i="44" s="1"/>
  <c r="B214" i="49" s="1"/>
  <c r="F215" i="44"/>
  <c r="G215" i="44" s="1"/>
  <c r="B215" i="49" s="1"/>
  <c r="F216" i="44"/>
  <c r="G216" i="44" s="1"/>
  <c r="B216" i="49" s="1"/>
  <c r="F217" i="44"/>
  <c r="G217" i="44" s="1"/>
  <c r="B217" i="49" s="1"/>
  <c r="F218" i="44"/>
  <c r="G218" i="44" s="1"/>
  <c r="B218" i="49" s="1"/>
  <c r="F219" i="44"/>
  <c r="G219" i="44" s="1"/>
  <c r="B219" i="49" s="1"/>
  <c r="F220" i="44"/>
  <c r="G220" i="44" s="1"/>
  <c r="B220" i="49" s="1"/>
  <c r="F221" i="44"/>
  <c r="G221" i="44" s="1"/>
  <c r="B221" i="49" s="1"/>
  <c r="F222" i="44"/>
  <c r="G222" i="44" s="1"/>
  <c r="B222" i="49" s="1"/>
  <c r="B114" i="44"/>
  <c r="D114" i="44" s="1"/>
  <c r="B114" i="48" s="1"/>
  <c r="B115" i="44" l="1"/>
  <c r="D115" i="44" s="1"/>
  <c r="B115" i="48" s="1"/>
  <c r="B116" i="44"/>
  <c r="D116" i="44" s="1"/>
  <c r="B116" i="48" s="1"/>
  <c r="B117" i="44"/>
  <c r="D117" i="44" s="1"/>
  <c r="B117" i="48" s="1"/>
  <c r="B118" i="44"/>
  <c r="D118" i="44" s="1"/>
  <c r="B118" i="48" s="1"/>
  <c r="B119" i="44"/>
  <c r="D119" i="44" s="1"/>
  <c r="B119" i="48" s="1"/>
  <c r="B120" i="44"/>
  <c r="D120" i="44" s="1"/>
  <c r="B120" i="48" s="1"/>
  <c r="B121" i="44"/>
  <c r="D121" i="44" s="1"/>
  <c r="B121" i="48" s="1"/>
  <c r="B122" i="44"/>
  <c r="D122" i="44" s="1"/>
  <c r="B122" i="48" s="1"/>
  <c r="B123" i="44"/>
  <c r="D123" i="44" s="1"/>
  <c r="B123" i="48" s="1"/>
  <c r="B124" i="44"/>
  <c r="D124" i="44" s="1"/>
  <c r="B124" i="48" s="1"/>
  <c r="B125" i="44"/>
  <c r="D125" i="44" s="1"/>
  <c r="B125" i="48" s="1"/>
  <c r="B126" i="44"/>
  <c r="D126" i="44" s="1"/>
  <c r="B126" i="48" s="1"/>
  <c r="B127" i="44"/>
  <c r="D127" i="44" s="1"/>
  <c r="B127" i="48" s="1"/>
  <c r="B128" i="44"/>
  <c r="D128" i="44" s="1"/>
  <c r="B128" i="48" s="1"/>
  <c r="B129" i="44"/>
  <c r="D129" i="44" s="1"/>
  <c r="B129" i="48" s="1"/>
  <c r="B130" i="44"/>
  <c r="D130" i="44" s="1"/>
  <c r="B130" i="48" s="1"/>
  <c r="B131" i="44"/>
  <c r="D131" i="44" s="1"/>
  <c r="B131" i="48" s="1"/>
  <c r="B132" i="44"/>
  <c r="D132" i="44" s="1"/>
  <c r="B132" i="48" s="1"/>
  <c r="B133" i="44"/>
  <c r="D133" i="44" s="1"/>
  <c r="B133" i="48" s="1"/>
  <c r="B134" i="44"/>
  <c r="D134" i="44" s="1"/>
  <c r="B134" i="48" s="1"/>
  <c r="B135" i="44"/>
  <c r="D135" i="44" s="1"/>
  <c r="B135" i="48" s="1"/>
  <c r="B136" i="44"/>
  <c r="D136" i="44" s="1"/>
  <c r="B136" i="48" s="1"/>
  <c r="B137" i="44"/>
  <c r="D137" i="44" s="1"/>
  <c r="B137" i="48" s="1"/>
  <c r="B138" i="44"/>
  <c r="D138" i="44" s="1"/>
  <c r="B138" i="48" s="1"/>
  <c r="B139" i="44"/>
  <c r="D139" i="44" s="1"/>
  <c r="B139" i="48" s="1"/>
  <c r="B140" i="44"/>
  <c r="D140" i="44" s="1"/>
  <c r="B140" i="48" s="1"/>
  <c r="B141" i="44"/>
  <c r="D141" i="44" s="1"/>
  <c r="B141" i="48" s="1"/>
  <c r="B142" i="44"/>
  <c r="D142" i="44" s="1"/>
  <c r="B142" i="48" s="1"/>
  <c r="B143" i="44"/>
  <c r="D143" i="44" s="1"/>
  <c r="B143" i="48" s="1"/>
  <c r="B144" i="44"/>
  <c r="D144" i="44" s="1"/>
  <c r="B144" i="48" s="1"/>
  <c r="B145" i="44"/>
  <c r="D145" i="44" s="1"/>
  <c r="B145" i="48" s="1"/>
  <c r="B146" i="44"/>
  <c r="D146" i="44" s="1"/>
  <c r="B146" i="48" s="1"/>
  <c r="B147" i="44"/>
  <c r="D147" i="44" s="1"/>
  <c r="B147" i="48" s="1"/>
  <c r="B148" i="44"/>
  <c r="D148" i="44" s="1"/>
  <c r="B148" i="48" s="1"/>
  <c r="B149" i="44"/>
  <c r="D149" i="44" s="1"/>
  <c r="B149" i="48" s="1"/>
  <c r="B150" i="44"/>
  <c r="D150" i="44" s="1"/>
  <c r="B150" i="48" s="1"/>
  <c r="B151" i="44"/>
  <c r="D151" i="44" s="1"/>
  <c r="B151" i="48" s="1"/>
  <c r="B152" i="44"/>
  <c r="D152" i="44" s="1"/>
  <c r="B152" i="48" s="1"/>
  <c r="B153" i="44"/>
  <c r="D153" i="44" s="1"/>
  <c r="B153" i="48" s="1"/>
  <c r="B154" i="44"/>
  <c r="D154" i="44" s="1"/>
  <c r="B154" i="48" s="1"/>
  <c r="B155" i="44"/>
  <c r="D155" i="44" s="1"/>
  <c r="B155" i="48" s="1"/>
  <c r="B156" i="44"/>
  <c r="D156" i="44" s="1"/>
  <c r="B156" i="48" s="1"/>
  <c r="B157" i="44"/>
  <c r="D157" i="44" s="1"/>
  <c r="B157" i="48" s="1"/>
  <c r="B158" i="44"/>
  <c r="D158" i="44" s="1"/>
  <c r="B158" i="48" s="1"/>
  <c r="B159" i="44"/>
  <c r="D159" i="44" s="1"/>
  <c r="B159" i="48" s="1"/>
  <c r="B160" i="44"/>
  <c r="D160" i="44" s="1"/>
  <c r="B160" i="48" s="1"/>
  <c r="B161" i="44"/>
  <c r="D161" i="44" s="1"/>
  <c r="B161" i="48" s="1"/>
  <c r="B162" i="44"/>
  <c r="D162" i="44" s="1"/>
  <c r="B162" i="48" s="1"/>
  <c r="B163" i="44"/>
  <c r="D163" i="44" s="1"/>
  <c r="B163" i="48" s="1"/>
  <c r="B164" i="44"/>
  <c r="D164" i="44" s="1"/>
  <c r="B164" i="48" s="1"/>
  <c r="B165" i="44"/>
  <c r="D165" i="44" s="1"/>
  <c r="B165" i="48" s="1"/>
  <c r="B166" i="44"/>
  <c r="D166" i="44" s="1"/>
  <c r="B166" i="48" s="1"/>
  <c r="B167" i="44"/>
  <c r="D167" i="44" s="1"/>
  <c r="B167" i="48" s="1"/>
  <c r="B168" i="44"/>
  <c r="D168" i="44" s="1"/>
  <c r="B168" i="48" s="1"/>
  <c r="B169" i="44"/>
  <c r="D169" i="44" s="1"/>
  <c r="B169" i="48" s="1"/>
  <c r="B170" i="44"/>
  <c r="D170" i="44" s="1"/>
  <c r="B170" i="48" s="1"/>
  <c r="B171" i="44"/>
  <c r="D171" i="44" s="1"/>
  <c r="B171" i="48" s="1"/>
  <c r="B172" i="44"/>
  <c r="D172" i="44" s="1"/>
  <c r="B172" i="48" s="1"/>
  <c r="B173" i="44"/>
  <c r="D173" i="44" s="1"/>
  <c r="B173" i="48" s="1"/>
  <c r="B174" i="44"/>
  <c r="D174" i="44" s="1"/>
  <c r="B174" i="48" s="1"/>
  <c r="B175" i="44"/>
  <c r="D175" i="44" s="1"/>
  <c r="B175" i="48" s="1"/>
  <c r="B176" i="44"/>
  <c r="D176" i="44" s="1"/>
  <c r="B176" i="48" s="1"/>
  <c r="B177" i="44"/>
  <c r="D177" i="44" s="1"/>
  <c r="B177" i="48" s="1"/>
  <c r="B178" i="44"/>
  <c r="D178" i="44" s="1"/>
  <c r="B178" i="48" s="1"/>
  <c r="B179" i="44"/>
  <c r="D179" i="44" s="1"/>
  <c r="B179" i="48" s="1"/>
  <c r="B180" i="44"/>
  <c r="D180" i="44" s="1"/>
  <c r="B180" i="48" s="1"/>
  <c r="B181" i="44"/>
  <c r="D181" i="44" s="1"/>
  <c r="B181" i="48" s="1"/>
  <c r="B182" i="44"/>
  <c r="D182" i="44" s="1"/>
  <c r="B182" i="48" s="1"/>
  <c r="B183" i="44"/>
  <c r="D183" i="44" s="1"/>
  <c r="B183" i="48" s="1"/>
  <c r="B184" i="44"/>
  <c r="D184" i="44" s="1"/>
  <c r="B184" i="48" s="1"/>
  <c r="B185" i="44"/>
  <c r="D185" i="44" s="1"/>
  <c r="B185" i="48" s="1"/>
  <c r="B186" i="44"/>
  <c r="D186" i="44" s="1"/>
  <c r="B186" i="48" s="1"/>
  <c r="B187" i="44"/>
  <c r="D187" i="44" s="1"/>
  <c r="B187" i="48" s="1"/>
  <c r="B188" i="44"/>
  <c r="D188" i="44" s="1"/>
  <c r="B188" i="48" s="1"/>
  <c r="B189" i="44"/>
  <c r="D189" i="44" s="1"/>
  <c r="B189" i="48" s="1"/>
  <c r="B190" i="44"/>
  <c r="D190" i="44" s="1"/>
  <c r="B190" i="48" s="1"/>
  <c r="B191" i="44"/>
  <c r="D191" i="44" s="1"/>
  <c r="B191" i="48" s="1"/>
  <c r="B192" i="44"/>
  <c r="D192" i="44" s="1"/>
  <c r="B192" i="48" s="1"/>
  <c r="B193" i="44"/>
  <c r="D193" i="44" s="1"/>
  <c r="B193" i="48" s="1"/>
  <c r="B194" i="44"/>
  <c r="D194" i="44" s="1"/>
  <c r="B194" i="48" s="1"/>
  <c r="B195" i="44"/>
  <c r="D195" i="44" s="1"/>
  <c r="B195" i="48" s="1"/>
  <c r="B196" i="44"/>
  <c r="D196" i="44" s="1"/>
  <c r="B196" i="48" s="1"/>
  <c r="B197" i="44"/>
  <c r="D197" i="44" s="1"/>
  <c r="B197" i="48" s="1"/>
  <c r="B198" i="44"/>
  <c r="D198" i="44" s="1"/>
  <c r="B198" i="48" s="1"/>
  <c r="B199" i="44"/>
  <c r="D199" i="44" s="1"/>
  <c r="B199" i="48" s="1"/>
  <c r="B200" i="44"/>
  <c r="D200" i="44" s="1"/>
  <c r="B200" i="48" s="1"/>
  <c r="B201" i="44"/>
  <c r="D201" i="44" s="1"/>
  <c r="B201" i="48" s="1"/>
  <c r="B202" i="44"/>
  <c r="D202" i="44" s="1"/>
  <c r="B202" i="48" s="1"/>
  <c r="B203" i="44"/>
  <c r="D203" i="44" s="1"/>
  <c r="B203" i="48" s="1"/>
  <c r="B204" i="44"/>
  <c r="D204" i="44" s="1"/>
  <c r="B204" i="48" s="1"/>
  <c r="B205" i="44"/>
  <c r="D205" i="44" s="1"/>
  <c r="B205" i="48" s="1"/>
  <c r="B206" i="44"/>
  <c r="D206" i="44" s="1"/>
  <c r="B206" i="48" s="1"/>
  <c r="B207" i="44"/>
  <c r="D207" i="44" s="1"/>
  <c r="B207" i="48" s="1"/>
  <c r="B208" i="44"/>
  <c r="D208" i="44" s="1"/>
  <c r="B208" i="48" s="1"/>
  <c r="B209" i="44"/>
  <c r="D209" i="44" s="1"/>
  <c r="B209" i="48" s="1"/>
  <c r="B210" i="44"/>
  <c r="D210" i="44" s="1"/>
  <c r="B210" i="48" s="1"/>
  <c r="B211" i="44"/>
  <c r="D211" i="44" s="1"/>
  <c r="B211" i="48" s="1"/>
  <c r="B212" i="44"/>
  <c r="D212" i="44" s="1"/>
  <c r="B212" i="48" s="1"/>
  <c r="B213" i="44"/>
  <c r="D213" i="44" s="1"/>
  <c r="B213" i="48" s="1"/>
  <c r="B214" i="44"/>
  <c r="D214" i="44" s="1"/>
  <c r="B214" i="48" s="1"/>
  <c r="B215" i="44"/>
  <c r="D215" i="44" s="1"/>
  <c r="B215" i="48" s="1"/>
  <c r="B216" i="44"/>
  <c r="D216" i="44" s="1"/>
  <c r="B216" i="48" s="1"/>
  <c r="B217" i="44"/>
  <c r="D217" i="44" s="1"/>
  <c r="B217" i="48" s="1"/>
  <c r="B218" i="44"/>
  <c r="D218" i="44" s="1"/>
  <c r="B218" i="48" s="1"/>
  <c r="B219" i="44"/>
  <c r="D219" i="44" s="1"/>
  <c r="B219" i="48" s="1"/>
  <c r="B220" i="44"/>
  <c r="D220" i="44" s="1"/>
  <c r="B220" i="48" s="1"/>
  <c r="B221" i="44"/>
  <c r="D221" i="44" s="1"/>
  <c r="B221" i="48" s="1"/>
  <c r="B222" i="44"/>
  <c r="D222" i="44" s="1"/>
  <c r="B222" i="48" s="1"/>
  <c r="B223" i="44"/>
  <c r="D223" i="44" s="1"/>
  <c r="B223" i="48" s="1"/>
  <c r="G2" i="43"/>
  <c r="H3" i="43"/>
  <c r="H2" i="43"/>
  <c r="G3" i="43"/>
  <c r="H3" i="42"/>
  <c r="G3" i="42"/>
  <c r="B180" i="46" s="1"/>
  <c r="H2" i="42"/>
  <c r="C82" i="44"/>
  <c r="C83" i="44"/>
  <c r="C84" i="44"/>
  <c r="C85" i="44"/>
  <c r="C86" i="44"/>
  <c r="C87" i="44"/>
  <c r="C88" i="44"/>
  <c r="C89" i="44"/>
  <c r="C90" i="44"/>
  <c r="C91" i="44"/>
  <c r="C92" i="44"/>
  <c r="C93" i="44"/>
  <c r="C94" i="44"/>
  <c r="C95" i="44"/>
  <c r="C96" i="44"/>
  <c r="C97" i="44"/>
  <c r="C98" i="44"/>
  <c r="C99" i="44"/>
  <c r="C100" i="44"/>
  <c r="C101" i="44"/>
  <c r="C102" i="44"/>
  <c r="C103" i="44"/>
  <c r="C104" i="44"/>
  <c r="C105" i="44"/>
  <c r="C106" i="44"/>
  <c r="C107" i="44"/>
  <c r="C108" i="44"/>
  <c r="C109" i="44"/>
  <c r="C110" i="44"/>
  <c r="C111" i="44"/>
  <c r="C112" i="44"/>
  <c r="C113" i="44"/>
  <c r="C114" i="44"/>
  <c r="C115" i="44"/>
  <c r="C116" i="44"/>
  <c r="C117" i="44"/>
  <c r="C118" i="44"/>
  <c r="C119" i="44"/>
  <c r="C120" i="44"/>
  <c r="C121" i="44"/>
  <c r="C122" i="44"/>
  <c r="C123" i="44"/>
  <c r="C124" i="44"/>
  <c r="C125" i="44"/>
  <c r="C126" i="44"/>
  <c r="C127" i="44"/>
  <c r="C128" i="44"/>
  <c r="C129" i="44"/>
  <c r="C130" i="44"/>
  <c r="C131" i="44"/>
  <c r="C132" i="44"/>
  <c r="C133" i="44"/>
  <c r="C134" i="44"/>
  <c r="C135" i="44"/>
  <c r="C136" i="44"/>
  <c r="C137" i="44"/>
  <c r="C138" i="44"/>
  <c r="C139" i="44"/>
  <c r="C140" i="44"/>
  <c r="C141" i="44"/>
  <c r="C142" i="44"/>
  <c r="C143" i="44"/>
  <c r="C144" i="44"/>
  <c r="C145" i="44"/>
  <c r="C146" i="44"/>
  <c r="C147" i="44"/>
  <c r="C148" i="44"/>
  <c r="C149" i="44"/>
  <c r="C150" i="44"/>
  <c r="C151" i="44"/>
  <c r="C152" i="44"/>
  <c r="C153" i="44"/>
  <c r="C154" i="44"/>
  <c r="C155" i="44"/>
  <c r="C156" i="44"/>
  <c r="C157" i="44"/>
  <c r="C158" i="44"/>
  <c r="C159" i="44"/>
  <c r="C160" i="44"/>
  <c r="C161" i="44"/>
  <c r="C162" i="44"/>
  <c r="C163" i="44"/>
  <c r="C164" i="44"/>
  <c r="C165" i="44"/>
  <c r="C166" i="44"/>
  <c r="C167" i="44"/>
  <c r="C168" i="44"/>
  <c r="C169" i="44"/>
  <c r="C170" i="44"/>
  <c r="C171" i="44"/>
  <c r="C172" i="44"/>
  <c r="C173" i="44"/>
  <c r="C174" i="44"/>
  <c r="C175" i="44"/>
  <c r="C176" i="44"/>
  <c r="C177" i="44"/>
  <c r="C178" i="44"/>
  <c r="C179" i="44"/>
  <c r="C180" i="44"/>
  <c r="C181" i="44"/>
  <c r="C182" i="44"/>
  <c r="C183" i="44"/>
  <c r="C184" i="44"/>
  <c r="C185" i="44"/>
  <c r="C186" i="44"/>
  <c r="C187" i="44"/>
  <c r="C188" i="44"/>
  <c r="C189" i="44"/>
  <c r="C190" i="44"/>
  <c r="C191" i="44"/>
  <c r="C192" i="44"/>
  <c r="C193" i="44"/>
  <c r="C194" i="44"/>
  <c r="C195" i="44"/>
  <c r="C196" i="44"/>
  <c r="C197" i="44"/>
  <c r="C198" i="44"/>
  <c r="C199" i="44"/>
  <c r="C200" i="44"/>
  <c r="C201" i="44"/>
  <c r="C202" i="44"/>
  <c r="C203" i="44"/>
  <c r="C204" i="44"/>
  <c r="C205" i="44"/>
  <c r="C206" i="44"/>
  <c r="C207" i="44"/>
  <c r="C208" i="44"/>
  <c r="C209" i="44"/>
  <c r="C210" i="44"/>
  <c r="C211" i="44"/>
  <c r="C212" i="44"/>
  <c r="C213" i="44"/>
  <c r="C81" i="44"/>
  <c r="B96" i="47" l="1"/>
  <c r="C101" i="47"/>
  <c r="C116" i="46"/>
  <c r="C151" i="46"/>
  <c r="C153" i="46"/>
  <c r="C222" i="46"/>
  <c r="C152" i="46"/>
  <c r="B82" i="47"/>
  <c r="C221" i="46"/>
  <c r="C217" i="46"/>
  <c r="C147" i="46"/>
  <c r="C146" i="46"/>
  <c r="C172" i="46"/>
  <c r="C223" i="46"/>
  <c r="B158" i="47"/>
  <c r="C131" i="46"/>
  <c r="C216" i="46"/>
  <c r="C200" i="46"/>
  <c r="C196" i="46"/>
  <c r="B131" i="46"/>
  <c r="C174" i="46"/>
  <c r="C195" i="46"/>
  <c r="C130" i="46"/>
  <c r="C194" i="46"/>
  <c r="C126" i="46"/>
  <c r="C179" i="46"/>
  <c r="C125" i="46"/>
  <c r="C132" i="46"/>
  <c r="C175" i="46"/>
  <c r="C173" i="46"/>
  <c r="C199" i="47"/>
  <c r="B139" i="47"/>
  <c r="C166" i="46"/>
  <c r="C209" i="46"/>
  <c r="C187" i="46"/>
  <c r="C165" i="46"/>
  <c r="C118" i="46"/>
  <c r="B117" i="47"/>
  <c r="C208" i="46"/>
  <c r="C186" i="46"/>
  <c r="C161" i="46"/>
  <c r="C139" i="46"/>
  <c r="C117" i="46"/>
  <c r="B179" i="47"/>
  <c r="C102" i="47"/>
  <c r="C81" i="47"/>
  <c r="B195" i="46"/>
  <c r="B138" i="47"/>
  <c r="C193" i="46"/>
  <c r="C124" i="46"/>
  <c r="B123" i="47"/>
  <c r="C214" i="46"/>
  <c r="C167" i="46"/>
  <c r="C145" i="46"/>
  <c r="C123" i="46"/>
  <c r="C122" i="47"/>
  <c r="C210" i="46"/>
  <c r="C144" i="46"/>
  <c r="C140" i="46"/>
  <c r="C207" i="46"/>
  <c r="C182" i="46"/>
  <c r="C160" i="46"/>
  <c r="C138" i="46"/>
  <c r="B174" i="47"/>
  <c r="B102" i="47"/>
  <c r="C143" i="47"/>
  <c r="B81" i="47"/>
  <c r="B200" i="47"/>
  <c r="C215" i="46"/>
  <c r="C168" i="46"/>
  <c r="B146" i="46"/>
  <c r="B195" i="47"/>
  <c r="C189" i="46"/>
  <c r="B194" i="47"/>
  <c r="C188" i="46"/>
  <c r="C119" i="46"/>
  <c r="B180" i="47"/>
  <c r="B118" i="47"/>
  <c r="C179" i="47"/>
  <c r="C112" i="46"/>
  <c r="C203" i="46"/>
  <c r="C181" i="46"/>
  <c r="C159" i="46"/>
  <c r="C137" i="46"/>
  <c r="C111" i="46"/>
  <c r="B160" i="47"/>
  <c r="C202" i="46"/>
  <c r="C180" i="46"/>
  <c r="C158" i="46"/>
  <c r="C133" i="46"/>
  <c r="B159" i="47"/>
  <c r="B97" i="47"/>
  <c r="C200" i="47"/>
  <c r="B137" i="47"/>
  <c r="C201" i="46"/>
  <c r="C154" i="46"/>
  <c r="C95" i="47"/>
  <c r="C158" i="47"/>
  <c r="B94" i="47"/>
  <c r="B84" i="47"/>
  <c r="B91" i="47"/>
  <c r="B98" i="47"/>
  <c r="B105" i="47"/>
  <c r="B112" i="47"/>
  <c r="B119" i="47"/>
  <c r="B126" i="47"/>
  <c r="B133" i="47"/>
  <c r="B140" i="47"/>
  <c r="B147" i="47"/>
  <c r="B154" i="47"/>
  <c r="B161" i="47"/>
  <c r="B168" i="47"/>
  <c r="B175" i="47"/>
  <c r="B182" i="47"/>
  <c r="B189" i="47"/>
  <c r="B196" i="47"/>
  <c r="B203" i="47"/>
  <c r="B210" i="47"/>
  <c r="B87" i="47"/>
  <c r="B85" i="47"/>
  <c r="B92" i="47"/>
  <c r="B99" i="47"/>
  <c r="B106" i="47"/>
  <c r="B113" i="47"/>
  <c r="B120" i="47"/>
  <c r="B127" i="47"/>
  <c r="B134" i="47"/>
  <c r="B141" i="47"/>
  <c r="B148" i="47"/>
  <c r="B155" i="47"/>
  <c r="B162" i="47"/>
  <c r="B169" i="47"/>
  <c r="B176" i="47"/>
  <c r="B183" i="47"/>
  <c r="B190" i="47"/>
  <c r="B197" i="47"/>
  <c r="B204" i="47"/>
  <c r="B211" i="47"/>
  <c r="B108" i="47"/>
  <c r="B129" i="47"/>
  <c r="B136" i="47"/>
  <c r="B143" i="47"/>
  <c r="B150" i="47"/>
  <c r="B157" i="47"/>
  <c r="B164" i="47"/>
  <c r="B171" i="47"/>
  <c r="B178" i="47"/>
  <c r="B185" i="47"/>
  <c r="B192" i="47"/>
  <c r="B199" i="47"/>
  <c r="B206" i="47"/>
  <c r="B122" i="47"/>
  <c r="B86" i="47"/>
  <c r="B93" i="47"/>
  <c r="B100" i="47"/>
  <c r="B107" i="47"/>
  <c r="B114" i="47"/>
  <c r="B121" i="47"/>
  <c r="B128" i="47"/>
  <c r="B135" i="47"/>
  <c r="B142" i="47"/>
  <c r="B149" i="47"/>
  <c r="B156" i="47"/>
  <c r="B163" i="47"/>
  <c r="B170" i="47"/>
  <c r="B177" i="47"/>
  <c r="B184" i="47"/>
  <c r="B191" i="47"/>
  <c r="B198" i="47"/>
  <c r="B205" i="47"/>
  <c r="B212" i="47"/>
  <c r="B115" i="47"/>
  <c r="B101" i="47"/>
  <c r="C193" i="47"/>
  <c r="B173" i="47"/>
  <c r="B153" i="47"/>
  <c r="C136" i="47"/>
  <c r="B116" i="47"/>
  <c r="B119" i="46"/>
  <c r="B126" i="46"/>
  <c r="B133" i="46"/>
  <c r="B140" i="46"/>
  <c r="B147" i="46"/>
  <c r="B154" i="46"/>
  <c r="B161" i="46"/>
  <c r="B168" i="46"/>
  <c r="B175" i="46"/>
  <c r="B182" i="46"/>
  <c r="B189" i="46"/>
  <c r="B196" i="46"/>
  <c r="B203" i="46"/>
  <c r="B210" i="46"/>
  <c r="B217" i="46"/>
  <c r="B120" i="46"/>
  <c r="B127" i="46"/>
  <c r="B134" i="46"/>
  <c r="B141" i="46"/>
  <c r="B148" i="46"/>
  <c r="B155" i="46"/>
  <c r="B162" i="46"/>
  <c r="B169" i="46"/>
  <c r="B176" i="46"/>
  <c r="B183" i="46"/>
  <c r="B190" i="46"/>
  <c r="B197" i="46"/>
  <c r="B204" i="46"/>
  <c r="B211" i="46"/>
  <c r="B218" i="46"/>
  <c r="B177" i="46"/>
  <c r="B121" i="46"/>
  <c r="B128" i="46"/>
  <c r="B135" i="46"/>
  <c r="B142" i="46"/>
  <c r="B149" i="46"/>
  <c r="B156" i="46"/>
  <c r="B163" i="46"/>
  <c r="B170" i="46"/>
  <c r="B184" i="46"/>
  <c r="B191" i="46"/>
  <c r="B198" i="46"/>
  <c r="B205" i="46"/>
  <c r="B212" i="46"/>
  <c r="B219" i="46"/>
  <c r="B206" i="46"/>
  <c r="B114" i="46"/>
  <c r="B122" i="46"/>
  <c r="B129" i="46"/>
  <c r="B136" i="46"/>
  <c r="B143" i="46"/>
  <c r="B150" i="46"/>
  <c r="B157" i="46"/>
  <c r="B164" i="46"/>
  <c r="B171" i="46"/>
  <c r="B178" i="46"/>
  <c r="B185" i="46"/>
  <c r="B192" i="46"/>
  <c r="B199" i="46"/>
  <c r="B213" i="46"/>
  <c r="B220" i="46"/>
  <c r="B115" i="46"/>
  <c r="B116" i="46"/>
  <c r="B123" i="46"/>
  <c r="B130" i="46"/>
  <c r="B137" i="46"/>
  <c r="B144" i="46"/>
  <c r="B151" i="46"/>
  <c r="B158" i="46"/>
  <c r="B165" i="46"/>
  <c r="B172" i="46"/>
  <c r="B179" i="46"/>
  <c r="B186" i="46"/>
  <c r="B193" i="46"/>
  <c r="B200" i="46"/>
  <c r="B207" i="46"/>
  <c r="B214" i="46"/>
  <c r="B221" i="46"/>
  <c r="C82" i="47"/>
  <c r="C89" i="47"/>
  <c r="C96" i="47"/>
  <c r="C103" i="47"/>
  <c r="C110" i="47"/>
  <c r="C117" i="47"/>
  <c r="C124" i="47"/>
  <c r="C131" i="47"/>
  <c r="C138" i="47"/>
  <c r="C145" i="47"/>
  <c r="C152" i="47"/>
  <c r="C159" i="47"/>
  <c r="C166" i="47"/>
  <c r="C173" i="47"/>
  <c r="C180" i="47"/>
  <c r="C187" i="47"/>
  <c r="C194" i="47"/>
  <c r="C201" i="47"/>
  <c r="C208" i="47"/>
  <c r="C83" i="47"/>
  <c r="C90" i="47"/>
  <c r="C97" i="47"/>
  <c r="C104" i="47"/>
  <c r="C111" i="47"/>
  <c r="C118" i="47"/>
  <c r="C125" i="47"/>
  <c r="C132" i="47"/>
  <c r="C139" i="47"/>
  <c r="C146" i="47"/>
  <c r="C153" i="47"/>
  <c r="C160" i="47"/>
  <c r="C167" i="47"/>
  <c r="C174" i="47"/>
  <c r="C181" i="47"/>
  <c r="C188" i="47"/>
  <c r="C195" i="47"/>
  <c r="C202" i="47"/>
  <c r="C209" i="47"/>
  <c r="C91" i="47"/>
  <c r="C84" i="47"/>
  <c r="C98" i="47"/>
  <c r="C105" i="47"/>
  <c r="C112" i="47"/>
  <c r="C119" i="47"/>
  <c r="C126" i="47"/>
  <c r="C133" i="47"/>
  <c r="C140" i="47"/>
  <c r="C147" i="47"/>
  <c r="C154" i="47"/>
  <c r="C161" i="47"/>
  <c r="C168" i="47"/>
  <c r="C175" i="47"/>
  <c r="C182" i="47"/>
  <c r="C189" i="47"/>
  <c r="C196" i="47"/>
  <c r="C203" i="47"/>
  <c r="C210" i="47"/>
  <c r="C85" i="47"/>
  <c r="C92" i="47"/>
  <c r="C99" i="47"/>
  <c r="C106" i="47"/>
  <c r="C113" i="47"/>
  <c r="C120" i="47"/>
  <c r="C127" i="47"/>
  <c r="C134" i="47"/>
  <c r="C141" i="47"/>
  <c r="C148" i="47"/>
  <c r="C155" i="47"/>
  <c r="C162" i="47"/>
  <c r="C169" i="47"/>
  <c r="C176" i="47"/>
  <c r="C183" i="47"/>
  <c r="C190" i="47"/>
  <c r="C197" i="47"/>
  <c r="C204" i="47"/>
  <c r="C211" i="47"/>
  <c r="C213" i="47"/>
  <c r="C86" i="47"/>
  <c r="C93" i="47"/>
  <c r="C100" i="47"/>
  <c r="C107" i="47"/>
  <c r="C114" i="47"/>
  <c r="C121" i="47"/>
  <c r="C128" i="47"/>
  <c r="C135" i="47"/>
  <c r="C142" i="47"/>
  <c r="C149" i="47"/>
  <c r="C156" i="47"/>
  <c r="C163" i="47"/>
  <c r="C170" i="47"/>
  <c r="C177" i="47"/>
  <c r="C184" i="47"/>
  <c r="C191" i="47"/>
  <c r="C198" i="47"/>
  <c r="C205" i="47"/>
  <c r="C212" i="47"/>
  <c r="B213" i="47"/>
  <c r="C172" i="47"/>
  <c r="B152" i="47"/>
  <c r="B132" i="47"/>
  <c r="B95" i="47"/>
  <c r="B194" i="46"/>
  <c r="B223" i="46"/>
  <c r="C157" i="47"/>
  <c r="C116" i="47"/>
  <c r="G91" i="44"/>
  <c r="B91" i="49" s="1"/>
  <c r="D91" i="44"/>
  <c r="B91" i="48" s="1"/>
  <c r="B208" i="46"/>
  <c r="B174" i="46"/>
  <c r="B125" i="46"/>
  <c r="G90" i="44"/>
  <c r="B90" i="49" s="1"/>
  <c r="D90" i="44"/>
  <c r="B90" i="48" s="1"/>
  <c r="C115" i="47"/>
  <c r="G89" i="44"/>
  <c r="B89" i="49" s="1"/>
  <c r="D89" i="44"/>
  <c r="B89" i="48" s="1"/>
  <c r="B222" i="46"/>
  <c r="B188" i="46"/>
  <c r="B173" i="46"/>
  <c r="B124" i="46"/>
  <c r="C192" i="47"/>
  <c r="C151" i="47"/>
  <c r="C94" i="47"/>
  <c r="G81" i="44"/>
  <c r="B81" i="49" s="1"/>
  <c r="D81" i="44"/>
  <c r="B81" i="48" s="1"/>
  <c r="D102" i="44"/>
  <c r="B102" i="48" s="1"/>
  <c r="G102" i="44"/>
  <c r="B102" i="49" s="1"/>
  <c r="D88" i="44"/>
  <c r="B88" i="48" s="1"/>
  <c r="G88" i="44"/>
  <c r="B88" i="49" s="1"/>
  <c r="B208" i="47"/>
  <c r="B188" i="47"/>
  <c r="C171" i="47"/>
  <c r="B151" i="47"/>
  <c r="C130" i="47"/>
  <c r="B110" i="47"/>
  <c r="B90" i="47"/>
  <c r="G93" i="44"/>
  <c r="B93" i="49" s="1"/>
  <c r="D93" i="44"/>
  <c r="B93" i="48" s="1"/>
  <c r="B209" i="46"/>
  <c r="B145" i="46"/>
  <c r="C178" i="47"/>
  <c r="G105" i="44"/>
  <c r="B105" i="49" s="1"/>
  <c r="D105" i="44"/>
  <c r="B105" i="48" s="1"/>
  <c r="B159" i="46"/>
  <c r="D103" i="44"/>
  <c r="B103" i="48" s="1"/>
  <c r="G103" i="44"/>
  <c r="B103" i="49" s="1"/>
  <c r="B111" i="47"/>
  <c r="C88" i="47"/>
  <c r="G107" i="44"/>
  <c r="B107" i="49" s="1"/>
  <c r="D107" i="44"/>
  <c r="B107" i="48" s="1"/>
  <c r="C137" i="47"/>
  <c r="B160" i="46"/>
  <c r="G104" i="44"/>
  <c r="B104" i="49" s="1"/>
  <c r="D104" i="44"/>
  <c r="B104" i="48" s="1"/>
  <c r="B193" i="47"/>
  <c r="B139" i="46"/>
  <c r="B209" i="47"/>
  <c r="B172" i="47"/>
  <c r="B131" i="47"/>
  <c r="D101" i="44"/>
  <c r="B101" i="48" s="1"/>
  <c r="G101" i="44"/>
  <c r="B101" i="49" s="1"/>
  <c r="D87" i="44"/>
  <c r="B87" i="48" s="1"/>
  <c r="G87" i="44"/>
  <c r="B87" i="49" s="1"/>
  <c r="B202" i="46"/>
  <c r="B187" i="46"/>
  <c r="B153" i="46"/>
  <c r="B138" i="46"/>
  <c r="C207" i="47"/>
  <c r="B187" i="47"/>
  <c r="B167" i="47"/>
  <c r="C150" i="47"/>
  <c r="B130" i="47"/>
  <c r="C109" i="47"/>
  <c r="B89" i="47"/>
  <c r="B207" i="47"/>
  <c r="C186" i="47"/>
  <c r="B166" i="47"/>
  <c r="B146" i="47"/>
  <c r="C129" i="47"/>
  <c r="B109" i="47"/>
  <c r="B216" i="46"/>
  <c r="B201" i="46"/>
  <c r="B167" i="46"/>
  <c r="B152" i="46"/>
  <c r="B118" i="46"/>
  <c r="C206" i="47"/>
  <c r="B186" i="47"/>
  <c r="C165" i="47"/>
  <c r="B145" i="47"/>
  <c r="B125" i="47"/>
  <c r="C108" i="47"/>
  <c r="B88" i="47"/>
  <c r="B202" i="47"/>
  <c r="C185" i="47"/>
  <c r="B165" i="47"/>
  <c r="C144" i="47"/>
  <c r="B124" i="47"/>
  <c r="B104" i="47"/>
  <c r="C87" i="47"/>
  <c r="B215" i="46"/>
  <c r="B181" i="46"/>
  <c r="B166" i="46"/>
  <c r="B132" i="46"/>
  <c r="B117" i="46"/>
  <c r="B201" i="47"/>
  <c r="B181" i="47"/>
  <c r="C164" i="47"/>
  <c r="B144" i="47"/>
  <c r="C123" i="47"/>
  <c r="B103" i="47"/>
  <c r="B83" i="47"/>
  <c r="D100" i="44"/>
  <c r="B100" i="48" s="1"/>
  <c r="G100" i="44"/>
  <c r="B100" i="49" s="1"/>
  <c r="D86" i="44"/>
  <c r="B86" i="48" s="1"/>
  <c r="G86" i="44"/>
  <c r="B86" i="49" s="1"/>
  <c r="G113" i="44"/>
  <c r="B113" i="49" s="1"/>
  <c r="D113" i="44"/>
  <c r="B113" i="48" s="1"/>
  <c r="D99" i="44"/>
  <c r="B99" i="48" s="1"/>
  <c r="G99" i="44"/>
  <c r="B99" i="49" s="1"/>
  <c r="D85" i="44"/>
  <c r="B85" i="48" s="1"/>
  <c r="G85" i="44"/>
  <c r="B85" i="49" s="1"/>
  <c r="C220" i="46"/>
  <c r="C213" i="46"/>
  <c r="C206" i="46"/>
  <c r="C199" i="46"/>
  <c r="C192" i="46"/>
  <c r="C185" i="46"/>
  <c r="C178" i="46"/>
  <c r="C171" i="46"/>
  <c r="C164" i="46"/>
  <c r="C157" i="46"/>
  <c r="C150" i="46"/>
  <c r="C143" i="46"/>
  <c r="C136" i="46"/>
  <c r="C129" i="46"/>
  <c r="C122" i="46"/>
  <c r="G112" i="44"/>
  <c r="B112" i="49" s="1"/>
  <c r="D112" i="44"/>
  <c r="B112" i="48" s="1"/>
  <c r="G98" i="44"/>
  <c r="B98" i="49" s="1"/>
  <c r="D98" i="44"/>
  <c r="B98" i="48" s="1"/>
  <c r="D84" i="44"/>
  <c r="B84" i="48" s="1"/>
  <c r="G84" i="44"/>
  <c r="B84" i="49" s="1"/>
  <c r="D111" i="44"/>
  <c r="B111" i="48" s="1"/>
  <c r="G111" i="44"/>
  <c r="B111" i="49" s="1"/>
  <c r="D97" i="44"/>
  <c r="B97" i="48" s="1"/>
  <c r="G97" i="44"/>
  <c r="B97" i="49" s="1"/>
  <c r="D83" i="44"/>
  <c r="B83" i="48" s="1"/>
  <c r="G83" i="44"/>
  <c r="B83" i="49" s="1"/>
  <c r="C219" i="46"/>
  <c r="C212" i="46"/>
  <c r="C205" i="46"/>
  <c r="C198" i="46"/>
  <c r="C191" i="46"/>
  <c r="C184" i="46"/>
  <c r="C177" i="46"/>
  <c r="C170" i="46"/>
  <c r="C163" i="46"/>
  <c r="C156" i="46"/>
  <c r="C149" i="46"/>
  <c r="C142" i="46"/>
  <c r="C135" i="46"/>
  <c r="C128" i="46"/>
  <c r="C121" i="46"/>
  <c r="C115" i="46"/>
  <c r="D82" i="44"/>
  <c r="B82" i="48" s="1"/>
  <c r="G82" i="44"/>
  <c r="B82" i="49" s="1"/>
  <c r="C114" i="46"/>
  <c r="D110" i="44"/>
  <c r="B110" i="48" s="1"/>
  <c r="G110" i="44"/>
  <c r="B110" i="49" s="1"/>
  <c r="D96" i="44"/>
  <c r="B96" i="48" s="1"/>
  <c r="G96" i="44"/>
  <c r="B96" i="49" s="1"/>
  <c r="D109" i="44"/>
  <c r="B109" i="48" s="1"/>
  <c r="G109" i="44"/>
  <c r="B109" i="49" s="1"/>
  <c r="D95" i="44"/>
  <c r="B95" i="48" s="1"/>
  <c r="G95" i="44"/>
  <c r="B95" i="49" s="1"/>
  <c r="C218" i="46"/>
  <c r="C211" i="46"/>
  <c r="C204" i="46"/>
  <c r="C197" i="46"/>
  <c r="C190" i="46"/>
  <c r="C183" i="46"/>
  <c r="C176" i="46"/>
  <c r="C169" i="46"/>
  <c r="C162" i="46"/>
  <c r="C155" i="46"/>
  <c r="C148" i="46"/>
  <c r="C141" i="46"/>
  <c r="C134" i="46"/>
  <c r="C127" i="46"/>
  <c r="C120" i="46"/>
  <c r="C113" i="46"/>
  <c r="G108" i="44"/>
  <c r="B108" i="49" s="1"/>
  <c r="D108" i="44"/>
  <c r="B108" i="48" s="1"/>
  <c r="G94" i="44"/>
  <c r="B94" i="49" s="1"/>
  <c r="D94" i="44"/>
  <c r="B94" i="48" s="1"/>
  <c r="D106" i="44"/>
  <c r="B106" i="48" s="1"/>
  <c r="G106" i="44"/>
  <c r="B106" i="49" s="1"/>
  <c r="G92" i="44"/>
  <c r="B92" i="49" s="1"/>
  <c r="D92" i="44"/>
  <c r="B92" i="48" s="1"/>
  <c r="B15" i="39"/>
  <c r="D15" i="39"/>
  <c r="G15" i="39"/>
  <c r="Q15" i="39"/>
  <c r="R15" i="39"/>
  <c r="B16" i="39"/>
  <c r="D16" i="39"/>
  <c r="G16" i="39"/>
  <c r="Q16" i="39"/>
  <c r="R16" i="39"/>
  <c r="B17" i="39"/>
  <c r="D17" i="39"/>
  <c r="G17" i="39"/>
  <c r="Q17" i="39"/>
  <c r="R17" i="39"/>
  <c r="B18" i="39"/>
  <c r="D18" i="39"/>
  <c r="G18" i="39"/>
  <c r="Q18" i="39"/>
  <c r="R18" i="39"/>
  <c r="B19" i="39"/>
  <c r="D19" i="39"/>
  <c r="G19" i="39"/>
  <c r="Q19" i="39"/>
  <c r="R19" i="39"/>
  <c r="B20" i="39"/>
  <c r="D20" i="39"/>
  <c r="G20" i="39"/>
  <c r="Q20" i="39"/>
  <c r="R20" i="39"/>
  <c r="B21" i="39"/>
  <c r="D21" i="39"/>
  <c r="G21" i="39"/>
  <c r="Q21" i="39"/>
  <c r="R21" i="39"/>
  <c r="B22" i="39"/>
  <c r="D22" i="39"/>
  <c r="G22" i="39"/>
  <c r="Q22" i="39"/>
  <c r="R22" i="39"/>
  <c r="B23" i="39"/>
  <c r="D23" i="39"/>
  <c r="G23" i="39"/>
  <c r="Q23" i="39"/>
  <c r="R23" i="39"/>
  <c r="B24" i="39"/>
  <c r="D24" i="39"/>
  <c r="G24" i="39"/>
  <c r="Q24" i="39"/>
  <c r="R24" i="39"/>
  <c r="B25" i="39"/>
  <c r="D25" i="39"/>
  <c r="G25" i="39"/>
  <c r="Q25" i="39"/>
  <c r="R25" i="39"/>
  <c r="B26" i="39"/>
  <c r="D26" i="39"/>
  <c r="G26" i="39"/>
  <c r="Q26" i="39"/>
  <c r="R26" i="39"/>
  <c r="B27" i="39"/>
  <c r="D27" i="39"/>
  <c r="G27" i="39"/>
  <c r="Q27" i="39"/>
  <c r="R27" i="39"/>
  <c r="B28" i="39"/>
  <c r="D28" i="39"/>
  <c r="G28" i="39"/>
  <c r="Q28" i="39"/>
  <c r="R28" i="39"/>
  <c r="B29" i="39"/>
  <c r="D29" i="39"/>
  <c r="G29" i="39"/>
  <c r="Q29" i="39"/>
  <c r="R29" i="39"/>
  <c r="B30" i="39"/>
  <c r="D30" i="39"/>
  <c r="G30" i="39"/>
  <c r="Q30" i="39"/>
  <c r="R30" i="39"/>
  <c r="B31" i="39"/>
  <c r="D31" i="39"/>
  <c r="G31" i="39"/>
  <c r="Q31" i="39"/>
  <c r="R31" i="39"/>
  <c r="B32" i="39"/>
  <c r="D32" i="39"/>
  <c r="G32" i="39"/>
  <c r="Q32" i="39"/>
  <c r="R32" i="39"/>
  <c r="B33" i="39"/>
  <c r="D33" i="39"/>
  <c r="G33" i="39"/>
  <c r="Q33" i="39"/>
  <c r="R33" i="39"/>
  <c r="B34" i="39"/>
  <c r="D34" i="39"/>
  <c r="G34" i="39"/>
  <c r="Q34" i="39"/>
  <c r="R34" i="39"/>
  <c r="B35" i="39"/>
  <c r="D35" i="39"/>
  <c r="G35" i="39"/>
  <c r="Q35" i="39"/>
  <c r="R35" i="39"/>
  <c r="B36" i="39"/>
  <c r="D36" i="39"/>
  <c r="G36" i="39"/>
  <c r="Q36" i="39"/>
  <c r="R36" i="39"/>
  <c r="B37" i="39"/>
  <c r="D37" i="39"/>
  <c r="G37" i="39"/>
  <c r="Q37" i="39"/>
  <c r="R37" i="39"/>
  <c r="B38" i="39"/>
  <c r="D38" i="39"/>
  <c r="G38" i="39"/>
  <c r="Q38" i="39"/>
  <c r="R38" i="39"/>
  <c r="B39" i="39"/>
  <c r="D39" i="39"/>
  <c r="G39" i="39"/>
  <c r="Q39" i="39"/>
  <c r="R39" i="39"/>
  <c r="B40" i="39"/>
  <c r="D40" i="39"/>
  <c r="G40" i="39"/>
  <c r="Q40" i="39"/>
  <c r="R40" i="39"/>
  <c r="B41" i="39"/>
  <c r="D41" i="39"/>
  <c r="G41" i="39"/>
  <c r="Q41" i="39"/>
  <c r="R41" i="39"/>
  <c r="B42" i="39"/>
  <c r="D42" i="39"/>
  <c r="G42" i="39"/>
  <c r="Q42" i="39"/>
  <c r="R42" i="39"/>
  <c r="B43" i="39"/>
  <c r="D43" i="39"/>
  <c r="G43" i="39"/>
  <c r="Q43" i="39"/>
  <c r="R43" i="39"/>
  <c r="B44" i="39"/>
  <c r="D44" i="39"/>
  <c r="G44" i="39"/>
  <c r="Q44" i="39"/>
  <c r="R44" i="39"/>
  <c r="B45" i="39"/>
  <c r="D45" i="39"/>
  <c r="G45" i="39"/>
  <c r="Q45" i="39"/>
  <c r="R45" i="39"/>
  <c r="B46" i="39"/>
  <c r="D46" i="39"/>
  <c r="G46" i="39"/>
  <c r="Q46" i="39"/>
  <c r="R46" i="39"/>
  <c r="B47" i="39"/>
  <c r="D47" i="39"/>
  <c r="G47" i="39"/>
  <c r="Q47" i="39"/>
  <c r="R47" i="39"/>
  <c r="B48" i="39"/>
  <c r="D48" i="39"/>
  <c r="G48" i="39"/>
  <c r="Q48" i="39"/>
  <c r="R48" i="39"/>
  <c r="B49" i="39"/>
  <c r="D49" i="39"/>
  <c r="G49" i="39"/>
  <c r="Q49" i="39"/>
  <c r="R49" i="39"/>
  <c r="B50" i="39"/>
  <c r="D50" i="39"/>
  <c r="G50" i="39"/>
  <c r="Q50" i="39"/>
  <c r="R50" i="39"/>
  <c r="B51" i="39"/>
  <c r="D51" i="39"/>
  <c r="G51" i="39"/>
  <c r="Q51" i="39"/>
  <c r="R51" i="39"/>
  <c r="B52" i="39"/>
  <c r="D52" i="39"/>
  <c r="G52" i="39"/>
  <c r="Q52" i="39"/>
  <c r="R52" i="39"/>
  <c r="B53" i="39"/>
  <c r="D53" i="39"/>
  <c r="G53" i="39"/>
  <c r="Q53" i="39"/>
  <c r="R53" i="39"/>
  <c r="B54" i="39"/>
  <c r="D54" i="39"/>
  <c r="G54" i="39"/>
  <c r="Q54" i="39"/>
  <c r="R54" i="39"/>
  <c r="B55" i="39"/>
  <c r="D55" i="39"/>
  <c r="G55" i="39"/>
  <c r="Q55" i="39"/>
  <c r="R55" i="39"/>
  <c r="B56" i="39"/>
  <c r="D56" i="39"/>
  <c r="G56" i="39"/>
  <c r="Q56" i="39"/>
  <c r="R56" i="39"/>
  <c r="B57" i="39"/>
  <c r="D57" i="39"/>
  <c r="G57" i="39"/>
  <c r="Q57" i="39"/>
  <c r="R57" i="39"/>
  <c r="B58" i="39"/>
  <c r="D58" i="39"/>
  <c r="G58" i="39"/>
  <c r="Q58" i="39"/>
  <c r="R58" i="39"/>
  <c r="B59" i="39"/>
  <c r="D59" i="39"/>
  <c r="G59" i="39"/>
  <c r="Q59" i="39"/>
  <c r="R59" i="39"/>
  <c r="B60" i="39"/>
  <c r="D60" i="39"/>
  <c r="G60" i="39"/>
  <c r="Q60" i="39"/>
  <c r="R60" i="39"/>
  <c r="B61" i="39"/>
  <c r="D61" i="39"/>
  <c r="G61" i="39"/>
  <c r="Q61" i="39"/>
  <c r="R61" i="39"/>
  <c r="B62" i="39"/>
  <c r="D62" i="39"/>
  <c r="G62" i="39"/>
  <c r="Q62" i="39"/>
  <c r="R62" i="39"/>
  <c r="B63" i="39"/>
  <c r="D63" i="39"/>
  <c r="G63" i="39"/>
  <c r="Q63" i="39"/>
  <c r="R63" i="39"/>
  <c r="B64" i="39"/>
  <c r="D64" i="39"/>
  <c r="G64" i="39"/>
  <c r="Q64" i="39"/>
  <c r="R64" i="39"/>
  <c r="B65" i="39"/>
  <c r="D65" i="39"/>
  <c r="G65" i="39"/>
  <c r="Q65" i="39"/>
  <c r="R65" i="39"/>
  <c r="B66" i="39"/>
  <c r="D66" i="39"/>
  <c r="G66" i="39"/>
  <c r="Q66" i="39"/>
  <c r="R66" i="39"/>
  <c r="B67" i="39"/>
  <c r="D67" i="39"/>
  <c r="G67" i="39"/>
  <c r="Q67" i="39"/>
  <c r="R67" i="39"/>
  <c r="B68" i="39"/>
  <c r="D68" i="39"/>
  <c r="G68" i="39"/>
  <c r="Q68" i="39"/>
  <c r="R68" i="39"/>
  <c r="B69" i="39"/>
  <c r="D69" i="39"/>
  <c r="G69" i="39"/>
  <c r="Q69" i="39"/>
  <c r="R69" i="39"/>
  <c r="B70" i="39"/>
  <c r="D70" i="39"/>
  <c r="G70" i="39"/>
  <c r="Q70" i="39"/>
  <c r="R70" i="39"/>
  <c r="B71" i="39"/>
  <c r="D71" i="39"/>
  <c r="G71" i="39"/>
  <c r="Q71" i="39"/>
  <c r="R71" i="39"/>
  <c r="B72" i="39"/>
  <c r="D72" i="39"/>
  <c r="G72" i="39"/>
  <c r="Q72" i="39"/>
  <c r="R72" i="39"/>
  <c r="B73" i="39"/>
  <c r="D73" i="39"/>
  <c r="G73" i="39"/>
  <c r="Q73" i="39"/>
  <c r="R73" i="39"/>
  <c r="B74" i="39"/>
  <c r="D74" i="39"/>
  <c r="G74" i="39"/>
  <c r="Q74" i="39"/>
  <c r="R74" i="39"/>
  <c r="B75" i="39"/>
  <c r="D75" i="39"/>
  <c r="G75" i="39"/>
  <c r="Q75" i="39"/>
  <c r="R75" i="39"/>
  <c r="B76" i="39"/>
  <c r="D76" i="39"/>
  <c r="G76" i="39"/>
  <c r="Q76" i="39"/>
  <c r="R76" i="39"/>
  <c r="B77" i="39"/>
  <c r="D77" i="39"/>
  <c r="G77" i="39"/>
  <c r="Q77" i="39"/>
  <c r="R77" i="39"/>
  <c r="B78" i="39"/>
  <c r="D78" i="39"/>
  <c r="G78" i="39"/>
  <c r="Q78" i="39"/>
  <c r="R78" i="39"/>
  <c r="B79" i="39"/>
  <c r="D79" i="39"/>
  <c r="G79" i="39"/>
  <c r="Q79" i="39"/>
  <c r="R79" i="39"/>
  <c r="B80" i="39"/>
  <c r="D80" i="39"/>
  <c r="G80" i="39"/>
  <c r="Q80" i="39"/>
  <c r="R80" i="39"/>
  <c r="B81" i="39"/>
  <c r="D81" i="39"/>
  <c r="G81" i="39"/>
  <c r="Q81" i="39"/>
  <c r="R81" i="39"/>
  <c r="B82" i="39"/>
  <c r="D82" i="39"/>
  <c r="G82" i="39"/>
  <c r="Q82" i="39"/>
  <c r="R82" i="39"/>
  <c r="B83" i="39"/>
  <c r="D83" i="39"/>
  <c r="G83" i="39"/>
  <c r="Q83" i="39"/>
  <c r="R83" i="39"/>
  <c r="B84" i="39"/>
  <c r="D84" i="39"/>
  <c r="G84" i="39"/>
  <c r="Q84" i="39"/>
  <c r="R84" i="39"/>
  <c r="B85" i="39"/>
  <c r="D85" i="39"/>
  <c r="G85" i="39"/>
  <c r="Q85" i="39"/>
  <c r="R85" i="39"/>
  <c r="B86" i="39"/>
  <c r="D86" i="39"/>
  <c r="G86" i="39"/>
  <c r="Q86" i="39"/>
  <c r="R86" i="39"/>
  <c r="B87" i="39"/>
  <c r="D87" i="39"/>
  <c r="G87" i="39"/>
  <c r="Q87" i="39"/>
  <c r="R87" i="39"/>
  <c r="B88" i="39"/>
  <c r="D88" i="39"/>
  <c r="G88" i="39"/>
  <c r="Q88" i="39"/>
  <c r="R88" i="39"/>
  <c r="B89" i="39"/>
  <c r="D89" i="39"/>
  <c r="G89" i="39"/>
  <c r="Q89" i="39"/>
  <c r="R89" i="39"/>
  <c r="B90" i="39"/>
  <c r="D90" i="39"/>
  <c r="G90" i="39"/>
  <c r="Q90" i="39"/>
  <c r="R90" i="39"/>
  <c r="B91" i="39"/>
  <c r="D91" i="39"/>
  <c r="G91" i="39"/>
  <c r="Q91" i="39"/>
  <c r="R91" i="39"/>
  <c r="B92" i="39"/>
  <c r="D92" i="39"/>
  <c r="G92" i="39"/>
  <c r="Q92" i="39"/>
  <c r="R92" i="39"/>
  <c r="B93" i="39"/>
  <c r="D93" i="39"/>
  <c r="G93" i="39"/>
  <c r="Q93" i="39"/>
  <c r="R93" i="39"/>
  <c r="B94" i="39"/>
  <c r="D94" i="39"/>
  <c r="G94" i="39"/>
  <c r="Q94" i="39"/>
  <c r="R94" i="39"/>
  <c r="B95" i="39"/>
  <c r="D95" i="39"/>
  <c r="G95" i="39"/>
  <c r="Q95" i="39"/>
  <c r="R95" i="39"/>
  <c r="B96" i="39"/>
  <c r="D96" i="39"/>
  <c r="G96" i="39"/>
  <c r="Q96" i="39"/>
  <c r="R96" i="39"/>
  <c r="B97" i="39"/>
  <c r="D97" i="39"/>
  <c r="G97" i="39"/>
  <c r="Q97" i="39"/>
  <c r="R97" i="39"/>
  <c r="B98" i="39"/>
  <c r="D98" i="39"/>
  <c r="G98" i="39"/>
  <c r="Q98" i="39"/>
  <c r="R98" i="39"/>
  <c r="B99" i="39"/>
  <c r="D99" i="39"/>
  <c r="G99" i="39"/>
  <c r="Q99" i="39"/>
  <c r="R99" i="39"/>
  <c r="B100" i="39"/>
  <c r="D100" i="39"/>
  <c r="G100" i="39"/>
  <c r="Q100" i="39"/>
  <c r="R100" i="39"/>
  <c r="B101" i="39"/>
  <c r="D101" i="39"/>
  <c r="G101" i="39"/>
  <c r="Q101" i="39"/>
  <c r="R101" i="39"/>
  <c r="B102" i="39"/>
  <c r="D102" i="39"/>
  <c r="G102" i="39"/>
  <c r="Q102" i="39"/>
  <c r="R102" i="39"/>
  <c r="B103" i="39"/>
  <c r="D103" i="39"/>
  <c r="G103" i="39"/>
  <c r="Q103" i="39"/>
  <c r="R103" i="39"/>
  <c r="B104" i="39"/>
  <c r="D104" i="39"/>
  <c r="G104" i="39"/>
  <c r="Q104" i="39"/>
  <c r="R104" i="39"/>
  <c r="B105" i="39"/>
  <c r="D105" i="39"/>
  <c r="G105" i="39"/>
  <c r="Q105" i="39"/>
  <c r="R105" i="39"/>
  <c r="B106" i="39"/>
  <c r="D106" i="39"/>
  <c r="G106" i="39"/>
  <c r="Q106" i="39"/>
  <c r="R106" i="39"/>
  <c r="B107" i="39"/>
  <c r="D107" i="39"/>
  <c r="G107" i="39"/>
  <c r="Q107" i="39"/>
  <c r="R107" i="39"/>
  <c r="B108" i="39"/>
  <c r="D108" i="39"/>
  <c r="G108" i="39"/>
  <c r="Q108" i="39"/>
  <c r="R108" i="39"/>
  <c r="B109" i="39"/>
  <c r="D109" i="39"/>
  <c r="G109" i="39"/>
  <c r="Q109" i="39"/>
  <c r="R109" i="39"/>
  <c r="B110" i="39"/>
  <c r="D110" i="39"/>
  <c r="G110" i="39"/>
  <c r="Q110" i="39"/>
  <c r="R110" i="39"/>
  <c r="B111" i="39"/>
  <c r="D111" i="39"/>
  <c r="G111" i="39"/>
  <c r="Q111" i="39"/>
  <c r="R111" i="39"/>
  <c r="B112" i="39"/>
  <c r="D112" i="39"/>
  <c r="G112" i="39"/>
  <c r="Q112" i="39"/>
  <c r="R112" i="39"/>
  <c r="B113" i="39"/>
  <c r="D113" i="39"/>
  <c r="G113" i="39"/>
  <c r="Q113" i="39"/>
  <c r="R113" i="39"/>
  <c r="B114" i="39"/>
  <c r="D114" i="39"/>
  <c r="G114" i="39"/>
  <c r="Q114" i="39"/>
  <c r="R114" i="39"/>
  <c r="B115" i="39"/>
  <c r="D115" i="39"/>
  <c r="G115" i="39"/>
  <c r="Q115" i="39"/>
  <c r="R115" i="39"/>
  <c r="B116" i="39"/>
  <c r="D116" i="39"/>
  <c r="G116" i="39"/>
  <c r="Q116" i="39"/>
  <c r="R116" i="39"/>
  <c r="B117" i="39"/>
  <c r="D117" i="39"/>
  <c r="G117" i="39"/>
  <c r="Q117" i="39"/>
  <c r="R117" i="39"/>
  <c r="B118" i="39"/>
  <c r="D118" i="39"/>
  <c r="G118" i="39"/>
  <c r="Q118" i="39"/>
  <c r="R118" i="39"/>
  <c r="B119" i="39"/>
  <c r="D119" i="39"/>
  <c r="G119" i="39"/>
  <c r="Q119" i="39"/>
  <c r="R119" i="39"/>
  <c r="B120" i="39"/>
  <c r="D120" i="39"/>
  <c r="G120" i="39"/>
  <c r="Q120" i="39"/>
  <c r="R120" i="39"/>
  <c r="B121" i="39"/>
  <c r="D121" i="39"/>
  <c r="G121" i="39"/>
  <c r="Q121" i="39"/>
  <c r="R121" i="39"/>
  <c r="B122" i="39"/>
  <c r="D122" i="39"/>
  <c r="G122" i="39"/>
  <c r="Q122" i="39"/>
  <c r="R122" i="39"/>
  <c r="B123" i="39"/>
  <c r="D123" i="39"/>
  <c r="G123" i="39"/>
  <c r="Q123" i="39"/>
  <c r="R123" i="39"/>
  <c r="B124" i="39"/>
  <c r="D124" i="39"/>
  <c r="G124" i="39"/>
  <c r="Q124" i="39"/>
  <c r="R124" i="39"/>
  <c r="B125" i="39"/>
  <c r="D125" i="39"/>
  <c r="G125" i="39"/>
  <c r="Q125" i="39"/>
  <c r="R125" i="39"/>
  <c r="B126" i="39"/>
  <c r="D126" i="39"/>
  <c r="G126" i="39"/>
  <c r="Q126" i="39"/>
  <c r="R126" i="39"/>
  <c r="B127" i="39"/>
  <c r="D127" i="39"/>
  <c r="G127" i="39"/>
  <c r="Q127" i="39"/>
  <c r="R127" i="39"/>
  <c r="B128" i="39"/>
  <c r="D128" i="39"/>
  <c r="G128" i="39"/>
  <c r="Q128" i="39"/>
  <c r="R128" i="39"/>
  <c r="B129" i="39"/>
  <c r="D129" i="39"/>
  <c r="G129" i="39"/>
  <c r="Q129" i="39"/>
  <c r="R129" i="39"/>
  <c r="B130" i="39"/>
  <c r="D130" i="39"/>
  <c r="G130" i="39"/>
  <c r="Q130" i="39"/>
  <c r="R130" i="39"/>
  <c r="B131" i="39"/>
  <c r="D131" i="39"/>
  <c r="G131" i="39"/>
  <c r="Q131" i="39"/>
  <c r="R131" i="39"/>
  <c r="B132" i="39"/>
  <c r="D132" i="39"/>
  <c r="G132" i="39"/>
  <c r="Q132" i="39"/>
  <c r="R132" i="39"/>
  <c r="B133" i="39"/>
  <c r="D133" i="39"/>
  <c r="G133" i="39"/>
  <c r="Q133" i="39"/>
  <c r="R133" i="39"/>
  <c r="B134" i="39"/>
  <c r="D134" i="39"/>
  <c r="G134" i="39"/>
  <c r="Q134" i="39"/>
  <c r="R134" i="39"/>
  <c r="B135" i="39"/>
  <c r="D135" i="39"/>
  <c r="G135" i="39"/>
  <c r="Q135" i="39"/>
  <c r="R135" i="39"/>
  <c r="B136" i="39"/>
  <c r="D136" i="39"/>
  <c r="G136" i="39"/>
  <c r="Q136" i="39"/>
  <c r="R136" i="39"/>
  <c r="B137" i="39"/>
  <c r="D137" i="39"/>
  <c r="G137" i="39"/>
  <c r="Q137" i="39"/>
  <c r="R137" i="39"/>
  <c r="B138" i="39"/>
  <c r="D138" i="39"/>
  <c r="G138" i="39"/>
  <c r="Q138" i="39"/>
  <c r="R138" i="39"/>
  <c r="B139" i="39"/>
  <c r="D139" i="39"/>
  <c r="G139" i="39"/>
  <c r="Q139" i="39"/>
  <c r="R139" i="39"/>
  <c r="B140" i="39"/>
  <c r="D140" i="39"/>
  <c r="G140" i="39"/>
  <c r="Q140" i="39"/>
  <c r="R140" i="39"/>
  <c r="B141" i="39"/>
  <c r="D141" i="39"/>
  <c r="G141" i="39"/>
  <c r="Q141" i="39"/>
  <c r="R141" i="39"/>
  <c r="B142" i="39"/>
  <c r="D142" i="39"/>
  <c r="G142" i="39"/>
  <c r="Q142" i="39"/>
  <c r="R142" i="39"/>
  <c r="B143" i="39"/>
  <c r="D143" i="39"/>
  <c r="G143" i="39"/>
  <c r="Q143" i="39"/>
  <c r="R143" i="39"/>
  <c r="B144" i="39"/>
  <c r="D144" i="39"/>
  <c r="G144" i="39"/>
  <c r="Q144" i="39"/>
  <c r="R144" i="39"/>
  <c r="B145" i="39"/>
  <c r="D145" i="39"/>
  <c r="G145" i="39"/>
  <c r="Q145" i="39"/>
  <c r="R145" i="39"/>
  <c r="B146" i="39"/>
  <c r="D146" i="39"/>
  <c r="G146" i="39"/>
  <c r="Q146" i="39"/>
  <c r="R146" i="39"/>
  <c r="B147" i="39"/>
  <c r="D147" i="39"/>
  <c r="G147" i="39"/>
  <c r="Q147" i="39"/>
  <c r="R147" i="39"/>
  <c r="B148" i="39"/>
  <c r="D148" i="39"/>
  <c r="G148" i="39"/>
  <c r="Q148" i="39"/>
  <c r="R148" i="39"/>
  <c r="B149" i="39"/>
  <c r="D149" i="39"/>
  <c r="G149" i="39"/>
  <c r="Q149" i="39"/>
  <c r="R149" i="39"/>
  <c r="B150" i="39"/>
  <c r="D150" i="39"/>
  <c r="G150" i="39"/>
  <c r="Q150" i="39"/>
  <c r="R150" i="39"/>
  <c r="B151" i="39"/>
  <c r="D151" i="39"/>
  <c r="G151" i="39"/>
  <c r="Q151" i="39"/>
  <c r="R151" i="39"/>
  <c r="B152" i="39"/>
  <c r="D152" i="39"/>
  <c r="G152" i="39"/>
  <c r="Q152" i="39"/>
  <c r="R152" i="39"/>
  <c r="B153" i="39"/>
  <c r="D153" i="39"/>
  <c r="G153" i="39"/>
  <c r="Q153" i="39"/>
  <c r="R153" i="39"/>
  <c r="B154" i="39"/>
  <c r="D154" i="39"/>
  <c r="G154" i="39"/>
  <c r="Q154" i="39"/>
  <c r="R154" i="39"/>
  <c r="B155" i="39"/>
  <c r="D155" i="39"/>
  <c r="G155" i="39"/>
  <c r="Q155" i="39"/>
  <c r="R155" i="39"/>
  <c r="B156" i="39"/>
  <c r="D156" i="39"/>
  <c r="G156" i="39"/>
  <c r="Q156" i="39"/>
  <c r="R156" i="39"/>
  <c r="B157" i="39"/>
  <c r="D157" i="39"/>
  <c r="G157" i="39"/>
  <c r="Q157" i="39"/>
  <c r="R157" i="39"/>
  <c r="B158" i="39"/>
  <c r="D158" i="39"/>
  <c r="G158" i="39"/>
  <c r="Q158" i="39"/>
  <c r="R158" i="39"/>
  <c r="B159" i="39"/>
  <c r="D159" i="39"/>
  <c r="G159" i="39"/>
  <c r="Q159" i="39"/>
  <c r="R159" i="39"/>
  <c r="B160" i="39"/>
  <c r="D160" i="39"/>
  <c r="G160" i="39"/>
  <c r="Q160" i="39"/>
  <c r="R160" i="39"/>
  <c r="B161" i="39"/>
  <c r="D161" i="39"/>
  <c r="G161" i="39"/>
  <c r="Q161" i="39"/>
  <c r="R161" i="39"/>
  <c r="B162" i="39"/>
  <c r="D162" i="39"/>
  <c r="G162" i="39"/>
  <c r="Q162" i="39"/>
  <c r="R162" i="39"/>
  <c r="B163" i="39"/>
  <c r="D163" i="39"/>
  <c r="G163" i="39"/>
  <c r="Q163" i="39"/>
  <c r="R163" i="39"/>
  <c r="B164" i="39"/>
  <c r="D164" i="39"/>
  <c r="G164" i="39"/>
  <c r="Q164" i="39"/>
  <c r="R164" i="39"/>
  <c r="B165" i="39"/>
  <c r="D165" i="39"/>
  <c r="G165" i="39"/>
  <c r="Q165" i="39"/>
  <c r="R165" i="39"/>
  <c r="B166" i="39"/>
  <c r="D166" i="39"/>
  <c r="G166" i="39"/>
  <c r="Q166" i="39"/>
  <c r="R166" i="39"/>
  <c r="B167" i="39"/>
  <c r="D167" i="39"/>
  <c r="G167" i="39"/>
  <c r="Q167" i="39"/>
  <c r="R167" i="39"/>
  <c r="B168" i="39"/>
  <c r="D168" i="39"/>
  <c r="G168" i="39"/>
  <c r="Q168" i="39"/>
  <c r="R168" i="39"/>
  <c r="B169" i="39"/>
  <c r="D169" i="39"/>
  <c r="G169" i="39"/>
  <c r="Q169" i="39"/>
  <c r="R169" i="39"/>
  <c r="B170" i="39"/>
  <c r="D170" i="39"/>
  <c r="G170" i="39"/>
  <c r="Q170" i="39"/>
  <c r="R170" i="39"/>
  <c r="B171" i="39"/>
  <c r="D171" i="39"/>
  <c r="G171" i="39"/>
  <c r="Q171" i="39"/>
  <c r="R171" i="39"/>
  <c r="B172" i="39"/>
  <c r="D172" i="39"/>
  <c r="G172" i="39"/>
  <c r="Q172" i="39"/>
  <c r="R172" i="39"/>
  <c r="B173" i="39"/>
  <c r="D173" i="39"/>
  <c r="G173" i="39"/>
  <c r="Q173" i="39"/>
  <c r="R173" i="39"/>
  <c r="B174" i="39"/>
  <c r="D174" i="39"/>
  <c r="G174" i="39"/>
  <c r="Q174" i="39"/>
  <c r="R174" i="39"/>
  <c r="B175" i="39"/>
  <c r="D175" i="39"/>
  <c r="G175" i="39"/>
  <c r="Q175" i="39"/>
  <c r="R175" i="39"/>
  <c r="B176" i="39"/>
  <c r="D176" i="39"/>
  <c r="G176" i="39"/>
  <c r="Q176" i="39"/>
  <c r="R176" i="39"/>
  <c r="B177" i="39"/>
  <c r="D177" i="39"/>
  <c r="G177" i="39"/>
  <c r="Q177" i="39"/>
  <c r="R177" i="39"/>
  <c r="B178" i="39"/>
  <c r="D178" i="39"/>
  <c r="G178" i="39"/>
  <c r="Q178" i="39"/>
  <c r="R178" i="39"/>
  <c r="B179" i="39"/>
  <c r="D179" i="39"/>
  <c r="G179" i="39"/>
  <c r="Q179" i="39"/>
  <c r="R179" i="39"/>
  <c r="B180" i="39"/>
  <c r="D180" i="39"/>
  <c r="G180" i="39"/>
  <c r="Q180" i="39"/>
  <c r="R180" i="39"/>
  <c r="B181" i="39"/>
  <c r="D181" i="39"/>
  <c r="G181" i="39"/>
  <c r="Q181" i="39"/>
  <c r="R181" i="39"/>
  <c r="B182" i="39"/>
  <c r="D182" i="39"/>
  <c r="G182" i="39"/>
  <c r="Q182" i="39"/>
  <c r="R182" i="39"/>
  <c r="B183" i="39"/>
  <c r="D183" i="39"/>
  <c r="G183" i="39"/>
  <c r="Q183" i="39"/>
  <c r="R183" i="39"/>
  <c r="B184" i="39"/>
  <c r="D184" i="39"/>
  <c r="G184" i="39"/>
  <c r="Q184" i="39"/>
  <c r="R184" i="39"/>
  <c r="B185" i="39"/>
  <c r="D185" i="39"/>
  <c r="G185" i="39"/>
  <c r="Q185" i="39"/>
  <c r="R185" i="39"/>
  <c r="B186" i="39"/>
  <c r="D186" i="39"/>
  <c r="G186" i="39"/>
  <c r="Q186" i="39"/>
  <c r="R186" i="39"/>
  <c r="B187" i="39"/>
  <c r="D187" i="39"/>
  <c r="G187" i="39"/>
  <c r="Q187" i="39"/>
  <c r="R187" i="39"/>
  <c r="B188" i="39"/>
  <c r="D188" i="39"/>
  <c r="G188" i="39"/>
  <c r="Q188" i="39"/>
  <c r="R188" i="39"/>
  <c r="B189" i="39"/>
  <c r="D189" i="39"/>
  <c r="G189" i="39"/>
  <c r="Q189" i="39"/>
  <c r="R189" i="39"/>
  <c r="B190" i="39"/>
  <c r="D190" i="39"/>
  <c r="G190" i="39"/>
  <c r="Q190" i="39"/>
  <c r="R190" i="39"/>
  <c r="B191" i="39"/>
  <c r="D191" i="39"/>
  <c r="G191" i="39"/>
  <c r="Q191" i="39"/>
  <c r="R191" i="39"/>
  <c r="B192" i="39"/>
  <c r="D192" i="39"/>
  <c r="G192" i="39"/>
  <c r="Q192" i="39"/>
  <c r="R192" i="39"/>
  <c r="B193" i="39"/>
  <c r="D193" i="39"/>
  <c r="G193" i="39"/>
  <c r="Q193" i="39"/>
  <c r="R193" i="39"/>
  <c r="B194" i="39"/>
  <c r="D194" i="39"/>
  <c r="G194" i="39"/>
  <c r="Q194" i="39"/>
  <c r="R194" i="39"/>
  <c r="B195" i="39"/>
  <c r="D195" i="39"/>
  <c r="G195" i="39"/>
  <c r="Q195" i="39"/>
  <c r="R195" i="39"/>
  <c r="B196" i="39"/>
  <c r="D196" i="39"/>
  <c r="G196" i="39"/>
  <c r="Q196" i="39"/>
  <c r="R196" i="39"/>
  <c r="B197" i="39"/>
  <c r="D197" i="39"/>
  <c r="G197" i="39"/>
  <c r="Q197" i="39"/>
  <c r="R197" i="39"/>
  <c r="B198" i="39"/>
  <c r="D198" i="39"/>
  <c r="G198" i="39"/>
  <c r="Q198" i="39"/>
  <c r="R198" i="39"/>
  <c r="B199" i="39"/>
  <c r="D199" i="39"/>
  <c r="G199" i="39"/>
  <c r="Q199" i="39"/>
  <c r="R199" i="39"/>
  <c r="B200" i="39"/>
  <c r="D200" i="39"/>
  <c r="G200" i="39"/>
  <c r="Q200" i="39"/>
  <c r="R200" i="39"/>
  <c r="B201" i="39"/>
  <c r="D201" i="39"/>
  <c r="G201" i="39"/>
  <c r="Q201" i="39"/>
  <c r="R201" i="39"/>
  <c r="B202" i="39"/>
  <c r="D202" i="39"/>
  <c r="G202" i="39"/>
  <c r="Q202" i="39"/>
  <c r="R202" i="39"/>
  <c r="B203" i="39"/>
  <c r="D203" i="39"/>
  <c r="G203" i="39"/>
  <c r="Q203" i="39"/>
  <c r="R203" i="39"/>
  <c r="B204" i="39"/>
  <c r="D204" i="39"/>
  <c r="G204" i="39"/>
  <c r="Q204" i="39"/>
  <c r="R204" i="39"/>
  <c r="B205" i="39"/>
  <c r="D205" i="39"/>
  <c r="G205" i="39"/>
  <c r="Q205" i="39"/>
  <c r="R205" i="39"/>
  <c r="B206" i="39"/>
  <c r="D206" i="39"/>
  <c r="G206" i="39"/>
  <c r="Q206" i="39"/>
  <c r="R206" i="39"/>
  <c r="B207" i="39"/>
  <c r="D207" i="39"/>
  <c r="G207" i="39"/>
  <c r="Q207" i="39"/>
  <c r="R207" i="39"/>
  <c r="B208" i="39"/>
  <c r="D208" i="39"/>
  <c r="G208" i="39"/>
  <c r="Q208" i="39"/>
  <c r="R208" i="39"/>
  <c r="B209" i="39"/>
  <c r="D209" i="39"/>
  <c r="G209" i="39"/>
  <c r="Q209" i="39"/>
  <c r="R209" i="39"/>
  <c r="B210" i="39"/>
  <c r="D210" i="39"/>
  <c r="G210" i="39"/>
  <c r="Q210" i="39"/>
  <c r="R210" i="39"/>
  <c r="B211" i="39"/>
  <c r="D211" i="39"/>
  <c r="G211" i="39"/>
  <c r="Q211" i="39"/>
  <c r="R211" i="39"/>
  <c r="B212" i="39"/>
  <c r="D212" i="39"/>
  <c r="G212" i="39"/>
  <c r="Q212" i="39"/>
  <c r="R212" i="39"/>
  <c r="B213" i="39"/>
  <c r="D213" i="39"/>
  <c r="G213" i="39"/>
  <c r="Q213" i="39"/>
  <c r="R213" i="39"/>
  <c r="B214" i="39"/>
  <c r="D214" i="39"/>
  <c r="G214" i="39"/>
  <c r="Q214" i="39"/>
  <c r="R214" i="39"/>
  <c r="B215" i="39"/>
  <c r="D215" i="39"/>
  <c r="G215" i="39"/>
  <c r="Q215" i="39"/>
  <c r="R215" i="39"/>
  <c r="B216" i="39"/>
  <c r="D216" i="39"/>
  <c r="G216" i="39"/>
  <c r="Q216" i="39"/>
  <c r="R216" i="39"/>
  <c r="B217" i="39"/>
  <c r="D217" i="39"/>
  <c r="G217" i="39"/>
  <c r="Q217" i="39"/>
  <c r="R217" i="39"/>
  <c r="B218" i="39"/>
  <c r="D218" i="39"/>
  <c r="G218" i="39"/>
  <c r="Q218" i="39"/>
  <c r="R218" i="39"/>
  <c r="B219" i="39"/>
  <c r="D219" i="39"/>
  <c r="G219" i="39"/>
  <c r="Q219" i="39"/>
  <c r="R219" i="39"/>
  <c r="B220" i="39"/>
  <c r="D220" i="39"/>
  <c r="G220" i="39"/>
  <c r="Q220" i="39"/>
  <c r="R220" i="39"/>
  <c r="B221" i="39"/>
  <c r="D221" i="39"/>
  <c r="G221" i="39"/>
  <c r="Q221" i="39"/>
  <c r="R221" i="39"/>
  <c r="D14" i="39"/>
  <c r="G14" i="39"/>
  <c r="N14" i="39"/>
  <c r="Q14" i="39"/>
  <c r="R14" i="39"/>
  <c r="B181" i="41" l="1"/>
  <c r="B97" i="41"/>
  <c r="B27" i="41"/>
  <c r="B209" i="41"/>
  <c r="B139" i="41"/>
  <c r="B111" i="41"/>
  <c r="B55" i="41"/>
  <c r="B210" i="41"/>
  <c r="B125" i="41"/>
  <c r="B167" i="41"/>
  <c r="B153" i="41"/>
  <c r="B83" i="41"/>
  <c r="B69" i="41"/>
  <c r="B41" i="41"/>
  <c r="B124" i="41"/>
  <c r="B84" i="41"/>
  <c r="B70" i="41"/>
  <c r="B195" i="41"/>
  <c r="B216" i="41"/>
  <c r="B184" i="41"/>
  <c r="B121" i="41"/>
  <c r="B65" i="41"/>
  <c r="B23" i="41"/>
  <c r="B185" i="41"/>
  <c r="B136" i="41"/>
  <c r="B126" i="41"/>
  <c r="B66" i="41"/>
  <c r="B38" i="41"/>
  <c r="B194" i="41"/>
  <c r="B175" i="41"/>
  <c r="B161" i="41"/>
  <c r="B133" i="41"/>
  <c r="B110" i="41"/>
  <c r="B68" i="41"/>
  <c r="B220" i="41"/>
  <c r="B156" i="41"/>
  <c r="B142" i="41"/>
  <c r="B100" i="41"/>
  <c r="B51" i="41"/>
  <c r="B30" i="41"/>
  <c r="B188" i="41"/>
  <c r="B146" i="41"/>
  <c r="B90" i="41"/>
  <c r="B48" i="41"/>
  <c r="B34" i="41"/>
  <c r="B192" i="41"/>
  <c r="B164" i="41"/>
  <c r="B115" i="41"/>
  <c r="B101" i="41"/>
  <c r="B87" i="41"/>
  <c r="B45" i="41"/>
  <c r="B31" i="41"/>
  <c r="B24" i="41"/>
  <c r="B221" i="41"/>
  <c r="B208" i="41"/>
  <c r="B203" i="41"/>
  <c r="B189" i="41"/>
  <c r="B180" i="41"/>
  <c r="B166" i="41"/>
  <c r="B152" i="41"/>
  <c r="B147" i="41"/>
  <c r="B138" i="41"/>
  <c r="B119" i="41"/>
  <c r="B105" i="41"/>
  <c r="B96" i="41"/>
  <c r="B91" i="41"/>
  <c r="B82" i="41"/>
  <c r="B77" i="41"/>
  <c r="B63" i="41"/>
  <c r="B54" i="41"/>
  <c r="B49" i="41"/>
  <c r="B40" i="41"/>
  <c r="B35" i="41"/>
  <c r="B26" i="41"/>
  <c r="B21" i="41"/>
  <c r="B213" i="41"/>
  <c r="B170" i="41"/>
  <c r="B107" i="41"/>
  <c r="B72" i="41"/>
  <c r="B76" i="41"/>
  <c r="B199" i="41"/>
  <c r="B171" i="41"/>
  <c r="B140" i="41"/>
  <c r="B73" i="41"/>
  <c r="B186" i="41"/>
  <c r="B158" i="41"/>
  <c r="B144" i="41"/>
  <c r="B130" i="41"/>
  <c r="B109" i="41"/>
  <c r="B95" i="41"/>
  <c r="B81" i="41"/>
  <c r="B67" i="41"/>
  <c r="B53" i="41"/>
  <c r="B46" i="41"/>
  <c r="B39" i="41"/>
  <c r="B32" i="41"/>
  <c r="B25" i="41"/>
  <c r="B18" i="41"/>
  <c r="B205" i="41"/>
  <c r="B177" i="41"/>
  <c r="B149" i="41"/>
  <c r="B93" i="41"/>
  <c r="B58" i="41"/>
  <c r="B160" i="41"/>
  <c r="B20" i="41"/>
  <c r="B206" i="41"/>
  <c r="B157" i="41"/>
  <c r="B143" i="41"/>
  <c r="B122" i="41"/>
  <c r="B52" i="41"/>
  <c r="B179" i="41"/>
  <c r="B151" i="41"/>
  <c r="B137" i="41"/>
  <c r="B123" i="41"/>
  <c r="B116" i="41"/>
  <c r="B102" i="41"/>
  <c r="B88" i="41"/>
  <c r="B74" i="41"/>
  <c r="B60" i="41"/>
  <c r="B163" i="41"/>
  <c r="B114" i="41"/>
  <c r="B44" i="41"/>
  <c r="B132" i="41"/>
  <c r="B168" i="41"/>
  <c r="B129" i="41"/>
  <c r="B98" i="41"/>
  <c r="B59" i="41"/>
  <c r="B17" i="41"/>
  <c r="B193" i="41"/>
  <c r="B14" i="41"/>
  <c r="B197" i="41"/>
  <c r="B190" i="41"/>
  <c r="B148" i="41"/>
  <c r="B141" i="41"/>
  <c r="B134" i="41"/>
  <c r="B127" i="41"/>
  <c r="B120" i="41"/>
  <c r="B113" i="41"/>
  <c r="B106" i="41"/>
  <c r="B99" i="41"/>
  <c r="B92" i="41"/>
  <c r="B85" i="41"/>
  <c r="B78" i="41"/>
  <c r="B71" i="41"/>
  <c r="B64" i="41"/>
  <c r="B57" i="41"/>
  <c r="B50" i="41"/>
  <c r="B43" i="41"/>
  <c r="B36" i="41"/>
  <c r="B29" i="41"/>
  <c r="B22" i="41"/>
  <c r="B15" i="41"/>
  <c r="B198" i="41"/>
  <c r="B128" i="41"/>
  <c r="B79" i="41"/>
  <c r="B202" i="41"/>
  <c r="B104" i="41"/>
  <c r="B196" i="41"/>
  <c r="B150" i="41"/>
  <c r="B108" i="41"/>
  <c r="B42" i="41"/>
  <c r="B207" i="41"/>
  <c r="B172" i="41"/>
  <c r="B176" i="41"/>
  <c r="B155" i="41"/>
  <c r="B191" i="41"/>
  <c r="B135" i="41"/>
  <c r="B86" i="41"/>
  <c r="B37" i="41"/>
  <c r="B16" i="41"/>
  <c r="B212" i="41"/>
  <c r="B174" i="41"/>
  <c r="B118" i="41"/>
  <c r="B62" i="41"/>
  <c r="B182" i="41"/>
  <c r="B178" i="41"/>
  <c r="B154" i="41"/>
  <c r="B112" i="41"/>
  <c r="B94" i="41"/>
  <c r="B80" i="41"/>
  <c r="B56" i="41"/>
  <c r="B28" i="41"/>
  <c r="B200" i="41"/>
  <c r="B165" i="41"/>
  <c r="B204" i="41"/>
  <c r="B183" i="41"/>
  <c r="B169" i="41"/>
  <c r="B162" i="41"/>
  <c r="B211" i="41"/>
  <c r="B214" i="41"/>
  <c r="B201" i="41"/>
  <c r="B187" i="41"/>
  <c r="B173" i="41"/>
  <c r="B159" i="41"/>
  <c r="B145" i="41"/>
  <c r="B131" i="41"/>
  <c r="B117" i="41"/>
  <c r="B103" i="41"/>
  <c r="B89" i="41"/>
  <c r="B75" i="41"/>
  <c r="B61" i="41"/>
  <c r="B47" i="41"/>
  <c r="B33" i="41"/>
  <c r="B19" i="41"/>
  <c r="B218" i="41"/>
  <c r="B215" i="41"/>
  <c r="B219" i="41"/>
  <c r="B217" i="41"/>
  <c r="B217" i="31"/>
  <c r="B19" i="34"/>
  <c r="B15" i="34"/>
  <c r="B16" i="34"/>
  <c r="B17" i="34"/>
  <c r="B18" i="34"/>
  <c r="B20" i="34"/>
  <c r="B21" i="34"/>
  <c r="B22" i="34"/>
  <c r="B23" i="34"/>
  <c r="B24" i="34"/>
  <c r="B25" i="34"/>
  <c r="B26" i="34"/>
  <c r="B27" i="34"/>
  <c r="B28" i="34"/>
  <c r="B29" i="34"/>
  <c r="B30" i="34"/>
  <c r="B31" i="34"/>
  <c r="B32" i="34"/>
  <c r="B33" i="34"/>
  <c r="B34" i="34"/>
  <c r="B35" i="34"/>
  <c r="B36" i="34"/>
  <c r="B37" i="34"/>
  <c r="B38" i="34"/>
  <c r="B39" i="34"/>
  <c r="B40" i="34"/>
  <c r="B41" i="34"/>
  <c r="B42" i="34"/>
  <c r="B43" i="34"/>
  <c r="B44" i="34"/>
  <c r="B45" i="34"/>
  <c r="B46" i="34"/>
  <c r="B47" i="34"/>
  <c r="B48" i="34"/>
  <c r="B49" i="34"/>
  <c r="B50" i="34"/>
  <c r="B51" i="34"/>
  <c r="B52" i="34"/>
  <c r="B53" i="34"/>
  <c r="B54" i="34"/>
  <c r="B55" i="34"/>
  <c r="B56" i="34"/>
  <c r="B57" i="34"/>
  <c r="B58" i="34"/>
  <c r="B59" i="34"/>
  <c r="B60" i="34"/>
  <c r="B61" i="34"/>
  <c r="B62" i="34"/>
  <c r="B63" i="34"/>
  <c r="B64" i="34"/>
  <c r="B65" i="34"/>
  <c r="B66" i="34"/>
  <c r="B67" i="34"/>
  <c r="B68" i="34"/>
  <c r="B69" i="34"/>
  <c r="B70" i="34"/>
  <c r="B71" i="34"/>
  <c r="B72" i="34"/>
  <c r="B73" i="34"/>
  <c r="B74" i="34"/>
  <c r="B75" i="34"/>
  <c r="B76" i="34"/>
  <c r="B77" i="34"/>
  <c r="B78" i="34"/>
  <c r="B79" i="34"/>
  <c r="B80" i="34"/>
  <c r="B81" i="34"/>
  <c r="B82" i="34"/>
  <c r="B83" i="34"/>
  <c r="B84" i="34"/>
  <c r="B85" i="34"/>
  <c r="B86" i="34"/>
  <c r="B87" i="34"/>
  <c r="B88" i="34"/>
  <c r="B89" i="34"/>
  <c r="B90" i="34"/>
  <c r="B91" i="34"/>
  <c r="B92" i="34"/>
  <c r="B93" i="34"/>
  <c r="B94" i="34"/>
  <c r="B95" i="34"/>
  <c r="B96" i="34"/>
  <c r="B97" i="34"/>
  <c r="B98" i="34"/>
  <c r="B99" i="34"/>
  <c r="B100" i="34"/>
  <c r="B101" i="34"/>
  <c r="B102" i="34"/>
  <c r="B103" i="34"/>
  <c r="B104" i="34"/>
  <c r="B105" i="34"/>
  <c r="B106" i="34"/>
  <c r="B107" i="34"/>
  <c r="B108" i="34"/>
  <c r="B109" i="34"/>
  <c r="B110" i="34"/>
  <c r="B111" i="34"/>
  <c r="B112" i="34"/>
  <c r="B113" i="34"/>
  <c r="B114" i="34"/>
  <c r="B115" i="34"/>
  <c r="B116" i="34"/>
  <c r="B117" i="34"/>
  <c r="B118" i="34"/>
  <c r="B119" i="34"/>
  <c r="B120" i="34"/>
  <c r="B121" i="34"/>
  <c r="B122" i="34"/>
  <c r="B123" i="34"/>
  <c r="B124" i="34"/>
  <c r="B125" i="34"/>
  <c r="B126" i="34"/>
  <c r="B127" i="34"/>
  <c r="B128" i="34"/>
  <c r="B129" i="34"/>
  <c r="B130" i="34"/>
  <c r="B131" i="34"/>
  <c r="B132" i="34"/>
  <c r="B133" i="34"/>
  <c r="B134" i="34"/>
  <c r="B135" i="34"/>
  <c r="B136" i="34"/>
  <c r="B137" i="34"/>
  <c r="B138" i="34"/>
  <c r="B139" i="34"/>
  <c r="B140" i="34"/>
  <c r="B141" i="34"/>
  <c r="B142" i="34"/>
  <c r="B143" i="34"/>
  <c r="B144" i="34"/>
  <c r="B145" i="34"/>
  <c r="B146" i="34"/>
  <c r="B147" i="34"/>
  <c r="B148" i="34"/>
  <c r="B149" i="34"/>
  <c r="B150" i="34"/>
  <c r="B151" i="34"/>
  <c r="B152" i="34"/>
  <c r="B153" i="34"/>
  <c r="B154" i="34"/>
  <c r="B155" i="34"/>
  <c r="B156" i="34"/>
  <c r="B157" i="34"/>
  <c r="B158" i="34"/>
  <c r="B159" i="34"/>
  <c r="B160" i="34"/>
  <c r="B161" i="34"/>
  <c r="B162" i="34"/>
  <c r="B163" i="34"/>
  <c r="B164" i="34"/>
  <c r="B165" i="34"/>
  <c r="B166" i="34"/>
  <c r="B167" i="34"/>
  <c r="B168" i="34"/>
  <c r="B169" i="34"/>
  <c r="B170" i="34"/>
  <c r="B171" i="34"/>
  <c r="B172" i="34"/>
  <c r="B173" i="34"/>
  <c r="B174" i="34"/>
  <c r="B175" i="34"/>
  <c r="B176" i="34"/>
  <c r="B177" i="34"/>
  <c r="B178" i="34"/>
  <c r="B179" i="34"/>
  <c r="B180" i="34"/>
  <c r="B181" i="34"/>
  <c r="B182" i="34"/>
  <c r="B183" i="34"/>
  <c r="B184" i="34"/>
  <c r="B185" i="34"/>
  <c r="B186" i="34"/>
  <c r="B187" i="34"/>
  <c r="B188" i="34"/>
  <c r="B189" i="34"/>
  <c r="B190" i="34"/>
  <c r="B191" i="34"/>
  <c r="B192" i="34"/>
  <c r="B193" i="34"/>
  <c r="B194" i="34"/>
  <c r="B195" i="34"/>
  <c r="B196" i="34"/>
  <c r="B197" i="34"/>
  <c r="B198" i="34"/>
  <c r="B199" i="34"/>
  <c r="B200" i="34"/>
  <c r="B201" i="34"/>
  <c r="B202" i="34"/>
  <c r="B203" i="34"/>
  <c r="B204" i="34"/>
  <c r="B205" i="34"/>
  <c r="B206" i="34"/>
  <c r="B207" i="34"/>
  <c r="B208" i="34"/>
  <c r="B209" i="34"/>
  <c r="B210" i="34"/>
  <c r="B211" i="34"/>
  <c r="B212" i="34"/>
  <c r="B213" i="34"/>
  <c r="B214" i="34"/>
  <c r="B215" i="34"/>
  <c r="B216" i="34"/>
  <c r="B217" i="34"/>
  <c r="B218" i="34"/>
  <c r="B219" i="34"/>
  <c r="B220" i="34"/>
  <c r="B221" i="34"/>
  <c r="B222" i="34"/>
  <c r="B14" i="34"/>
  <c r="B15" i="31" l="1"/>
  <c r="B16" i="31"/>
  <c r="B17" i="31"/>
  <c r="B18" i="31"/>
  <c r="B19" i="31"/>
  <c r="B20" i="31"/>
  <c r="B21" i="31"/>
  <c r="B22" i="31"/>
  <c r="B23" i="31"/>
  <c r="B24" i="31"/>
  <c r="B25" i="31"/>
  <c r="B26" i="31"/>
  <c r="B27" i="31"/>
  <c r="B28" i="31"/>
  <c r="B29" i="31"/>
  <c r="B30" i="31"/>
  <c r="B31" i="31"/>
  <c r="B32" i="31"/>
  <c r="B33" i="31"/>
  <c r="B34" i="31"/>
  <c r="B35" i="31"/>
  <c r="B36" i="31"/>
  <c r="B37" i="31"/>
  <c r="B38" i="31"/>
  <c r="B39" i="31"/>
  <c r="B40" i="31"/>
  <c r="B41" i="31"/>
  <c r="B42" i="31"/>
  <c r="B43" i="31"/>
  <c r="B44" i="31"/>
  <c r="B45" i="31"/>
  <c r="B46" i="31"/>
  <c r="B47" i="31"/>
  <c r="B48" i="31"/>
  <c r="B49" i="31"/>
  <c r="B50" i="31"/>
  <c r="B51" i="31"/>
  <c r="B52" i="31"/>
  <c r="B53" i="31"/>
  <c r="B54" i="31"/>
  <c r="B55" i="31"/>
  <c r="B56" i="31"/>
  <c r="B57" i="31"/>
  <c r="B58" i="31"/>
  <c r="B59" i="31"/>
  <c r="B60" i="31"/>
  <c r="B61" i="31"/>
  <c r="B62" i="31"/>
  <c r="B63" i="31"/>
  <c r="B64" i="31"/>
  <c r="B65" i="31"/>
  <c r="B66" i="31"/>
  <c r="B67" i="31"/>
  <c r="B68" i="31"/>
  <c r="B69" i="31"/>
  <c r="B70" i="31"/>
  <c r="B71" i="31"/>
  <c r="B72" i="31"/>
  <c r="B73" i="31"/>
  <c r="B74" i="31"/>
  <c r="B75" i="31"/>
  <c r="B76" i="31"/>
  <c r="B77" i="31"/>
  <c r="B78" i="31"/>
  <c r="B79" i="31"/>
  <c r="B80" i="31"/>
  <c r="B81" i="31"/>
  <c r="B82" i="31"/>
  <c r="B83" i="31"/>
  <c r="B84" i="31"/>
  <c r="B85" i="31"/>
  <c r="B86" i="31"/>
  <c r="B87" i="31"/>
  <c r="B88" i="31"/>
  <c r="B89" i="31"/>
  <c r="B90" i="31"/>
  <c r="B91" i="31"/>
  <c r="B92" i="31"/>
  <c r="B93" i="31"/>
  <c r="B94" i="31"/>
  <c r="B95" i="31"/>
  <c r="B96" i="31"/>
  <c r="B97" i="31"/>
  <c r="B98" i="31"/>
  <c r="B99" i="31"/>
  <c r="B100" i="31"/>
  <c r="B101" i="31"/>
  <c r="B102" i="31"/>
  <c r="B103" i="31"/>
  <c r="B104" i="31"/>
  <c r="B105" i="31"/>
  <c r="B106" i="31"/>
  <c r="B107" i="31"/>
  <c r="B108" i="31"/>
  <c r="B109" i="31"/>
  <c r="B110" i="31"/>
  <c r="B111" i="31"/>
  <c r="B112" i="31"/>
  <c r="B113" i="31"/>
  <c r="B114" i="31"/>
  <c r="B115" i="31"/>
  <c r="B116" i="31"/>
  <c r="B117" i="31"/>
  <c r="B118" i="31"/>
  <c r="B119" i="31"/>
  <c r="B120" i="31"/>
  <c r="B121" i="31"/>
  <c r="B122" i="31"/>
  <c r="B123" i="31"/>
  <c r="B124" i="31"/>
  <c r="B125" i="31"/>
  <c r="B126" i="31"/>
  <c r="B127" i="31"/>
  <c r="B128" i="31"/>
  <c r="B129" i="31"/>
  <c r="B130" i="31"/>
  <c r="B131" i="31"/>
  <c r="B132" i="31"/>
  <c r="B133" i="31"/>
  <c r="B134" i="31"/>
  <c r="B135" i="31"/>
  <c r="B136" i="31"/>
  <c r="B137" i="31"/>
  <c r="B138" i="31"/>
  <c r="B139" i="31"/>
  <c r="B140" i="31"/>
  <c r="B141" i="31"/>
  <c r="B142" i="31"/>
  <c r="B143" i="31"/>
  <c r="B144" i="31"/>
  <c r="B145" i="31"/>
  <c r="B146" i="31"/>
  <c r="B147" i="31"/>
  <c r="B148" i="31"/>
  <c r="B149" i="31"/>
  <c r="B150" i="31"/>
  <c r="B151" i="31"/>
  <c r="B152" i="31"/>
  <c r="B153" i="31"/>
  <c r="B154" i="31"/>
  <c r="B155" i="31"/>
  <c r="B156" i="31"/>
  <c r="B157" i="31"/>
  <c r="B158" i="31"/>
  <c r="B159" i="31"/>
  <c r="B160" i="31"/>
  <c r="B161" i="31"/>
  <c r="B162" i="31"/>
  <c r="B163" i="31"/>
  <c r="B164" i="31"/>
  <c r="B165" i="31"/>
  <c r="B166" i="31"/>
  <c r="B167" i="31"/>
  <c r="B168" i="31"/>
  <c r="B169" i="31"/>
  <c r="B170" i="31"/>
  <c r="B171" i="31"/>
  <c r="B172" i="31"/>
  <c r="B173" i="31"/>
  <c r="B174" i="31"/>
  <c r="B175" i="31"/>
  <c r="B176" i="31"/>
  <c r="B177" i="31"/>
  <c r="B178" i="31"/>
  <c r="B179" i="31"/>
  <c r="B180" i="31"/>
  <c r="B181" i="31"/>
  <c r="B182" i="31"/>
  <c r="B183" i="31"/>
  <c r="B184" i="31"/>
  <c r="B185" i="31"/>
  <c r="B186" i="31"/>
  <c r="B187" i="31"/>
  <c r="B188" i="31"/>
  <c r="B189" i="31"/>
  <c r="B190" i="31"/>
  <c r="B191" i="31"/>
  <c r="B192" i="31"/>
  <c r="B193" i="31"/>
  <c r="B194" i="31"/>
  <c r="B195" i="31"/>
  <c r="B196" i="31"/>
  <c r="B197" i="31"/>
  <c r="B198" i="31"/>
  <c r="B199" i="31"/>
  <c r="B200" i="31"/>
  <c r="B201" i="31"/>
  <c r="B202" i="31"/>
  <c r="B203" i="31"/>
  <c r="B204" i="31"/>
  <c r="B205" i="31"/>
  <c r="B206" i="31"/>
  <c r="B207" i="31"/>
  <c r="B208" i="31"/>
  <c r="B209" i="31"/>
  <c r="B210" i="31"/>
  <c r="B211" i="31"/>
  <c r="B212" i="31"/>
  <c r="B213" i="31"/>
  <c r="B214" i="31"/>
  <c r="B215" i="31"/>
  <c r="B216" i="31"/>
  <c r="B218" i="31"/>
  <c r="B219" i="31"/>
  <c r="B14" i="31"/>
  <c r="E83" i="27" l="1"/>
  <c r="B83" i="24" s="1"/>
  <c r="E84" i="27"/>
  <c r="B84" i="24" s="1"/>
  <c r="E85" i="27"/>
  <c r="B85" i="24" s="1"/>
  <c r="E86" i="27"/>
  <c r="B86" i="24" s="1"/>
  <c r="E87" i="27"/>
  <c r="B87" i="24" s="1"/>
  <c r="E88" i="27"/>
  <c r="B88" i="24" s="1"/>
  <c r="E89" i="27"/>
  <c r="B89" i="24" s="1"/>
  <c r="E90" i="27"/>
  <c r="B90" i="24" s="1"/>
  <c r="E91" i="27"/>
  <c r="B91" i="24" s="1"/>
  <c r="E92" i="27"/>
  <c r="B92" i="24" s="1"/>
  <c r="E93" i="27"/>
  <c r="B93" i="24" s="1"/>
  <c r="E94" i="27"/>
  <c r="B94" i="24" s="1"/>
  <c r="E95" i="27"/>
  <c r="B95" i="24" s="1"/>
  <c r="E96" i="27"/>
  <c r="B96" i="24" s="1"/>
  <c r="E97" i="27"/>
  <c r="B97" i="24" s="1"/>
  <c r="E98" i="27"/>
  <c r="B98" i="24" s="1"/>
  <c r="E99" i="27"/>
  <c r="B99" i="24" s="1"/>
  <c r="E100" i="27"/>
  <c r="B100" i="24" s="1"/>
  <c r="E101" i="27"/>
  <c r="B101" i="24" s="1"/>
  <c r="E102" i="27"/>
  <c r="B102" i="24" s="1"/>
  <c r="E103" i="27"/>
  <c r="B103" i="24" s="1"/>
  <c r="E104" i="27"/>
  <c r="B104" i="24" s="1"/>
  <c r="E105" i="27"/>
  <c r="B105" i="24" s="1"/>
  <c r="E106" i="27"/>
  <c r="B106" i="24" s="1"/>
  <c r="E107" i="27"/>
  <c r="B107" i="24" s="1"/>
  <c r="E108" i="27"/>
  <c r="B108" i="24" s="1"/>
  <c r="E109" i="27"/>
  <c r="B109" i="24" s="1"/>
  <c r="E110" i="27"/>
  <c r="B110" i="24" s="1"/>
  <c r="E111" i="27"/>
  <c r="B111" i="24" s="1"/>
  <c r="E112" i="27"/>
  <c r="B112" i="24" s="1"/>
  <c r="E113" i="27"/>
  <c r="B113" i="24" s="1"/>
  <c r="E114" i="27"/>
  <c r="B114" i="24" s="1"/>
  <c r="E115" i="27"/>
  <c r="B115" i="24" s="1"/>
  <c r="E116" i="27"/>
  <c r="B116" i="24" s="1"/>
  <c r="E117" i="27"/>
  <c r="B117" i="24" s="1"/>
  <c r="E118" i="27"/>
  <c r="B118" i="24" s="1"/>
  <c r="E119" i="27"/>
  <c r="B119" i="24" s="1"/>
  <c r="E120" i="27"/>
  <c r="B120" i="24" s="1"/>
  <c r="E121" i="27"/>
  <c r="B121" i="24" s="1"/>
  <c r="E122" i="27"/>
  <c r="B122" i="24" s="1"/>
  <c r="E123" i="27"/>
  <c r="B123" i="24" s="1"/>
  <c r="E124" i="27"/>
  <c r="B124" i="24" s="1"/>
  <c r="E125" i="27"/>
  <c r="B125" i="24" s="1"/>
  <c r="E126" i="27"/>
  <c r="B126" i="24" s="1"/>
  <c r="E127" i="27"/>
  <c r="B127" i="24" s="1"/>
  <c r="E128" i="27"/>
  <c r="B128" i="24" s="1"/>
  <c r="E129" i="27"/>
  <c r="B129" i="24" s="1"/>
  <c r="E130" i="27"/>
  <c r="B130" i="24" s="1"/>
  <c r="E131" i="27"/>
  <c r="B131" i="24" s="1"/>
  <c r="E132" i="27"/>
  <c r="B132" i="24" s="1"/>
  <c r="E133" i="27"/>
  <c r="B133" i="24" s="1"/>
  <c r="E134" i="27"/>
  <c r="B134" i="24" s="1"/>
  <c r="E135" i="27"/>
  <c r="B135" i="24" s="1"/>
  <c r="E136" i="27"/>
  <c r="B136" i="24" s="1"/>
  <c r="E137" i="27"/>
  <c r="B137" i="24" s="1"/>
  <c r="E138" i="27"/>
  <c r="B138" i="24" s="1"/>
  <c r="E139" i="27"/>
  <c r="B139" i="24" s="1"/>
  <c r="E140" i="27"/>
  <c r="B140" i="24" s="1"/>
  <c r="E141" i="27"/>
  <c r="B141" i="24" s="1"/>
  <c r="E142" i="27"/>
  <c r="B142" i="24" s="1"/>
  <c r="E143" i="27"/>
  <c r="B143" i="24" s="1"/>
  <c r="E144" i="27"/>
  <c r="B144" i="24" s="1"/>
  <c r="E145" i="27"/>
  <c r="B145" i="24" s="1"/>
  <c r="E146" i="27"/>
  <c r="B146" i="24" s="1"/>
  <c r="E147" i="27"/>
  <c r="B147" i="24" s="1"/>
  <c r="E148" i="27"/>
  <c r="B148" i="24" s="1"/>
  <c r="E149" i="27"/>
  <c r="B149" i="24" s="1"/>
  <c r="E150" i="27"/>
  <c r="B150" i="24" s="1"/>
  <c r="E151" i="27"/>
  <c r="B151" i="24" s="1"/>
  <c r="E152" i="27"/>
  <c r="B152" i="24" s="1"/>
  <c r="E153" i="27"/>
  <c r="B153" i="24" s="1"/>
  <c r="E154" i="27"/>
  <c r="B154" i="24" s="1"/>
  <c r="E155" i="27"/>
  <c r="B155" i="24" s="1"/>
  <c r="E156" i="27"/>
  <c r="B156" i="24" s="1"/>
  <c r="E157" i="27"/>
  <c r="B157" i="24" s="1"/>
  <c r="E158" i="27"/>
  <c r="B158" i="24" s="1"/>
  <c r="E159" i="27"/>
  <c r="B159" i="24" s="1"/>
  <c r="E160" i="27"/>
  <c r="B160" i="24" s="1"/>
  <c r="E161" i="27"/>
  <c r="B161" i="24" s="1"/>
  <c r="E162" i="27"/>
  <c r="B162" i="24" s="1"/>
  <c r="E163" i="27"/>
  <c r="B163" i="24" s="1"/>
  <c r="E164" i="27"/>
  <c r="B164" i="24" s="1"/>
  <c r="E165" i="27"/>
  <c r="B165" i="24" s="1"/>
  <c r="E166" i="27"/>
  <c r="B166" i="24" s="1"/>
  <c r="E167" i="27"/>
  <c r="B167" i="24" s="1"/>
  <c r="E168" i="27"/>
  <c r="B168" i="24" s="1"/>
  <c r="E169" i="27"/>
  <c r="B169" i="24" s="1"/>
  <c r="E170" i="27"/>
  <c r="B170" i="24" s="1"/>
  <c r="E171" i="27"/>
  <c r="B171" i="24" s="1"/>
  <c r="E172" i="27"/>
  <c r="B172" i="24" s="1"/>
  <c r="E173" i="27"/>
  <c r="B173" i="24" s="1"/>
  <c r="E174" i="27"/>
  <c r="B174" i="24" s="1"/>
  <c r="E175" i="27"/>
  <c r="B175" i="24" s="1"/>
  <c r="E176" i="27"/>
  <c r="B176" i="24" s="1"/>
  <c r="E177" i="27"/>
  <c r="B177" i="24" s="1"/>
  <c r="E178" i="27"/>
  <c r="B178" i="24" s="1"/>
  <c r="E179" i="27"/>
  <c r="B179" i="24" s="1"/>
  <c r="E180" i="27"/>
  <c r="B180" i="24" s="1"/>
  <c r="E181" i="27"/>
  <c r="B181" i="24" s="1"/>
  <c r="E182" i="27"/>
  <c r="B182" i="24" s="1"/>
  <c r="E183" i="27"/>
  <c r="B183" i="24" s="1"/>
  <c r="E184" i="27"/>
  <c r="B184" i="24" s="1"/>
  <c r="E185" i="27"/>
  <c r="B185" i="24" s="1"/>
  <c r="E186" i="27"/>
  <c r="B186" i="24" s="1"/>
  <c r="E187" i="27"/>
  <c r="B187" i="24" s="1"/>
  <c r="E188" i="27"/>
  <c r="B188" i="24" s="1"/>
  <c r="E189" i="27"/>
  <c r="B189" i="24" s="1"/>
  <c r="E190" i="27"/>
  <c r="B190" i="24" s="1"/>
  <c r="E191" i="27"/>
  <c r="B191" i="24" s="1"/>
  <c r="E192" i="27"/>
  <c r="B192" i="24" s="1"/>
  <c r="E193" i="27"/>
  <c r="B193" i="24" s="1"/>
  <c r="E194" i="27"/>
  <c r="B194" i="24" s="1"/>
  <c r="E195" i="27"/>
  <c r="B195" i="24" s="1"/>
  <c r="E196" i="27"/>
  <c r="B196" i="24" s="1"/>
  <c r="E197" i="27"/>
  <c r="B197" i="24" s="1"/>
  <c r="E198" i="27"/>
  <c r="B198" i="24" s="1"/>
  <c r="E199" i="27"/>
  <c r="B199" i="24" s="1"/>
  <c r="E200" i="27"/>
  <c r="B200" i="24" s="1"/>
  <c r="E201" i="27"/>
  <c r="B201" i="24" s="1"/>
  <c r="E202" i="27"/>
  <c r="B202" i="24" s="1"/>
  <c r="E203" i="27"/>
  <c r="B203" i="24" s="1"/>
  <c r="E204" i="27"/>
  <c r="B204" i="24" s="1"/>
  <c r="E205" i="27"/>
  <c r="B205" i="24" s="1"/>
  <c r="E206" i="27"/>
  <c r="B206" i="24" s="1"/>
  <c r="E207" i="27"/>
  <c r="B207" i="24" s="1"/>
  <c r="E208" i="27"/>
  <c r="B208" i="24" s="1"/>
  <c r="E209" i="27"/>
  <c r="B209" i="24" s="1"/>
  <c r="E210" i="27"/>
  <c r="B210" i="24" s="1"/>
  <c r="E211" i="27"/>
  <c r="B211" i="24" s="1"/>
  <c r="E212" i="27"/>
  <c r="B212" i="24" s="1"/>
  <c r="E213" i="27"/>
  <c r="B213" i="24" s="1"/>
  <c r="E214" i="27"/>
  <c r="B214" i="24" s="1"/>
  <c r="E215" i="27"/>
  <c r="B215" i="24" s="1"/>
  <c r="E216" i="27"/>
  <c r="B216" i="24" s="1"/>
  <c r="E217" i="27"/>
  <c r="B217" i="24" s="1"/>
  <c r="E218" i="27"/>
  <c r="B218" i="24" s="1"/>
  <c r="E219" i="27"/>
  <c r="B219" i="24" s="1"/>
  <c r="E220" i="27"/>
  <c r="B220" i="24" s="1"/>
  <c r="E221" i="27"/>
  <c r="B221" i="24" s="1"/>
  <c r="E222" i="27"/>
  <c r="B222" i="24" s="1"/>
  <c r="E82" i="27"/>
  <c r="B82" i="24" s="1"/>
  <c r="D5" i="27"/>
  <c r="D6" i="27"/>
  <c r="D7" i="27"/>
  <c r="D8" i="27"/>
  <c r="D9" i="27"/>
  <c r="D10" i="27"/>
  <c r="D11" i="27"/>
  <c r="D12" i="27"/>
  <c r="D13" i="27"/>
  <c r="D14" i="27"/>
  <c r="D15" i="27"/>
  <c r="D16" i="27"/>
  <c r="D17" i="27"/>
  <c r="D18" i="27"/>
  <c r="D19" i="27"/>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D51" i="27"/>
  <c r="D52" i="27"/>
  <c r="D53" i="27"/>
  <c r="D54" i="27"/>
  <c r="D55" i="27"/>
  <c r="D56" i="27"/>
  <c r="D57" i="27"/>
  <c r="D58" i="27"/>
  <c r="D59" i="27"/>
  <c r="D60" i="27"/>
  <c r="D61" i="27"/>
  <c r="D62" i="27"/>
  <c r="D63" i="27"/>
  <c r="D64" i="27"/>
  <c r="D65" i="27"/>
  <c r="D66" i="27"/>
  <c r="D67" i="27"/>
  <c r="D68" i="27"/>
  <c r="D69" i="27"/>
  <c r="D70" i="27"/>
  <c r="D71" i="27"/>
  <c r="D72" i="27"/>
  <c r="D73" i="27"/>
  <c r="D74" i="27"/>
  <c r="D75" i="27"/>
  <c r="D76" i="27"/>
  <c r="D77" i="27"/>
  <c r="D78" i="27"/>
  <c r="D79" i="27"/>
  <c r="D80" i="27"/>
  <c r="D81" i="27"/>
  <c r="D82" i="27"/>
  <c r="D83" i="27"/>
  <c r="D84" i="27"/>
  <c r="D85" i="27"/>
  <c r="D86" i="27"/>
  <c r="D87" i="27"/>
  <c r="D88" i="27"/>
  <c r="D89" i="27"/>
  <c r="D90" i="27"/>
  <c r="D91" i="27"/>
  <c r="D92" i="27"/>
  <c r="D93" i="27"/>
  <c r="D94" i="27"/>
  <c r="D95" i="27"/>
  <c r="D96" i="27"/>
  <c r="D97" i="27"/>
  <c r="D98" i="27"/>
  <c r="D99" i="27"/>
  <c r="D100" i="27"/>
  <c r="D101" i="27"/>
  <c r="D102" i="27"/>
  <c r="D103" i="27"/>
  <c r="D104" i="27"/>
  <c r="D105" i="27"/>
  <c r="D106" i="27"/>
  <c r="D107" i="27"/>
  <c r="D108" i="27"/>
  <c r="D109" i="27"/>
  <c r="D110" i="27"/>
  <c r="D111" i="27"/>
  <c r="D112" i="27"/>
  <c r="D113" i="27"/>
  <c r="D114" i="27"/>
  <c r="D115" i="27"/>
  <c r="D116" i="27"/>
  <c r="D117" i="27"/>
  <c r="D118" i="27"/>
  <c r="D119" i="27"/>
  <c r="D120" i="27"/>
  <c r="D121" i="27"/>
  <c r="D122" i="27"/>
  <c r="D123" i="27"/>
  <c r="D124" i="27"/>
  <c r="D125" i="27"/>
  <c r="D126" i="27"/>
  <c r="D127" i="27"/>
  <c r="D128" i="27"/>
  <c r="D129" i="27"/>
  <c r="D130" i="27"/>
  <c r="D131" i="27"/>
  <c r="D132" i="27"/>
  <c r="D133" i="27"/>
  <c r="D134" i="27"/>
  <c r="D135" i="27"/>
  <c r="D136" i="27"/>
  <c r="D137" i="27"/>
  <c r="D138" i="27"/>
  <c r="D139" i="27"/>
  <c r="D140" i="27"/>
  <c r="D141" i="27"/>
  <c r="D142" i="27"/>
  <c r="D143" i="27"/>
  <c r="D144" i="27"/>
  <c r="D145" i="27"/>
  <c r="D146" i="27"/>
  <c r="D147" i="27"/>
  <c r="D148" i="27"/>
  <c r="D149" i="27"/>
  <c r="D150" i="27"/>
  <c r="D151" i="27"/>
  <c r="D152" i="27"/>
  <c r="D153" i="27"/>
  <c r="D154" i="27"/>
  <c r="D155" i="27"/>
  <c r="D156" i="27"/>
  <c r="D157" i="27"/>
  <c r="D158" i="27"/>
  <c r="D159" i="27"/>
  <c r="D160" i="27"/>
  <c r="D161" i="27"/>
  <c r="D162" i="27"/>
  <c r="D163" i="27"/>
  <c r="D164" i="27"/>
  <c r="D165" i="27"/>
  <c r="D166" i="27"/>
  <c r="D167" i="27"/>
  <c r="D168" i="27"/>
  <c r="D169" i="27"/>
  <c r="D170" i="27"/>
  <c r="D171" i="27"/>
  <c r="D172" i="27"/>
  <c r="D173" i="27"/>
  <c r="D174" i="27"/>
  <c r="D175" i="27"/>
  <c r="D176" i="27"/>
  <c r="D177" i="27"/>
  <c r="D178" i="27"/>
  <c r="D179" i="27"/>
  <c r="D180" i="27"/>
  <c r="D181" i="27"/>
  <c r="D182" i="27"/>
  <c r="D183" i="27"/>
  <c r="D184" i="27"/>
  <c r="D185" i="27"/>
  <c r="D186" i="27"/>
  <c r="D187" i="27"/>
  <c r="D188" i="27"/>
  <c r="D189" i="27"/>
  <c r="D190" i="27"/>
  <c r="D191" i="27"/>
  <c r="D192" i="27"/>
  <c r="D193" i="27"/>
  <c r="D194" i="27"/>
  <c r="D195" i="27"/>
  <c r="D196" i="27"/>
  <c r="D197" i="27"/>
  <c r="D198" i="27"/>
  <c r="D199" i="27"/>
  <c r="D200" i="27"/>
  <c r="D201" i="27"/>
  <c r="D202" i="27"/>
  <c r="D203" i="27"/>
  <c r="D204" i="27"/>
  <c r="D205" i="27"/>
  <c r="D206" i="27"/>
  <c r="D207" i="27"/>
  <c r="D208" i="27"/>
  <c r="D209" i="27"/>
  <c r="D210" i="27"/>
  <c r="D211" i="27"/>
  <c r="D212" i="27"/>
  <c r="D213" i="27"/>
  <c r="D214" i="27"/>
  <c r="D215" i="27"/>
  <c r="D216" i="27"/>
  <c r="D217" i="27"/>
  <c r="D218" i="27"/>
  <c r="D219" i="27"/>
  <c r="D220" i="27"/>
  <c r="D221" i="27"/>
  <c r="D222" i="27"/>
  <c r="D4" i="27"/>
  <c r="E81" i="27" l="1"/>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6" i="26"/>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3" i="19"/>
  <c r="E80" i="27" l="1"/>
  <c r="B81" i="24"/>
  <c r="B93" i="61"/>
  <c r="C90" i="59"/>
  <c r="D90" i="59" s="1"/>
  <c r="B89" i="60" s="1"/>
  <c r="C90" i="51"/>
  <c r="B191" i="61"/>
  <c r="C188" i="59"/>
  <c r="C188" i="51"/>
  <c r="B78" i="61"/>
  <c r="C75" i="59"/>
  <c r="D75" i="59" s="1"/>
  <c r="B74" i="60" s="1"/>
  <c r="C75" i="51"/>
  <c r="B204" i="61"/>
  <c r="C201" i="59"/>
  <c r="C201" i="51"/>
  <c r="B133" i="61"/>
  <c r="C130" i="59"/>
  <c r="C130" i="51"/>
  <c r="B105" i="61"/>
  <c r="C102" i="59"/>
  <c r="D102" i="59" s="1"/>
  <c r="B101" i="60" s="1"/>
  <c r="C102" i="51"/>
  <c r="B77" i="61"/>
  <c r="C74" i="59"/>
  <c r="D74" i="59" s="1"/>
  <c r="B73" i="60" s="1"/>
  <c r="C74" i="51"/>
  <c r="B49" i="61"/>
  <c r="C46" i="59"/>
  <c r="D46" i="59" s="1"/>
  <c r="B45" i="60" s="1"/>
  <c r="C46" i="51"/>
  <c r="B21" i="61"/>
  <c r="C18" i="59"/>
  <c r="D18" i="59" s="1"/>
  <c r="B17" i="60" s="1"/>
  <c r="C18" i="51"/>
  <c r="B203" i="61"/>
  <c r="C200" i="59"/>
  <c r="C200" i="51"/>
  <c r="B175" i="61"/>
  <c r="C172" i="59"/>
  <c r="C172" i="51"/>
  <c r="B147" i="61"/>
  <c r="C144" i="59"/>
  <c r="C144" i="51"/>
  <c r="B118" i="61"/>
  <c r="C115" i="59"/>
  <c r="C115" i="51"/>
  <c r="B90" i="61"/>
  <c r="C87" i="59"/>
  <c r="D87" i="59" s="1"/>
  <c r="B86" i="60" s="1"/>
  <c r="C87" i="51"/>
  <c r="B20" i="61"/>
  <c r="C17" i="59"/>
  <c r="D17" i="59" s="1"/>
  <c r="B16" i="60" s="1"/>
  <c r="C17" i="51"/>
  <c r="B216" i="61"/>
  <c r="C213" i="59"/>
  <c r="C213" i="51"/>
  <c r="B202" i="61"/>
  <c r="C199" i="59"/>
  <c r="C199" i="51"/>
  <c r="B188" i="61"/>
  <c r="C185" i="59"/>
  <c r="C185" i="51"/>
  <c r="B174" i="61"/>
  <c r="C171" i="59"/>
  <c r="C171" i="51"/>
  <c r="B160" i="61"/>
  <c r="C157" i="59"/>
  <c r="C157" i="51"/>
  <c r="B146" i="61"/>
  <c r="C143" i="59"/>
  <c r="C143" i="51"/>
  <c r="B131" i="61"/>
  <c r="C128" i="59"/>
  <c r="C128" i="51"/>
  <c r="B117" i="61"/>
  <c r="C114" i="59"/>
  <c r="C114" i="51"/>
  <c r="B103" i="61"/>
  <c r="C100" i="59"/>
  <c r="D100" i="59" s="1"/>
  <c r="B99" i="60" s="1"/>
  <c r="C100" i="51"/>
  <c r="B89" i="61"/>
  <c r="C86" i="59"/>
  <c r="D86" i="59" s="1"/>
  <c r="B85" i="60" s="1"/>
  <c r="C86" i="51"/>
  <c r="B75" i="61"/>
  <c r="C72" i="59"/>
  <c r="D72" i="59" s="1"/>
  <c r="B71" i="60" s="1"/>
  <c r="C72" i="51"/>
  <c r="B61" i="61"/>
  <c r="C58" i="59"/>
  <c r="D58" i="59" s="1"/>
  <c r="B57" i="60" s="1"/>
  <c r="C58" i="51"/>
  <c r="B47" i="61"/>
  <c r="C44" i="59"/>
  <c r="D44" i="59" s="1"/>
  <c r="B43" i="60" s="1"/>
  <c r="C44" i="51"/>
  <c r="B33" i="61"/>
  <c r="C30" i="59"/>
  <c r="D30" i="59" s="1"/>
  <c r="B29" i="60" s="1"/>
  <c r="C30" i="51"/>
  <c r="B19" i="61"/>
  <c r="C16" i="59"/>
  <c r="D16" i="59" s="1"/>
  <c r="B15" i="60" s="1"/>
  <c r="C16" i="51"/>
  <c r="B164" i="61"/>
  <c r="C161" i="59"/>
  <c r="C161" i="51"/>
  <c r="B79" i="61"/>
  <c r="C76" i="59"/>
  <c r="D76" i="59" s="1"/>
  <c r="B75" i="60" s="1"/>
  <c r="C76" i="51"/>
  <c r="B205" i="61"/>
  <c r="C202" i="59"/>
  <c r="C202" i="51"/>
  <c r="B163" i="61"/>
  <c r="C160" i="59"/>
  <c r="C160" i="51"/>
  <c r="B120" i="61"/>
  <c r="C117" i="59"/>
  <c r="C117" i="51"/>
  <c r="B36" i="61"/>
  <c r="C33" i="59"/>
  <c r="D33" i="59" s="1"/>
  <c r="B32" i="60" s="1"/>
  <c r="C33" i="51"/>
  <c r="B162" i="61"/>
  <c r="C159" i="59"/>
  <c r="C159" i="51"/>
  <c r="B119" i="61"/>
  <c r="C116" i="59"/>
  <c r="C116" i="51"/>
  <c r="B91" i="61"/>
  <c r="C88" i="59"/>
  <c r="D88" i="59" s="1"/>
  <c r="B87" i="60" s="1"/>
  <c r="C88" i="51"/>
  <c r="B63" i="61"/>
  <c r="C60" i="59"/>
  <c r="D60" i="59" s="1"/>
  <c r="B59" i="60" s="1"/>
  <c r="C60" i="51"/>
  <c r="B35" i="61"/>
  <c r="C32" i="59"/>
  <c r="D32" i="59" s="1"/>
  <c r="B31" i="60" s="1"/>
  <c r="C32" i="51"/>
  <c r="B217" i="61"/>
  <c r="C214" i="59"/>
  <c r="C214" i="51"/>
  <c r="B189" i="61"/>
  <c r="C186" i="59"/>
  <c r="C186" i="51"/>
  <c r="B161" i="61"/>
  <c r="C158" i="59"/>
  <c r="C158" i="51"/>
  <c r="B132" i="61"/>
  <c r="C129" i="59"/>
  <c r="C129" i="51"/>
  <c r="B104" i="61"/>
  <c r="C101" i="59"/>
  <c r="D101" i="59" s="1"/>
  <c r="B100" i="60" s="1"/>
  <c r="C101" i="51"/>
  <c r="B76" i="61"/>
  <c r="C73" i="59"/>
  <c r="D73" i="59" s="1"/>
  <c r="B72" i="60" s="1"/>
  <c r="C73" i="51"/>
  <c r="B62" i="61"/>
  <c r="C59" i="59"/>
  <c r="D59" i="59" s="1"/>
  <c r="B58" i="60" s="1"/>
  <c r="C59" i="51"/>
  <c r="B48" i="61"/>
  <c r="C45" i="59"/>
  <c r="D45" i="59" s="1"/>
  <c r="B44" i="60" s="1"/>
  <c r="C45" i="51"/>
  <c r="B34" i="61"/>
  <c r="C31" i="59"/>
  <c r="D31" i="59" s="1"/>
  <c r="B30" i="60" s="1"/>
  <c r="C31" i="51"/>
  <c r="B215" i="61"/>
  <c r="C212" i="59"/>
  <c r="C212" i="51"/>
  <c r="B201" i="61"/>
  <c r="C198" i="59"/>
  <c r="C198" i="51"/>
  <c r="B187" i="61"/>
  <c r="C184" i="59"/>
  <c r="C184" i="51"/>
  <c r="B173" i="61"/>
  <c r="C170" i="59"/>
  <c r="C170" i="51"/>
  <c r="B159" i="61"/>
  <c r="C156" i="59"/>
  <c r="C156" i="51"/>
  <c r="B145" i="61"/>
  <c r="C142" i="59"/>
  <c r="C142" i="51"/>
  <c r="B130" i="61"/>
  <c r="C127" i="59"/>
  <c r="C127" i="51"/>
  <c r="B116" i="61"/>
  <c r="C113" i="59"/>
  <c r="D113" i="59" s="1"/>
  <c r="B112" i="60" s="1"/>
  <c r="C113" i="51"/>
  <c r="D113" i="51" s="1"/>
  <c r="B113" i="52" s="1"/>
  <c r="B102" i="61"/>
  <c r="C99" i="59"/>
  <c r="D99" i="59" s="1"/>
  <c r="B98" i="60" s="1"/>
  <c r="C99" i="51"/>
  <c r="B88" i="61"/>
  <c r="C85" i="59"/>
  <c r="D85" i="59" s="1"/>
  <c r="B84" i="60" s="1"/>
  <c r="C85" i="51"/>
  <c r="B74" i="61"/>
  <c r="C71" i="59"/>
  <c r="D71" i="59" s="1"/>
  <c r="B70" i="60" s="1"/>
  <c r="C71" i="51"/>
  <c r="B60" i="61"/>
  <c r="C57" i="59"/>
  <c r="D57" i="59" s="1"/>
  <c r="B56" i="60" s="1"/>
  <c r="C57" i="51"/>
  <c r="B46" i="61"/>
  <c r="C43" i="59"/>
  <c r="D43" i="59" s="1"/>
  <c r="B42" i="60" s="1"/>
  <c r="C43" i="51"/>
  <c r="B32" i="61"/>
  <c r="C29" i="59"/>
  <c r="D29" i="59" s="1"/>
  <c r="B28" i="60" s="1"/>
  <c r="C29" i="51"/>
  <c r="B18" i="61"/>
  <c r="C15" i="59"/>
  <c r="D15" i="59" s="1"/>
  <c r="B14" i="60" s="1"/>
  <c r="C15" i="51"/>
  <c r="B206" i="61"/>
  <c r="C203" i="59"/>
  <c r="C203" i="51"/>
  <c r="B150" i="61"/>
  <c r="C147" i="59"/>
  <c r="C147" i="51"/>
  <c r="B107" i="61"/>
  <c r="C104" i="59"/>
  <c r="D104" i="59" s="1"/>
  <c r="B103" i="60" s="1"/>
  <c r="C104" i="51"/>
  <c r="B22" i="61"/>
  <c r="C19" i="59"/>
  <c r="D19" i="59" s="1"/>
  <c r="B18" i="60" s="1"/>
  <c r="C19" i="51"/>
  <c r="B214" i="61"/>
  <c r="C211" i="59"/>
  <c r="C211" i="51"/>
  <c r="B200" i="61"/>
  <c r="C197" i="59"/>
  <c r="C197" i="51"/>
  <c r="B186" i="61"/>
  <c r="C183" i="59"/>
  <c r="C183" i="51"/>
  <c r="B172" i="61"/>
  <c r="C169" i="59"/>
  <c r="C169" i="51"/>
  <c r="B158" i="61"/>
  <c r="C155" i="59"/>
  <c r="C155" i="51"/>
  <c r="B144" i="61"/>
  <c r="C141" i="59"/>
  <c r="C141" i="51"/>
  <c r="B129" i="61"/>
  <c r="C126" i="59"/>
  <c r="C126" i="51"/>
  <c r="B115" i="61"/>
  <c r="C112" i="59"/>
  <c r="D112" i="59" s="1"/>
  <c r="B111" i="60" s="1"/>
  <c r="C112" i="51"/>
  <c r="D112" i="51" s="1"/>
  <c r="B112" i="52" s="1"/>
  <c r="B101" i="61"/>
  <c r="C98" i="59"/>
  <c r="D98" i="59" s="1"/>
  <c r="B97" i="60" s="1"/>
  <c r="C98" i="51"/>
  <c r="B87" i="61"/>
  <c r="C84" i="59"/>
  <c r="D84" i="59" s="1"/>
  <c r="B83" i="60" s="1"/>
  <c r="C84" i="51"/>
  <c r="B73" i="61"/>
  <c r="C70" i="59"/>
  <c r="D70" i="59" s="1"/>
  <c r="B69" i="60" s="1"/>
  <c r="C70" i="51"/>
  <c r="B59" i="61"/>
  <c r="C56" i="59"/>
  <c r="D56" i="59" s="1"/>
  <c r="B55" i="60" s="1"/>
  <c r="C56" i="51"/>
  <c r="B45" i="61"/>
  <c r="C42" i="59"/>
  <c r="D42" i="59" s="1"/>
  <c r="B41" i="60" s="1"/>
  <c r="C42" i="51"/>
  <c r="B31" i="61"/>
  <c r="C28" i="59"/>
  <c r="D28" i="59" s="1"/>
  <c r="B27" i="60" s="1"/>
  <c r="C28" i="51"/>
  <c r="B17" i="61"/>
  <c r="C14" i="59"/>
  <c r="D14" i="59" s="1"/>
  <c r="B13" i="60" s="1"/>
  <c r="C14" i="51"/>
  <c r="B213" i="61"/>
  <c r="C210" i="59"/>
  <c r="C210" i="51"/>
  <c r="B199" i="61"/>
  <c r="C196" i="59"/>
  <c r="C196" i="51"/>
  <c r="B185" i="61"/>
  <c r="C182" i="59"/>
  <c r="C182" i="51"/>
  <c r="B171" i="61"/>
  <c r="C168" i="59"/>
  <c r="C168" i="51"/>
  <c r="B157" i="61"/>
  <c r="C154" i="59"/>
  <c r="C154" i="51"/>
  <c r="B143" i="61"/>
  <c r="C140" i="59"/>
  <c r="C140" i="51"/>
  <c r="B128" i="61"/>
  <c r="C125" i="59"/>
  <c r="C125" i="51"/>
  <c r="B114" i="61"/>
  <c r="C111" i="59"/>
  <c r="D111" i="59" s="1"/>
  <c r="B110" i="60" s="1"/>
  <c r="C111" i="51"/>
  <c r="D111" i="51" s="1"/>
  <c r="B111" i="52" s="1"/>
  <c r="B100" i="61"/>
  <c r="C97" i="59"/>
  <c r="D97" i="59" s="1"/>
  <c r="B96" i="60" s="1"/>
  <c r="C97" i="51"/>
  <c r="B86" i="61"/>
  <c r="C83" i="59"/>
  <c r="D83" i="59" s="1"/>
  <c r="B82" i="60" s="1"/>
  <c r="C83" i="51"/>
  <c r="B72" i="61"/>
  <c r="C69" i="59"/>
  <c r="D69" i="59" s="1"/>
  <c r="B68" i="60" s="1"/>
  <c r="C69" i="51"/>
  <c r="B58" i="61"/>
  <c r="C55" i="59"/>
  <c r="D55" i="59" s="1"/>
  <c r="B54" i="60" s="1"/>
  <c r="C55" i="51"/>
  <c r="B44" i="61"/>
  <c r="C41" i="59"/>
  <c r="D41" i="59" s="1"/>
  <c r="B40" i="60" s="1"/>
  <c r="C41" i="51"/>
  <c r="B30" i="61"/>
  <c r="C27" i="59"/>
  <c r="D27" i="59" s="1"/>
  <c r="B26" i="60" s="1"/>
  <c r="C27" i="51"/>
  <c r="B16" i="61"/>
  <c r="C13" i="59"/>
  <c r="D13" i="59" s="1"/>
  <c r="B12" i="60" s="1"/>
  <c r="C13" i="51"/>
  <c r="B65" i="61"/>
  <c r="C62" i="59"/>
  <c r="D62" i="59" s="1"/>
  <c r="B61" i="60" s="1"/>
  <c r="C62" i="51"/>
  <c r="B64" i="61"/>
  <c r="C61" i="59"/>
  <c r="D61" i="59" s="1"/>
  <c r="B60" i="60" s="1"/>
  <c r="C61" i="51"/>
  <c r="B218" i="61"/>
  <c r="C215" i="59"/>
  <c r="C215" i="51"/>
  <c r="B212" i="61"/>
  <c r="C209" i="59"/>
  <c r="C209" i="51"/>
  <c r="B198" i="61"/>
  <c r="C195" i="59"/>
  <c r="C195" i="51"/>
  <c r="B184" i="61"/>
  <c r="C181" i="59"/>
  <c r="C181" i="51"/>
  <c r="B170" i="61"/>
  <c r="C167" i="59"/>
  <c r="C167" i="51"/>
  <c r="B156" i="61"/>
  <c r="C153" i="59"/>
  <c r="C153" i="51"/>
  <c r="B142" i="61"/>
  <c r="C139" i="59"/>
  <c r="C139" i="51"/>
  <c r="B141" i="61"/>
  <c r="B127" i="61"/>
  <c r="C124" i="59"/>
  <c r="C124" i="51"/>
  <c r="B113" i="61"/>
  <c r="C110" i="59"/>
  <c r="D110" i="59" s="1"/>
  <c r="B109" i="60" s="1"/>
  <c r="C110" i="51"/>
  <c r="B99" i="61"/>
  <c r="C96" i="59"/>
  <c r="D96" i="59" s="1"/>
  <c r="B95" i="60" s="1"/>
  <c r="C96" i="51"/>
  <c r="B85" i="61"/>
  <c r="C82" i="59"/>
  <c r="D82" i="59" s="1"/>
  <c r="B81" i="60" s="1"/>
  <c r="C82" i="51"/>
  <c r="B71" i="61"/>
  <c r="C68" i="59"/>
  <c r="D68" i="59" s="1"/>
  <c r="B67" i="60" s="1"/>
  <c r="C68" i="51"/>
  <c r="B57" i="61"/>
  <c r="C54" i="59"/>
  <c r="D54" i="59" s="1"/>
  <c r="B53" i="60" s="1"/>
  <c r="C54" i="51"/>
  <c r="B43" i="61"/>
  <c r="C40" i="59"/>
  <c r="D40" i="59" s="1"/>
  <c r="B39" i="60" s="1"/>
  <c r="C40" i="51"/>
  <c r="B29" i="61"/>
  <c r="C26" i="59"/>
  <c r="D26" i="59" s="1"/>
  <c r="B25" i="60" s="1"/>
  <c r="C26" i="51"/>
  <c r="B15" i="61"/>
  <c r="C12" i="59"/>
  <c r="D12" i="59" s="1"/>
  <c r="B11" i="60" s="1"/>
  <c r="C12" i="51"/>
  <c r="B148" i="61"/>
  <c r="C145" i="59"/>
  <c r="C145" i="51"/>
  <c r="B211" i="61"/>
  <c r="C208" i="59"/>
  <c r="C208" i="51"/>
  <c r="B169" i="61"/>
  <c r="C166" i="59"/>
  <c r="C166" i="51"/>
  <c r="B140" i="61"/>
  <c r="C137" i="59"/>
  <c r="C137" i="51"/>
  <c r="B126" i="61"/>
  <c r="C123" i="59"/>
  <c r="C123" i="51"/>
  <c r="B112" i="61"/>
  <c r="C109" i="59"/>
  <c r="D109" i="59" s="1"/>
  <c r="B108" i="60" s="1"/>
  <c r="C109" i="51"/>
  <c r="B98" i="61"/>
  <c r="C95" i="59"/>
  <c r="D95" i="59" s="1"/>
  <c r="B94" i="60" s="1"/>
  <c r="C95" i="51"/>
  <c r="B84" i="61"/>
  <c r="C81" i="59"/>
  <c r="D81" i="59" s="1"/>
  <c r="B80" i="60" s="1"/>
  <c r="C81" i="51"/>
  <c r="B70" i="61"/>
  <c r="C67" i="59"/>
  <c r="D67" i="59" s="1"/>
  <c r="B66" i="60" s="1"/>
  <c r="C67" i="51"/>
  <c r="B56" i="61"/>
  <c r="C53" i="59"/>
  <c r="D53" i="59" s="1"/>
  <c r="B52" i="60" s="1"/>
  <c r="C53" i="51"/>
  <c r="B42" i="61"/>
  <c r="C39" i="59"/>
  <c r="D39" i="59" s="1"/>
  <c r="B38" i="60" s="1"/>
  <c r="C39" i="51"/>
  <c r="B28" i="61"/>
  <c r="C25" i="59"/>
  <c r="D25" i="59" s="1"/>
  <c r="B24" i="60" s="1"/>
  <c r="C25" i="51"/>
  <c r="B14" i="61"/>
  <c r="C11" i="59"/>
  <c r="D11" i="59" s="1"/>
  <c r="B10" i="60" s="1"/>
  <c r="C11" i="51"/>
  <c r="B220" i="61"/>
  <c r="C217" i="59"/>
  <c r="C217" i="51"/>
  <c r="B23" i="61"/>
  <c r="C20" i="59"/>
  <c r="D20" i="59" s="1"/>
  <c r="B19" i="60" s="1"/>
  <c r="C20" i="51"/>
  <c r="B149" i="61"/>
  <c r="C146" i="59"/>
  <c r="C146" i="51"/>
  <c r="B197" i="61"/>
  <c r="C194" i="59"/>
  <c r="C194" i="51"/>
  <c r="B9" i="61"/>
  <c r="C6" i="59"/>
  <c r="D6" i="59" s="1"/>
  <c r="C6" i="51"/>
  <c r="B196" i="61"/>
  <c r="C193" i="59"/>
  <c r="C193" i="51"/>
  <c r="B154" i="61"/>
  <c r="C151" i="59"/>
  <c r="C151" i="51"/>
  <c r="B125" i="61"/>
  <c r="C122" i="59"/>
  <c r="C122" i="51"/>
  <c r="B111" i="61"/>
  <c r="C108" i="59"/>
  <c r="D108" i="59" s="1"/>
  <c r="B107" i="60" s="1"/>
  <c r="C108" i="51"/>
  <c r="B83" i="61"/>
  <c r="C80" i="59"/>
  <c r="D80" i="59" s="1"/>
  <c r="B79" i="60" s="1"/>
  <c r="C80" i="51"/>
  <c r="B69" i="61"/>
  <c r="C66" i="59"/>
  <c r="D66" i="59" s="1"/>
  <c r="B65" i="60" s="1"/>
  <c r="C66" i="51"/>
  <c r="B55" i="61"/>
  <c r="C52" i="59"/>
  <c r="D52" i="59" s="1"/>
  <c r="B51" i="60" s="1"/>
  <c r="C52" i="51"/>
  <c r="B13" i="61"/>
  <c r="C10" i="59"/>
  <c r="D10" i="59" s="1"/>
  <c r="B9" i="60" s="1"/>
  <c r="C10" i="51"/>
  <c r="B223" i="61"/>
  <c r="C220" i="59"/>
  <c r="C220" i="51"/>
  <c r="B209" i="61"/>
  <c r="C206" i="59"/>
  <c r="C206" i="51"/>
  <c r="B195" i="61"/>
  <c r="C192" i="59"/>
  <c r="C192" i="51"/>
  <c r="B181" i="61"/>
  <c r="C178" i="59"/>
  <c r="C178" i="51"/>
  <c r="B167" i="61"/>
  <c r="C164" i="59"/>
  <c r="C164" i="51"/>
  <c r="B153" i="61"/>
  <c r="C150" i="59"/>
  <c r="C150" i="51"/>
  <c r="B138" i="61"/>
  <c r="C135" i="59"/>
  <c r="C135" i="51"/>
  <c r="B124" i="61"/>
  <c r="C121" i="59"/>
  <c r="C121" i="51"/>
  <c r="B110" i="61"/>
  <c r="C107" i="59"/>
  <c r="D107" i="59" s="1"/>
  <c r="B106" i="60" s="1"/>
  <c r="C107" i="51"/>
  <c r="B96" i="61"/>
  <c r="C93" i="59"/>
  <c r="D93" i="59" s="1"/>
  <c r="B92" i="60" s="1"/>
  <c r="C93" i="51"/>
  <c r="B82" i="61"/>
  <c r="C79" i="59"/>
  <c r="D79" i="59" s="1"/>
  <c r="B78" i="60" s="1"/>
  <c r="C79" i="51"/>
  <c r="B68" i="61"/>
  <c r="C65" i="59"/>
  <c r="D65" i="59" s="1"/>
  <c r="B64" i="60" s="1"/>
  <c r="C65" i="51"/>
  <c r="B54" i="61"/>
  <c r="C51" i="59"/>
  <c r="D51" i="59" s="1"/>
  <c r="B50" i="60" s="1"/>
  <c r="C51" i="51"/>
  <c r="B40" i="61"/>
  <c r="C37" i="59"/>
  <c r="D37" i="59" s="1"/>
  <c r="B36" i="60" s="1"/>
  <c r="C37" i="51"/>
  <c r="B26" i="61"/>
  <c r="C23" i="59"/>
  <c r="D23" i="59" s="1"/>
  <c r="B22" i="60" s="1"/>
  <c r="C23" i="51"/>
  <c r="B12" i="61"/>
  <c r="C9" i="59"/>
  <c r="D9" i="59" s="1"/>
  <c r="B8" i="60" s="1"/>
  <c r="C9" i="51"/>
  <c r="B178" i="61"/>
  <c r="C175" i="59"/>
  <c r="C175" i="51"/>
  <c r="B37" i="61"/>
  <c r="C34" i="59"/>
  <c r="D34" i="59" s="1"/>
  <c r="B33" i="60" s="1"/>
  <c r="C34" i="51"/>
  <c r="B190" i="61"/>
  <c r="C187" i="59"/>
  <c r="C187" i="51"/>
  <c r="B183" i="61"/>
  <c r="C180" i="59"/>
  <c r="C180" i="51"/>
  <c r="B210" i="61"/>
  <c r="C207" i="59"/>
  <c r="C207" i="51"/>
  <c r="B168" i="61"/>
  <c r="C165" i="59"/>
  <c r="C165" i="51"/>
  <c r="B139" i="61"/>
  <c r="C136" i="59"/>
  <c r="C136" i="51"/>
  <c r="B97" i="61"/>
  <c r="C94" i="59"/>
  <c r="D94" i="59" s="1"/>
  <c r="B93" i="60" s="1"/>
  <c r="C94" i="51"/>
  <c r="B41" i="61"/>
  <c r="C38" i="59"/>
  <c r="D38" i="59" s="1"/>
  <c r="B37" i="60" s="1"/>
  <c r="C38" i="51"/>
  <c r="B222" i="61"/>
  <c r="C219" i="59"/>
  <c r="C219" i="51"/>
  <c r="B208" i="61"/>
  <c r="C205" i="59"/>
  <c r="C205" i="51"/>
  <c r="B194" i="61"/>
  <c r="C191" i="59"/>
  <c r="C191" i="51"/>
  <c r="B180" i="61"/>
  <c r="C177" i="59"/>
  <c r="C177" i="51"/>
  <c r="B166" i="61"/>
  <c r="C163" i="59"/>
  <c r="C163" i="51"/>
  <c r="B152" i="61"/>
  <c r="C149" i="59"/>
  <c r="C149" i="51"/>
  <c r="B137" i="61"/>
  <c r="C134" i="59"/>
  <c r="C134" i="51"/>
  <c r="B123" i="61"/>
  <c r="C120" i="59"/>
  <c r="C120" i="51"/>
  <c r="B109" i="61"/>
  <c r="C106" i="59"/>
  <c r="D106" i="59" s="1"/>
  <c r="B105" i="60" s="1"/>
  <c r="C106" i="51"/>
  <c r="B95" i="61"/>
  <c r="C92" i="59"/>
  <c r="D92" i="59" s="1"/>
  <c r="B91" i="60" s="1"/>
  <c r="C92" i="51"/>
  <c r="B81" i="61"/>
  <c r="C78" i="59"/>
  <c r="D78" i="59" s="1"/>
  <c r="B77" i="60" s="1"/>
  <c r="C78" i="51"/>
  <c r="B67" i="61"/>
  <c r="C64" i="59"/>
  <c r="D64" i="59" s="1"/>
  <c r="B63" i="60" s="1"/>
  <c r="C64" i="51"/>
  <c r="B53" i="61"/>
  <c r="C50" i="59"/>
  <c r="D50" i="59" s="1"/>
  <c r="B49" i="60" s="1"/>
  <c r="C50" i="51"/>
  <c r="B39" i="61"/>
  <c r="C36" i="59"/>
  <c r="D36" i="59" s="1"/>
  <c r="B35" i="60" s="1"/>
  <c r="C36" i="51"/>
  <c r="B25" i="61"/>
  <c r="C22" i="59"/>
  <c r="D22" i="59" s="1"/>
  <c r="B21" i="60" s="1"/>
  <c r="C22" i="51"/>
  <c r="B11" i="61"/>
  <c r="C8" i="59"/>
  <c r="D8" i="59" s="1"/>
  <c r="B7" i="60" s="1"/>
  <c r="C8" i="51"/>
  <c r="B192" i="61"/>
  <c r="C189" i="59"/>
  <c r="C189" i="51"/>
  <c r="B135" i="61"/>
  <c r="C132" i="59"/>
  <c r="C132" i="51"/>
  <c r="B121" i="61"/>
  <c r="C118" i="59"/>
  <c r="C118" i="51"/>
  <c r="B51" i="61"/>
  <c r="C48" i="59"/>
  <c r="D48" i="59" s="1"/>
  <c r="B47" i="60" s="1"/>
  <c r="C48" i="51"/>
  <c r="B219" i="61"/>
  <c r="C216" i="59"/>
  <c r="C216" i="51"/>
  <c r="B177" i="61"/>
  <c r="C174" i="59"/>
  <c r="C174" i="51"/>
  <c r="B134" i="61"/>
  <c r="C131" i="59"/>
  <c r="C131" i="51"/>
  <c r="B106" i="61"/>
  <c r="C103" i="59"/>
  <c r="D103" i="59" s="1"/>
  <c r="B102" i="60" s="1"/>
  <c r="C103" i="51"/>
  <c r="B92" i="61"/>
  <c r="C89" i="59"/>
  <c r="D89" i="59" s="1"/>
  <c r="B88" i="60" s="1"/>
  <c r="C89" i="51"/>
  <c r="B50" i="61"/>
  <c r="C47" i="59"/>
  <c r="D47" i="59" s="1"/>
  <c r="B46" i="60" s="1"/>
  <c r="C47" i="51"/>
  <c r="B176" i="61"/>
  <c r="C173" i="59"/>
  <c r="C173" i="51"/>
  <c r="B155" i="61"/>
  <c r="C152" i="59"/>
  <c r="C152" i="51"/>
  <c r="B182" i="61"/>
  <c r="C179" i="59"/>
  <c r="C179" i="51"/>
  <c r="B27" i="61"/>
  <c r="C24" i="59"/>
  <c r="D24" i="59" s="1"/>
  <c r="B23" i="60" s="1"/>
  <c r="C24" i="51"/>
  <c r="B221" i="61"/>
  <c r="C218" i="59"/>
  <c r="C218" i="51"/>
  <c r="B207" i="61"/>
  <c r="C204" i="59"/>
  <c r="C204" i="51"/>
  <c r="B193" i="61"/>
  <c r="C190" i="59"/>
  <c r="C190" i="51"/>
  <c r="B179" i="61"/>
  <c r="C176" i="59"/>
  <c r="C176" i="51"/>
  <c r="B165" i="61"/>
  <c r="C162" i="59"/>
  <c r="C162" i="51"/>
  <c r="B151" i="61"/>
  <c r="C148" i="59"/>
  <c r="C148" i="51"/>
  <c r="B136" i="61"/>
  <c r="C133" i="59"/>
  <c r="C133" i="51"/>
  <c r="B122" i="61"/>
  <c r="C119" i="59"/>
  <c r="C119" i="51"/>
  <c r="B108" i="61"/>
  <c r="C105" i="59"/>
  <c r="D105" i="59" s="1"/>
  <c r="B104" i="60" s="1"/>
  <c r="C105" i="51"/>
  <c r="B94" i="61"/>
  <c r="C91" i="59"/>
  <c r="D91" i="59" s="1"/>
  <c r="B90" i="60" s="1"/>
  <c r="C91" i="51"/>
  <c r="B80" i="61"/>
  <c r="C77" i="59"/>
  <c r="D77" i="59" s="1"/>
  <c r="B76" i="60" s="1"/>
  <c r="C77" i="51"/>
  <c r="B66" i="61"/>
  <c r="C63" i="59"/>
  <c r="D63" i="59" s="1"/>
  <c r="B62" i="60" s="1"/>
  <c r="C63" i="51"/>
  <c r="B52" i="61"/>
  <c r="C49" i="59"/>
  <c r="D49" i="59" s="1"/>
  <c r="B48" i="60" s="1"/>
  <c r="C49" i="51"/>
  <c r="B38" i="61"/>
  <c r="C35" i="59"/>
  <c r="D35" i="59" s="1"/>
  <c r="B34" i="60" s="1"/>
  <c r="C35" i="51"/>
  <c r="B24" i="61"/>
  <c r="C21" i="59"/>
  <c r="D21" i="59" s="1"/>
  <c r="B20" i="60" s="1"/>
  <c r="C21" i="51"/>
  <c r="B10" i="61"/>
  <c r="C7" i="59"/>
  <c r="D7" i="59" s="1"/>
  <c r="B6" i="60" s="1"/>
  <c r="C7" i="51"/>
  <c r="C222" i="59"/>
  <c r="C222" i="51"/>
  <c r="E79" i="27" l="1"/>
  <c r="B80" i="24"/>
  <c r="G105" i="51"/>
  <c r="B105" i="53" s="1"/>
  <c r="D105" i="51"/>
  <c r="B105" i="52" s="1"/>
  <c r="G62" i="51"/>
  <c r="B62" i="53" s="1"/>
  <c r="D62" i="51"/>
  <c r="B62" i="52" s="1"/>
  <c r="G44" i="51"/>
  <c r="B44" i="53" s="1"/>
  <c r="D44" i="51"/>
  <c r="B44" i="52" s="1"/>
  <c r="G87" i="51"/>
  <c r="B87" i="53" s="1"/>
  <c r="D87" i="51"/>
  <c r="B87" i="52" s="1"/>
  <c r="D68" i="51"/>
  <c r="B68" i="52" s="1"/>
  <c r="G68" i="51"/>
  <c r="B68" i="53" s="1"/>
  <c r="G14" i="51"/>
  <c r="B14" i="53" s="1"/>
  <c r="D14" i="51"/>
  <c r="B14" i="52" s="1"/>
  <c r="G7" i="51"/>
  <c r="B7" i="53" s="1"/>
  <c r="D7" i="51"/>
  <c r="B7" i="52" s="1"/>
  <c r="D23" i="51"/>
  <c r="B23" i="52" s="1"/>
  <c r="G23" i="51"/>
  <c r="B23" i="53" s="1"/>
  <c r="D11" i="51"/>
  <c r="B11" i="52" s="1"/>
  <c r="G11" i="51"/>
  <c r="B11" i="53" s="1"/>
  <c r="D26" i="51"/>
  <c r="B26" i="52" s="1"/>
  <c r="G26" i="51"/>
  <c r="B26" i="53" s="1"/>
  <c r="D97" i="51"/>
  <c r="B97" i="52" s="1"/>
  <c r="G97" i="51"/>
  <c r="B97" i="53" s="1"/>
  <c r="G84" i="51"/>
  <c r="B84" i="53" s="1"/>
  <c r="D84" i="51"/>
  <c r="B84" i="52" s="1"/>
  <c r="G15" i="51"/>
  <c r="B15" i="53" s="1"/>
  <c r="D15" i="51"/>
  <c r="B15" i="52" s="1"/>
  <c r="G18" i="51"/>
  <c r="B18" i="53" s="1"/>
  <c r="D18" i="51"/>
  <c r="B18" i="52" s="1"/>
  <c r="G56" i="51"/>
  <c r="B56" i="53" s="1"/>
  <c r="D56" i="51"/>
  <c r="B56" i="52" s="1"/>
  <c r="G106" i="51"/>
  <c r="B106" i="53" s="1"/>
  <c r="D106" i="51"/>
  <c r="B106" i="52" s="1"/>
  <c r="G77" i="51"/>
  <c r="B77" i="53" s="1"/>
  <c r="D77" i="51"/>
  <c r="B77" i="52" s="1"/>
  <c r="G50" i="51"/>
  <c r="B50" i="53" s="1"/>
  <c r="D50" i="51"/>
  <c r="B50" i="52" s="1"/>
  <c r="D94" i="51"/>
  <c r="B94" i="52" s="1"/>
  <c r="G94" i="51"/>
  <c r="B94" i="53" s="1"/>
  <c r="D93" i="51"/>
  <c r="B93" i="52" s="1"/>
  <c r="G93" i="51"/>
  <c r="B93" i="53" s="1"/>
  <c r="D108" i="51"/>
  <c r="B108" i="52" s="1"/>
  <c r="G108" i="51"/>
  <c r="B108" i="53" s="1"/>
  <c r="D81" i="51"/>
  <c r="B81" i="52" s="1"/>
  <c r="G81" i="51"/>
  <c r="B81" i="53" s="1"/>
  <c r="D96" i="51"/>
  <c r="B96" i="52" s="1"/>
  <c r="G96" i="51"/>
  <c r="B96" i="53" s="1"/>
  <c r="G85" i="51"/>
  <c r="B85" i="53" s="1"/>
  <c r="D85" i="51"/>
  <c r="B85" i="52" s="1"/>
  <c r="G101" i="51"/>
  <c r="B101" i="53" s="1"/>
  <c r="D101" i="51"/>
  <c r="B101" i="52" s="1"/>
  <c r="G76" i="51"/>
  <c r="B76" i="53" s="1"/>
  <c r="D76" i="51"/>
  <c r="B76" i="52" s="1"/>
  <c r="D109" i="51"/>
  <c r="B109" i="52" s="1"/>
  <c r="G109" i="51"/>
  <c r="B109" i="53" s="1"/>
  <c r="D6" i="51"/>
  <c r="B6" i="52" s="1"/>
  <c r="G6" i="51"/>
  <c r="B6" i="53" s="1"/>
  <c r="G27" i="51"/>
  <c r="B27" i="53" s="1"/>
  <c r="D27" i="51"/>
  <c r="B27" i="52" s="1"/>
  <c r="G41" i="51"/>
  <c r="B41" i="53" s="1"/>
  <c r="D41" i="51"/>
  <c r="B41" i="52" s="1"/>
  <c r="G28" i="51"/>
  <c r="B28" i="53" s="1"/>
  <c r="D28" i="51"/>
  <c r="B28" i="52" s="1"/>
  <c r="G19" i="51"/>
  <c r="B19" i="53" s="1"/>
  <c r="D19" i="51"/>
  <c r="B19" i="52" s="1"/>
  <c r="G32" i="51"/>
  <c r="B32" i="53" s="1"/>
  <c r="D32" i="51"/>
  <c r="B32" i="52" s="1"/>
  <c r="G58" i="51"/>
  <c r="B58" i="53" s="1"/>
  <c r="D58" i="51"/>
  <c r="B58" i="52" s="1"/>
  <c r="G33" i="51"/>
  <c r="B33" i="53" s="1"/>
  <c r="D33" i="51"/>
  <c r="B33" i="52" s="1"/>
  <c r="G46" i="51"/>
  <c r="B46" i="53" s="1"/>
  <c r="D46" i="51"/>
  <c r="B46" i="52" s="1"/>
  <c r="G75" i="51"/>
  <c r="B75" i="53" s="1"/>
  <c r="D75" i="51"/>
  <c r="B75" i="52" s="1"/>
  <c r="G21" i="51"/>
  <c r="B21" i="53" s="1"/>
  <c r="D21" i="51"/>
  <c r="B21" i="52" s="1"/>
  <c r="D10" i="51"/>
  <c r="B10" i="52" s="1"/>
  <c r="G10" i="51"/>
  <c r="B10" i="53" s="1"/>
  <c r="D25" i="51"/>
  <c r="B25" i="52" s="1"/>
  <c r="G25" i="51"/>
  <c r="B25" i="53" s="1"/>
  <c r="G98" i="51"/>
  <c r="B98" i="53" s="1"/>
  <c r="D98" i="51"/>
  <c r="B98" i="52" s="1"/>
  <c r="G29" i="51"/>
  <c r="B29" i="53" s="1"/>
  <c r="D29" i="51"/>
  <c r="B29" i="52" s="1"/>
  <c r="G91" i="51"/>
  <c r="B91" i="53" s="1"/>
  <c r="D91" i="51"/>
  <c r="B91" i="52" s="1"/>
  <c r="G47" i="51"/>
  <c r="B47" i="53" s="1"/>
  <c r="D47" i="51"/>
  <c r="B47" i="52" s="1"/>
  <c r="G64" i="51"/>
  <c r="B64" i="53" s="1"/>
  <c r="D64" i="51"/>
  <c r="B64" i="52" s="1"/>
  <c r="D107" i="51"/>
  <c r="B107" i="52" s="1"/>
  <c r="G107" i="51"/>
  <c r="B107" i="53" s="1"/>
  <c r="D95" i="51"/>
  <c r="B95" i="52" s="1"/>
  <c r="G95" i="51"/>
  <c r="B95" i="53" s="1"/>
  <c r="D110" i="51"/>
  <c r="B110" i="52" s="1"/>
  <c r="G110" i="51"/>
  <c r="B110" i="53" s="1"/>
  <c r="G61" i="51"/>
  <c r="B61" i="53" s="1"/>
  <c r="D61" i="51"/>
  <c r="B61" i="52" s="1"/>
  <c r="G99" i="51"/>
  <c r="B99" i="53" s="1"/>
  <c r="D99" i="51"/>
  <c r="B99" i="52" s="1"/>
  <c r="G34" i="51"/>
  <c r="B34" i="53" s="1"/>
  <c r="D34" i="51"/>
  <c r="B34" i="52" s="1"/>
  <c r="G55" i="51"/>
  <c r="B55" i="53" s="1"/>
  <c r="D55" i="51"/>
  <c r="B55" i="52" s="1"/>
  <c r="G42" i="51"/>
  <c r="B42" i="53" s="1"/>
  <c r="D42" i="51"/>
  <c r="B42" i="52" s="1"/>
  <c r="G104" i="51"/>
  <c r="B104" i="53" s="1"/>
  <c r="D104" i="51"/>
  <c r="B104" i="52" s="1"/>
  <c r="G60" i="51"/>
  <c r="B60" i="53" s="1"/>
  <c r="D60" i="51"/>
  <c r="B60" i="52" s="1"/>
  <c r="G72" i="51"/>
  <c r="B72" i="53" s="1"/>
  <c r="D72" i="51"/>
  <c r="B72" i="52" s="1"/>
  <c r="D37" i="51"/>
  <c r="B37" i="52" s="1"/>
  <c r="G37" i="51"/>
  <c r="B37" i="53" s="1"/>
  <c r="D40" i="51"/>
  <c r="B40" i="52" s="1"/>
  <c r="G40" i="51"/>
  <c r="B40" i="53" s="1"/>
  <c r="G31" i="51"/>
  <c r="B31" i="53" s="1"/>
  <c r="D31" i="51"/>
  <c r="B31" i="52" s="1"/>
  <c r="G35" i="51"/>
  <c r="B35" i="53" s="1"/>
  <c r="D35" i="51"/>
  <c r="B35" i="52" s="1"/>
  <c r="D24" i="51"/>
  <c r="B24" i="52" s="1"/>
  <c r="G24" i="51"/>
  <c r="B24" i="53" s="1"/>
  <c r="D8" i="51"/>
  <c r="B8" i="52" s="1"/>
  <c r="G8" i="51"/>
  <c r="B8" i="53" s="1"/>
  <c r="D51" i="51"/>
  <c r="B51" i="52" s="1"/>
  <c r="G51" i="51"/>
  <c r="B51" i="53" s="1"/>
  <c r="D52" i="51"/>
  <c r="B52" i="52" s="1"/>
  <c r="G52" i="51"/>
  <c r="B52" i="53" s="1"/>
  <c r="D39" i="51"/>
  <c r="B39" i="52" s="1"/>
  <c r="G39" i="51"/>
  <c r="B39" i="53" s="1"/>
  <c r="D54" i="51"/>
  <c r="B54" i="52" s="1"/>
  <c r="G54" i="51"/>
  <c r="B54" i="53" s="1"/>
  <c r="G43" i="51"/>
  <c r="B43" i="53" s="1"/>
  <c r="D43" i="51"/>
  <c r="B43" i="52" s="1"/>
  <c r="G45" i="51"/>
  <c r="B45" i="53" s="1"/>
  <c r="D45" i="51"/>
  <c r="B45" i="52" s="1"/>
  <c r="G74" i="51"/>
  <c r="B74" i="53" s="1"/>
  <c r="D74" i="51"/>
  <c r="B74" i="52" s="1"/>
  <c r="G16" i="51"/>
  <c r="B16" i="53" s="1"/>
  <c r="D16" i="51"/>
  <c r="B16" i="52" s="1"/>
  <c r="G88" i="51"/>
  <c r="B88" i="53" s="1"/>
  <c r="D88" i="51"/>
  <c r="B88" i="52" s="1"/>
  <c r="G86" i="51"/>
  <c r="B86" i="53" s="1"/>
  <c r="D86" i="51"/>
  <c r="B86" i="52" s="1"/>
  <c r="G48" i="51"/>
  <c r="B48" i="53" s="1"/>
  <c r="D48" i="51"/>
  <c r="B48" i="52" s="1"/>
  <c r="G89" i="51"/>
  <c r="B89" i="53" s="1"/>
  <c r="D89" i="51"/>
  <c r="B89" i="52" s="1"/>
  <c r="G78" i="51"/>
  <c r="B78" i="53" s="1"/>
  <c r="D78" i="51"/>
  <c r="B78" i="52" s="1"/>
  <c r="G69" i="51"/>
  <c r="B69" i="53" s="1"/>
  <c r="D69" i="51"/>
  <c r="B69" i="52" s="1"/>
  <c r="G49" i="51"/>
  <c r="B49" i="53" s="1"/>
  <c r="D49" i="51"/>
  <c r="B49" i="52" s="1"/>
  <c r="G22" i="51"/>
  <c r="B22" i="53" s="1"/>
  <c r="D22" i="51"/>
  <c r="B22" i="52" s="1"/>
  <c r="D66" i="51"/>
  <c r="B66" i="52" s="1"/>
  <c r="G66" i="51"/>
  <c r="B66" i="53" s="1"/>
  <c r="G30" i="51"/>
  <c r="B30" i="53" s="1"/>
  <c r="D30" i="51"/>
  <c r="B30" i="52" s="1"/>
  <c r="G17" i="51"/>
  <c r="B17" i="53" s="1"/>
  <c r="D17" i="51"/>
  <c r="B17" i="52" s="1"/>
  <c r="G90" i="51"/>
  <c r="B90" i="53" s="1"/>
  <c r="D90" i="51"/>
  <c r="B90" i="52" s="1"/>
  <c r="G103" i="51"/>
  <c r="B103" i="53" s="1"/>
  <c r="D103" i="51"/>
  <c r="B103" i="52" s="1"/>
  <c r="G92" i="51"/>
  <c r="B92" i="53" s="1"/>
  <c r="D92" i="51"/>
  <c r="B92" i="52" s="1"/>
  <c r="D9" i="51"/>
  <c r="B9" i="52" s="1"/>
  <c r="G9" i="51"/>
  <c r="B9" i="53" s="1"/>
  <c r="D12" i="51"/>
  <c r="B12" i="52" s="1"/>
  <c r="G12" i="51"/>
  <c r="B12" i="53" s="1"/>
  <c r="G83" i="51"/>
  <c r="B83" i="53" s="1"/>
  <c r="D83" i="51"/>
  <c r="B83" i="52" s="1"/>
  <c r="G70" i="51"/>
  <c r="B70" i="53" s="1"/>
  <c r="D70" i="51"/>
  <c r="B70" i="52" s="1"/>
  <c r="G100" i="51"/>
  <c r="B100" i="53" s="1"/>
  <c r="D100" i="51"/>
  <c r="B100" i="52" s="1"/>
  <c r="G20" i="51"/>
  <c r="B20" i="53" s="1"/>
  <c r="D20" i="51"/>
  <c r="B20" i="52" s="1"/>
  <c r="D65" i="51"/>
  <c r="B65" i="52" s="1"/>
  <c r="G65" i="51"/>
  <c r="B65" i="53" s="1"/>
  <c r="D53" i="51"/>
  <c r="B53" i="52" s="1"/>
  <c r="G53" i="51"/>
  <c r="B53" i="53" s="1"/>
  <c r="G57" i="51"/>
  <c r="B57" i="53" s="1"/>
  <c r="D57" i="51"/>
  <c r="B57" i="52" s="1"/>
  <c r="G59" i="51"/>
  <c r="B59" i="53" s="1"/>
  <c r="D59" i="51"/>
  <c r="B59" i="52" s="1"/>
  <c r="G102" i="51"/>
  <c r="B102" i="53" s="1"/>
  <c r="D102" i="51"/>
  <c r="B102" i="52" s="1"/>
  <c r="G13" i="51"/>
  <c r="B13" i="53" s="1"/>
  <c r="D13" i="51"/>
  <c r="B13" i="52" s="1"/>
  <c r="G63" i="51"/>
  <c r="B63" i="53" s="1"/>
  <c r="D63" i="51"/>
  <c r="B63" i="52" s="1"/>
  <c r="G36" i="51"/>
  <c r="B36" i="53" s="1"/>
  <c r="D36" i="51"/>
  <c r="B36" i="52" s="1"/>
  <c r="D38" i="51"/>
  <c r="B38" i="52" s="1"/>
  <c r="G38" i="51"/>
  <c r="B38" i="53" s="1"/>
  <c r="D79" i="51"/>
  <c r="B79" i="52" s="1"/>
  <c r="G79" i="51"/>
  <c r="B79" i="53" s="1"/>
  <c r="D80" i="51"/>
  <c r="B80" i="52" s="1"/>
  <c r="G80" i="51"/>
  <c r="B80" i="53" s="1"/>
  <c r="D67" i="51"/>
  <c r="B67" i="52" s="1"/>
  <c r="G67" i="51"/>
  <c r="B67" i="53" s="1"/>
  <c r="D82" i="51"/>
  <c r="B82" i="52" s="1"/>
  <c r="G82" i="51"/>
  <c r="B82" i="53" s="1"/>
  <c r="G71" i="51"/>
  <c r="B71" i="53" s="1"/>
  <c r="D71" i="51"/>
  <c r="B71" i="52" s="1"/>
  <c r="G73" i="51"/>
  <c r="B73" i="53" s="1"/>
  <c r="D73" i="51"/>
  <c r="B73" i="52" s="1"/>
  <c r="E78" i="27" l="1"/>
  <c r="B79" i="24"/>
  <c r="E77" i="27" l="1"/>
  <c r="B78" i="24"/>
  <c r="E76" i="27" l="1"/>
  <c r="B77" i="24"/>
  <c r="E75" i="27" l="1"/>
  <c r="B76" i="24"/>
  <c r="E74" i="27" l="1"/>
  <c r="B75" i="24"/>
  <c r="E73" i="27" l="1"/>
  <c r="B74" i="24"/>
  <c r="E72" i="27" l="1"/>
  <c r="B73" i="24"/>
  <c r="E71" i="27" l="1"/>
  <c r="B72" i="24"/>
  <c r="E70" i="27" l="1"/>
  <c r="B71" i="24"/>
  <c r="E69" i="27" l="1"/>
  <c r="B70" i="24"/>
  <c r="E68" i="27" l="1"/>
  <c r="B69" i="24"/>
  <c r="E67" i="27" l="1"/>
  <c r="B68" i="24"/>
  <c r="E66" i="27" l="1"/>
  <c r="B67" i="24"/>
  <c r="E65" i="27" l="1"/>
  <c r="B66" i="24"/>
  <c r="E64" i="27" l="1"/>
  <c r="B65" i="24"/>
  <c r="E63" i="27" l="1"/>
  <c r="B64" i="24"/>
  <c r="E62" i="27" l="1"/>
  <c r="B63" i="24"/>
  <c r="E61" i="27" l="1"/>
  <c r="B62" i="24"/>
  <c r="E60" i="27" l="1"/>
  <c r="B61" i="24"/>
  <c r="E59" i="27" l="1"/>
  <c r="B60" i="24"/>
  <c r="E58" i="27" l="1"/>
  <c r="B59" i="24"/>
  <c r="E57" i="27" l="1"/>
  <c r="B58" i="24"/>
  <c r="E56" i="27" l="1"/>
  <c r="B57" i="24"/>
  <c r="E55" i="27" l="1"/>
  <c r="B56" i="24"/>
  <c r="E54" i="27" l="1"/>
  <c r="B55" i="24"/>
  <c r="E53" i="27" l="1"/>
  <c r="B54" i="24"/>
  <c r="E52" i="27" l="1"/>
  <c r="B53" i="24"/>
  <c r="E51" i="27" l="1"/>
  <c r="B52" i="24"/>
  <c r="E50" i="27" l="1"/>
  <c r="B51" i="24"/>
  <c r="E49" i="27" l="1"/>
  <c r="B50" i="24"/>
  <c r="E48" i="27" l="1"/>
  <c r="B49" i="24"/>
  <c r="E47" i="27" l="1"/>
  <c r="B48" i="24"/>
  <c r="E46" i="27" l="1"/>
  <c r="B47" i="24"/>
  <c r="E45" i="27" l="1"/>
  <c r="B46" i="24"/>
  <c r="E44" i="27" l="1"/>
  <c r="B45" i="24"/>
  <c r="E43" i="27" l="1"/>
  <c r="B44" i="24"/>
  <c r="E42" i="27" l="1"/>
  <c r="B43" i="24"/>
  <c r="E41" i="27" l="1"/>
  <c r="B42" i="24"/>
  <c r="E40" i="27" l="1"/>
  <c r="B41" i="24"/>
  <c r="E39" i="27" l="1"/>
  <c r="B40" i="24"/>
  <c r="E38" i="27" l="1"/>
  <c r="B39" i="24"/>
  <c r="E37" i="27" l="1"/>
  <c r="B38" i="24"/>
  <c r="E36" i="27" l="1"/>
  <c r="B37" i="24"/>
  <c r="E35" i="27" l="1"/>
  <c r="B36" i="24"/>
  <c r="E34" i="27" l="1"/>
  <c r="B35" i="24"/>
  <c r="E33" i="27" l="1"/>
  <c r="B34" i="24"/>
  <c r="E32" i="27" l="1"/>
  <c r="B33" i="24"/>
  <c r="E31" i="27" l="1"/>
  <c r="B32" i="24"/>
  <c r="E30" i="27" l="1"/>
  <c r="B31" i="24"/>
  <c r="E29" i="27" l="1"/>
  <c r="B30" i="24"/>
  <c r="E28" i="27" l="1"/>
  <c r="B29" i="24"/>
  <c r="E27" i="27" l="1"/>
  <c r="B28" i="24"/>
  <c r="E26" i="27" l="1"/>
  <c r="B27" i="24"/>
  <c r="E25" i="27" l="1"/>
  <c r="B26" i="24"/>
  <c r="E24" i="27" l="1"/>
  <c r="B25" i="24"/>
  <c r="E23" i="27" l="1"/>
  <c r="B24" i="24"/>
  <c r="E22" i="27" l="1"/>
  <c r="B23" i="24"/>
  <c r="E21" i="27" l="1"/>
  <c r="B22" i="24"/>
  <c r="E20" i="27" l="1"/>
  <c r="B21" i="24"/>
  <c r="E19" i="27" l="1"/>
  <c r="B20" i="24"/>
  <c r="E18" i="27" l="1"/>
  <c r="B19" i="24"/>
  <c r="E17" i="27" l="1"/>
  <c r="B18" i="24"/>
  <c r="E16" i="27" l="1"/>
  <c r="B17" i="24"/>
  <c r="E15" i="27" l="1"/>
  <c r="B16" i="24"/>
  <c r="E14" i="27" l="1"/>
  <c r="B15" i="24"/>
  <c r="E13" i="27" l="1"/>
  <c r="B14" i="24"/>
  <c r="E12" i="27" l="1"/>
  <c r="B13" i="24"/>
  <c r="E11" i="27" l="1"/>
  <c r="B12" i="24"/>
  <c r="E10" i="27" l="1"/>
  <c r="B11" i="24"/>
  <c r="E9" i="27" l="1"/>
  <c r="B10" i="24"/>
  <c r="E8" i="27" l="1"/>
  <c r="B9" i="24"/>
  <c r="E7" i="27" l="1"/>
  <c r="B8" i="24"/>
  <c r="E6" i="27" l="1"/>
  <c r="B7" i="24"/>
  <c r="E5" i="27" l="1"/>
  <c r="B6" i="24"/>
  <c r="E4" i="27" l="1"/>
  <c r="B4" i="24" s="1"/>
  <c r="B5" i="24"/>
</calcChain>
</file>

<file path=xl/sharedStrings.xml><?xml version="1.0" encoding="utf-8"?>
<sst xmlns="http://schemas.openxmlformats.org/spreadsheetml/2006/main" count="13026" uniqueCount="443">
  <si>
    <t>ctry</t>
  </si>
  <si>
    <t>sheet name</t>
  </si>
  <si>
    <t>description</t>
  </si>
  <si>
    <t>source</t>
  </si>
  <si>
    <t>time span</t>
  </si>
  <si>
    <t>note</t>
  </si>
  <si>
    <t>UK</t>
  </si>
  <si>
    <t>rgdp</t>
  </si>
  <si>
    <t>Gross Domestic Product: chained volume measures: Seasonally adjusted £m</t>
  </si>
  <si>
    <t>ONS</t>
  </si>
  <si>
    <t>1970Q1-2025Q2</t>
  </si>
  <si>
    <t>https://www.ons.gov.uk/economy/grossdomesticproductgdp/timeseries/abmi/pn2</t>
  </si>
  <si>
    <t>g4rdgp</t>
  </si>
  <si>
    <t>delta4 ln rgdp * 100</t>
  </si>
  <si>
    <t>own computations</t>
  </si>
  <si>
    <t>1971Q1-2025Q2</t>
  </si>
  <si>
    <t>qoq_rgdp</t>
  </si>
  <si>
    <t>delta ln of rgdp * 100</t>
  </si>
  <si>
    <t>1970Q2-2025Q2</t>
  </si>
  <si>
    <t>g4Infl</t>
  </si>
  <si>
    <t>Inflation</t>
  </si>
  <si>
    <t>IMF</t>
  </si>
  <si>
    <t>https://data.imf.org/en/Data-Explorer?datasetUrn=IMF.STA:CPI(4.0.0)     (uk - cpi - all items - period avg (yoy) - quarterly - all</t>
  </si>
  <si>
    <t>infl</t>
  </si>
  <si>
    <t>CPIH ANNUAL RATE 00: ALL ITEMS 2015=100</t>
  </si>
  <si>
    <t>1989Q1-2025Q2</t>
  </si>
  <si>
    <t>https://www.ons.gov.uk/economy/inflationandpriceindices/timeseries/l55o/mm23</t>
  </si>
  <si>
    <t>credit_to_gdp_bank</t>
  </si>
  <si>
    <t xml:space="preserve">United Kingdom - Credit from Banks, domestic to Private non-financial sector at Market value, Percentage of GDP, Adjusted for breaks
</t>
  </si>
  <si>
    <t>BIS</t>
  </si>
  <si>
    <t>1970Q1-2025Q1</t>
  </si>
  <si>
    <t>https://data.bis.org/topics/TOTAL_CREDIT/BIS,WS_TC,2.0/Q.GB.P.B.M.770.A</t>
  </si>
  <si>
    <t>credit_to_gdp_all</t>
  </si>
  <si>
    <t xml:space="preserve">United Kingdom - Credit from All sectors to Private non-financial sector at Market value, Percentage of GDP, Adjusted for breaks
</t>
  </si>
  <si>
    <t>https://data.bis.org/topics/TOTAL_CREDIT/BIS,WS_TC,2.0/Q.GB.P.A.M.770.A</t>
  </si>
  <si>
    <t>delta_3y_credit_to_gdp_all</t>
  </si>
  <si>
    <t xml:space="preserve">delta 3y - United Kingdom - Credit from All sectors to Private non-financial sector at Market value, Percentage of GDP, Adjusted for breaks
</t>
  </si>
  <si>
    <t>1973Q1-2025Q1</t>
  </si>
  <si>
    <t>ALL</t>
  </si>
  <si>
    <t>vix</t>
  </si>
  <si>
    <t>CBOE Volatility Index: VIX - US</t>
  </si>
  <si>
    <t>FRED</t>
  </si>
  <si>
    <t>1970Q3-2025Q3</t>
  </si>
  <si>
    <t>https://fred.stlouisfed.org/series/VIXCLS#      || the series is spliced with S&amp;P mrkt vol pre 1990q1</t>
  </si>
  <si>
    <t>bond_spread</t>
  </si>
  <si>
    <t>Corporate bond spread</t>
  </si>
  <si>
    <t>a-millennium-of-macroeconomic-data-for-the-uk + own computations + countercyclical capital buffer.xslsx (BOE)</t>
  </si>
  <si>
    <t>1970Q1-2025Q3</t>
  </si>
  <si>
    <t>we aggregate at the quarterly level (avg for the months in the quarter) the monthly series construcuted for inflation at risk (check other_series.do)</t>
  </si>
  <si>
    <t>mrkt_vol_uk</t>
  </si>
  <si>
    <t>MSCI UK indexrealized volatility in the quarter</t>
  </si>
  <si>
    <t xml:space="preserve">Refinitiv + own computation </t>
  </si>
  <si>
    <t>1970Q2-2024Q4</t>
  </si>
  <si>
    <t>David's paper</t>
  </si>
  <si>
    <t>mrkvols&amp;p</t>
  </si>
  <si>
    <t>S&amp;P500 realized volatility in the quarter</t>
  </si>
  <si>
    <t>g4oil</t>
  </si>
  <si>
    <t>y-o-y growth in quarterly oil price</t>
  </si>
  <si>
    <t>1988Q3-2025Q3</t>
  </si>
  <si>
    <t>https://fred.stlouisfed.org/series/MCOILBRENTEU#</t>
  </si>
  <si>
    <t>oil</t>
  </si>
  <si>
    <t>Crude Oil Prices: Brent - Europe</t>
  </si>
  <si>
    <t>1972Q1-2025Q3</t>
  </si>
  <si>
    <t>extendend with oil sheet from GaRDataRaw pre-1987q3</t>
  </si>
  <si>
    <t>g4oil_long</t>
  </si>
  <si>
    <t>1973Q1-2025Q3</t>
  </si>
  <si>
    <t>chicago_fed_nfci</t>
  </si>
  <si>
    <t>Chicago Fed National Financial Conditions Index  (NFCI)</t>
  </si>
  <si>
    <t>1971Q1-2025Q3</t>
  </si>
  <si>
    <t>https://fred.stlouisfed.org/graph/?g=k5Pf</t>
  </si>
  <si>
    <t>global_gdp</t>
  </si>
  <si>
    <t>Quarterly real GDP growth - OECD countries</t>
  </si>
  <si>
    <t>OECD</t>
  </si>
  <si>
    <t>https://data-explorer.oecd.org/vis?df[ds]=DisseminateFinalDMZ&amp;df[id]=DSD_NAMAIN1%40DF_QNA_EXPENDITURE_GROWTH_OECD&amp;df[ag]=OECD.SDD.NAD&amp;dq=Q..OECD.S1..B1GQ......GY.&amp;pd=1962-Q1%2C&amp;to[TIME_PERIOD]=false&amp;vw=tb || growrh over 1 year || a note: formerly this variable relates to G7 countries. We have extended to full OECD</t>
  </si>
  <si>
    <t>global_credit</t>
  </si>
  <si>
    <t>weighted average of delta 3y credit over gdp (d3y_cre_to_gdp_all_ALL_ctry) using export as weights</t>
  </si>
  <si>
    <t>pmi_out</t>
  </si>
  <si>
    <t xml:space="preserve">PMI  output </t>
  </si>
  <si>
    <t>provided by BOE</t>
  </si>
  <si>
    <t>1989Q4-2025Q3</t>
  </si>
  <si>
    <t>we spliced the PMI output series using consensus GDP forecast. We regress the PMI on consensus GDP forecast (next calendar year), we store the coefficents and we backast the variables</t>
  </si>
  <si>
    <t>pmi_out_fut</t>
  </si>
  <si>
    <t>PMI  output future</t>
  </si>
  <si>
    <t>we spliced the PMI output future series using consensus GDP forecast. We regress the PMI on consensus GDP forecast (next calendar year), we store the coefficents and we backast the variables</t>
  </si>
  <si>
    <t>ciss_uk</t>
  </si>
  <si>
    <t>NEW CISS - Composite Indicator of Systemic Stress., United Kingdom, Daily</t>
  </si>
  <si>
    <t>ECB</t>
  </si>
  <si>
    <t>1980Q1-2025Q3</t>
  </si>
  <si>
    <t>https://data.ecb.europa.eu/data/datasets/CISS/CISS.D.GB.Z0Z.4F.EC.SS_CIN.IDX?chart_props=W3sibm9kZUlkIjoiMTA2NTQwMyIsInByb3BlcnRpZXMiOlt7ImNvbG9ySGV4IjoiIiwiY29sb3JUeXBlIjoiIiwiY2hhcnRUeXBlIjoibGluZWNoYXJ0IiwibGluZVN0eWxlIjoiU29saWQiLCJsaW5lV2lkdGgiOiIxLjUiLCJheGlzUG9zaXRpb24iOiJsZWZ0Iiwib2JzZXJ2YXRpb25WYWx1ZSI6ZmFsc2UsImRhdGVzIjpbXSwiaXNUZGF0YSI6dHJ1ZSwibW9kaWZpZWRVbml0VHlwZSI6Im5vbmUiLCJ5ZWFyIjoiZGF0ZXdpc2UiLCJzdGFydERhdGUiOiIxOTgwLTAxLTAyIiwiZW5kRGF0ZSI6IjIwMjUtMDctMDgiLCJzZXREYXRlIjp0cnVlLCJzaG93VGFibGVEYXRhIjpmYWxzZSwiY2hhbmdlTW9kZSI6ZmFsc2UsInNob3dNZW51U3R5bGVDaGFydCI6ZmFsc2UsImRpc3BsYXlNb2JpbGVDaGFydCI6dHJ1ZSwic2NyZWVuU2l6ZSI6Im1heCIsInNjcmVlbldpZHRoIjoyNTYwLCJzaG93VGRhdGEiOnRydWUsInRyYW5zZm9ybWVkRnJlcXVlbmN5IjoicXVhcnRlcmx5IiwidHJhbnNmb3JtZWRVbml0Ijoibm9uZSIsImZyZXF1ZW5jeSI6InF1YXJ0ZXJseSIsInVuaXQiOiJub25lIiwibW9kaWZpZWQiOiJ0cnVlIiwic2VyaWVzS2V5IjoiZGFpbHkiLCJzaG93dGFibGVTdGF0ZUJlZm9yZU1heFNjcmVlbiI6ZmFsc2UsImlzZGF0YWNvbXBhcmlzb24iOmZhbHNlLCJzZXJpZXNGcmVxdWVuY3kiOiJkYWlseSIsImludGlhbFNlcmllc0ZyZXF1ZW5jeSI6ImRhaWx5IiwibWV0YWRhdGFEZWNpbWFsIjoiNCIsImlzVGFibGVTb3J0ZWQiOmZhbHNlLCJpc1llYXJseVRkYXRhIjp0cnVlLCJyZXNwb25zZURhdGFFbmREYXRlIjoiIiwiaXNpbml0aWFsQ2hhcnREYXRhIjp0cnVlLCJpc0RhdGVzRnJvbURhdGVQaWNrZXIiOnRydWUsImRhdGVQaWNrZXJFbmREYXRlIjoiIiwiaXNEYXRlUGlja2VyRW5kRGF0ZSI6ZmFsc2UsInNlcmllc2tleVNldCI6IkNJU1MuRC5HQi5aMFouNEYuRUMuU1NfQ0lOLklEWHwyMzZ8bm9uZXxxdWFydGVybHl8bm9uZXxRdWFydGVybHkiLCJkYXRhc2V0SWQiOiIyMzYiLCJpc0NhbGxiYWNrIjpmYWxzZSwiaXNTbGlkZXJUZGF0YSI6ZmFsc2UsImlzU2xpZGVyRGF0YSI6dHJ1ZSwiaXNJbml0aWFsQ2hhcnREYXRhRnJvbUdyYXBoIjp0cnVlLCJjaGFydFNlcmllc0tleSI6IkNJU1MuRC5HQi5aMFouNEYuRUMuU1NfQ0lOLklEWCIsInR5cGVPZiI6IiJ9XX1d</t>
  </si>
  <si>
    <t>yield_curve_slope</t>
  </si>
  <si>
    <t xml:space="preserve">Difference between zero-coupon nominal spot 10 year yield and zero-coupon nominal spot 1 year yield  </t>
  </si>
  <si>
    <t>BOE</t>
  </si>
  <si>
    <t>1979Q1-2025Q3</t>
  </si>
  <si>
    <t>https://www.bankofengland.co.uk/statistics/yield-curves Archive yield curve data Daily | Data are available in multiple vintages at the daily level - we generate quarterly data as the average of the average value for the days in the quarter (see other_series.do). We did not use monthly data as they referer to the last day in the month</t>
  </si>
  <si>
    <t>inflation_expectations</t>
  </si>
  <si>
    <t>CPI expectations in next calendar year</t>
  </si>
  <si>
    <t>Consensus Economics</t>
  </si>
  <si>
    <t>the starting point is the seires used in the monthly analysis sheet infl1_m (IaRDataRaw_monthly.xlsx). We aggregate the series at the quarterly level (see other_series.do) - then we use g4infl to backast the series up to 1970q1. We regress inflation expectations on inflation from 1989q4 to 2024q4. We store the coefficents and we backast the series for inflation expectations</t>
  </si>
  <si>
    <t>import_deflator_fuel</t>
  </si>
  <si>
    <t xml:space="preserve">UK BOP: IMPORTS - FUELS - WORLD (IMPLIED DEFLATOR) </t>
  </si>
  <si>
    <t>1980Q1-2025Q2</t>
  </si>
  <si>
    <t>ONS series is available only from 1997Q1 For the previous period we use Oxford economic UK IMPORT PRICE DEFLATOR - FUELS SADJ (it is exactly the same series as the ONS one post 1997 so there is no need to splice. The Oxford econ series has been downloaded from refinitiv datastream (the series name in datastream are:  "UKXPMFU.E,UKBPGCQ.G")</t>
  </si>
  <si>
    <t>g4_import_deflator_fuel</t>
  </si>
  <si>
    <t>y-o-y growth in import fuels deflator</t>
  </si>
  <si>
    <t>for the first 4 quarters we use the value of 1981Q1</t>
  </si>
  <si>
    <t>mgdp_yoy</t>
  </si>
  <si>
    <t>y-o-y growth in monthly GDP</t>
  </si>
  <si>
    <t>1981Q2-2025Q2</t>
  </si>
  <si>
    <t xml:space="preserve">https://www.ons.gov.uk/economy/grossdomesticproductgdp/datasets/gdpmonthlyestimateuktimeseriesdataset | Note: we compute this measure for a given quarter t as the growth rate between the average monhtly GPD of the first two months of the quarter and the average monthly GDP of the three months in the same quarter the previous year. ONS series is available from 1997q1 onward (hence the y-o-y growth from 1998q1).For the period before that we spliced the series with y-o-y gdp growth (see spliced_mgdp). 
Final note: we shift the period one quarter FORWARD to mimic the info set of the BOE. For a given quarter I already know the GDP for the first two months of the following one </t>
  </si>
  <si>
    <t>epu_idx</t>
  </si>
  <si>
    <t>UK Monthly EPU Index</t>
  </si>
  <si>
    <t>Economic Policy Uncertainty</t>
  </si>
  <si>
    <t>Economic Policy Uncertainty Index | we spliced the monthly UK EPU with the historical one (see the epu_index.xlsx in data --&gt; other series) | then we compute the quarterly series by taking the average of the months in the quarter</t>
  </si>
  <si>
    <t>house_price_growth</t>
  </si>
  <si>
    <t>United Kingdom - Selected residential property prices, Real, Year-on-year changes, in per cent</t>
  </si>
  <si>
    <t>https://data.bis.org/topics/RPP/BIS,WS_SPP,1.0/Q.GB.R.771</t>
  </si>
  <si>
    <t>housing_approvals</t>
  </si>
  <si>
    <t>Monthly number of total sterling approvals for house pruchase to individuals seasonally adj</t>
  </si>
  <si>
    <t>LPMVTVX | Bank of England | Database | the series is available monthly, WE sum the monthly series in the quarter. Then we spliced it with real 1y growth house price (look at spliced_housing_approvals)</t>
  </si>
  <si>
    <t>uk_export_weight</t>
  </si>
  <si>
    <t>From the excel file ExportWeights.xlsx</t>
  </si>
  <si>
    <t>we use the sheet UK_X. For the quarters prior to 1972 we use the value of 1972. For the quarters after  2018 we use the value of 2018</t>
  </si>
  <si>
    <t>credit_to_gdp_ALL_ctry</t>
  </si>
  <si>
    <t xml:space="preserve">AUS CAN FRA GER ITA SPAIN SWE SWI UK US - Credit from All sectors to Private non-financial sector at Market value, Percentage of GDP, Adjusted for breaks
</t>
  </si>
  <si>
    <t>d3y_cre_to_gdp_all_ALL_ctry</t>
  </si>
  <si>
    <t xml:space="preserve">delta 3y - AUS CAN FRA GER ITA SPAIN SWE SWI UK US -  Credit from All sectors to Private non-financial sector at Market value, Percentage of GDP, Adjusted for breaks
</t>
  </si>
  <si>
    <t>quarterly_pmi</t>
  </si>
  <si>
    <t xml:space="preserve">PMI for output and future output </t>
  </si>
  <si>
    <t>1997Q2-2025Q3</t>
  </si>
  <si>
    <t>The original series is available at the monthly level. We aggregte it at the quarterly level by computing the average in the quarter (see stata code \Codes\intermediate_codes --&gt;other_series.do)</t>
  </si>
  <si>
    <t>gdp_growth_forecast_consensus</t>
  </si>
  <si>
    <t xml:space="preserve">Consensus forecast for current and next calendar year </t>
  </si>
  <si>
    <t>1989Q4-2022Q4</t>
  </si>
  <si>
    <t>US</t>
  </si>
  <si>
    <t>EA</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</si>
  <si>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</si>
  <si>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</si>
  <si>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</si>
  <si>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</si>
  <si>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</si>
  <si>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</si>
  <si>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</si>
  <si>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</si>
  <si>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</si>
  <si>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</si>
  <si>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</si>
  <si>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</si>
  <si>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</si>
  <si>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</si>
  <si>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</si>
  <si>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</si>
  <si>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</si>
  <si>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</si>
  <si>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</si>
  <si>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</si>
  <si>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</si>
  <si>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</si>
  <si>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</si>
  <si>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</si>
  <si>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</si>
  <si>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</si>
  <si>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</si>
  <si>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</si>
  <si>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</si>
  <si>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</si>
  <si>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</si>
  <si>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</si>
  <si>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</si>
  <si>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</si>
  <si>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</si>
  <si>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</si>
  <si>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</si>
  <si>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</si>
  <si>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</si>
  <si>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</si>
  <si>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</si>
  <si>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</si>
  <si>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</si>
  <si>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</si>
  <si>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</si>
  <si>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</si>
  <si>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</si>
  <si>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</si>
  <si>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</si>
  <si>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</si>
  <si>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</si>
  <si>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</si>
  <si>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</si>
  <si>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</si>
  <si>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</si>
  <si>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</si>
  <si>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</si>
  <si>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</si>
  <si>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</si>
  <si>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</si>
  <si>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</si>
  <si>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</si>
  <si>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</si>
  <si>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</si>
  <si>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</si>
  <si>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</si>
  <si>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</si>
  <si>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</si>
  <si>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</si>
  <si>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</si>
  <si>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</si>
  <si>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</si>
  <si>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</si>
  <si>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</si>
  <si>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</si>
  <si>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</si>
  <si>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</si>
  <si>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</si>
  <si>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</si>
  <si>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</si>
  <si>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</si>
  <si>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</si>
  <si>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</si>
  <si>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</si>
  <si>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</si>
  <si>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</si>
  <si>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</si>
  <si>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</si>
  <si>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</si>
  <si>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</si>
  <si>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</si>
  <si>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</si>
  <si>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</si>
  <si>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</si>
  <si>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</si>
  <si>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</si>
  <si>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</si>
  <si>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</si>
  <si>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</si>
  <si>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</si>
  <si>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</si>
  <si>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</si>
  <si>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</si>
  <si>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</si>
  <si>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</si>
  <si>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</si>
  <si>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</si>
  <si>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</si>
  <si>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</si>
  <si>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</si>
  <si>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</si>
  <si>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</si>
  <si>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</si>
  <si>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</si>
  <si>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</si>
  <si>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</si>
  <si>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</si>
  <si>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</si>
  <si>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</si>
  <si>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</si>
  <si>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</si>
  <si>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</si>
  <si>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</si>
  <si>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</si>
  <si>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</si>
  <si>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</si>
  <si>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</si>
  <si>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</si>
  <si>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</si>
  <si>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</si>
  <si>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</si>
  <si>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</si>
  <si>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</si>
  <si>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</si>
  <si>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</si>
  <si>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</si>
  <si>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</si>
  <si>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</si>
  <si>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</si>
  <si>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</si>
  <si>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</si>
  <si>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</si>
  <si>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</si>
  <si>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</si>
  <si>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</si>
  <si>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</si>
  <si>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</si>
  <si>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</si>
  <si>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</si>
  <si>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</si>
  <si>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</si>
  <si>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</si>
  <si>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</si>
  <si>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</si>
  <si>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</si>
  <si>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</si>
  <si>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</si>
  <si>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</si>
  <si>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</si>
  <si>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</si>
  <si>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</si>
  <si>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</si>
  <si>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</si>
  <si>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</si>
  <si>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</si>
  <si>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</si>
  <si>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</si>
  <si>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</si>
  <si>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</si>
  <si>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</si>
  <si>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</si>
  <si>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</si>
  <si>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</si>
  <si>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</si>
  <si>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</si>
  <si>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</si>
  <si>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</si>
  <si>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</si>
  <si>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</si>
  <si>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</si>
  <si>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</si>
  <si>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</si>
  <si>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</si>
  <si>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</si>
  <si>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</si>
  <si>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</si>
  <si>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</si>
  <si>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</si>
  <si>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</si>
  <si>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</si>
  <si>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</si>
  <si>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</si>
  <si>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</si>
  <si>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</si>
  <si>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</si>
  <si>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</si>
  <si>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</si>
  <si>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</si>
  <si>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</si>
  <si>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</si>
  <si>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</si>
  <si>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</si>
  <si>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</si>
  <si>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</si>
  <si>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</si>
  <si>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</si>
  <si>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</si>
  <si>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</si>
  <si>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</si>
  <si>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</si>
  <si>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</si>
  <si>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</si>
  <si>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</si>
  <si>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</si>
  <si>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</si>
  <si>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</si>
  <si>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</si>
  <si>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</si>
  <si>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</si>
  <si>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</si>
  <si>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</si>
  <si>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</si>
  <si>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</si>
  <si>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mrkt vol</t>
  </si>
  <si>
    <t>gr_mrkt_vol</t>
  </si>
  <si>
    <t>AUS</t>
  </si>
  <si>
    <t>BEL</t>
  </si>
  <si>
    <t>CAN</t>
  </si>
  <si>
    <t>DNK</t>
  </si>
  <si>
    <t>FIN</t>
  </si>
  <si>
    <t>FRA</t>
  </si>
  <si>
    <t>GER</t>
  </si>
  <si>
    <t>IRE</t>
  </si>
  <si>
    <t>ITA</t>
  </si>
  <si>
    <t>JAP</t>
  </si>
  <si>
    <t>NLD</t>
  </si>
  <si>
    <t>NOR</t>
  </si>
  <si>
    <t>SPAIN</t>
  </si>
  <si>
    <t>SWE</t>
  </si>
  <si>
    <t>SWI</t>
  </si>
  <si>
    <t>USA</t>
  </si>
  <si>
    <t>CHINA</t>
  </si>
  <si>
    <t>KOREA</t>
  </si>
  <si>
    <t>BRAZIL</t>
  </si>
  <si>
    <t>INDONESIA</t>
  </si>
  <si>
    <t>INDIA</t>
  </si>
  <si>
    <t>MEXICO</t>
  </si>
  <si>
    <t>RUSSIA</t>
  </si>
  <si>
    <t>SA</t>
  </si>
  <si>
    <t>TURKEY</t>
  </si>
  <si>
    <t>SINGAPORE</t>
  </si>
  <si>
    <t>HK</t>
  </si>
  <si>
    <t>pmi_output</t>
  </si>
  <si>
    <t>pmi_future_output</t>
  </si>
  <si>
    <t>mean 2000q1-2019q4</t>
  </si>
  <si>
    <t>standard dev</t>
  </si>
  <si>
    <t xml:space="preserve">rgdp0_m_q </t>
  </si>
  <si>
    <t>rgdp1_m_q</t>
  </si>
  <si>
    <t>spliced_pmi_output</t>
  </si>
  <si>
    <t>pmi_future_output_SPLICED</t>
  </si>
  <si>
    <t xml:space="preserve">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</si>
  <si>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</si>
  <si>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</si>
  <si>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</si>
  <si>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</si>
  <si>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</si>
  <si>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</si>
  <si>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</si>
  <si>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</si>
  <si>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</si>
  <si>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</si>
  <si>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</si>
  <si>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</si>
  <si>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</si>
  <si>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</si>
  <si>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</si>
  <si>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</si>
  <si>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</si>
  <si>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</si>
  <si>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</si>
  <si>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</si>
  <si>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</si>
  <si>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</si>
  <si>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</si>
  <si>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</si>
  <si>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FUTURE OUTPUT</t>
  </si>
  <si>
    <t>g4rgdp</t>
  </si>
  <si>
    <t>pmi_output_SPLICED</t>
  </si>
  <si>
    <t>PMI OUTPUT</t>
  </si>
  <si>
    <t xml:space="preserve">OLS regression of PMI FUTURE OUTPUT on y-o-y gdp growth </t>
  </si>
  <si>
    <t>SUMMARY OUTPUT</t>
  </si>
  <si>
    <t>from 2000q1 to 2019q4</t>
  </si>
  <si>
    <t>PMI FUTURE OUTPUT</t>
  </si>
  <si>
    <t>infl1_m</t>
  </si>
  <si>
    <t>g4infl</t>
  </si>
  <si>
    <t>infl1_m_spliced</t>
  </si>
  <si>
    <t>from other_series.do</t>
  </si>
  <si>
    <t>mgdp_growth</t>
  </si>
  <si>
    <t>this is the year over year growth between the first average of the first two months of the current quarter and the 3 months in the same quarter the previous year</t>
  </si>
  <si>
    <t>1998q1 - 2024q4</t>
  </si>
  <si>
    <t>House_price</t>
  </si>
  <si>
    <t>Housing approvals</t>
  </si>
  <si>
    <t>splice_ols</t>
  </si>
  <si>
    <t>2025q4</t>
  </si>
  <si>
    <t>2025 Q4</t>
  </si>
  <si>
    <t>2026Q1</t>
  </si>
  <si>
    <t>2026q1</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</si>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</sst>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0"/>
    <numFmt numFmtId="166" formatCode="_(* #,##0.0000_);_(* \(#,##0.0000\);_(* &quot;-&quot;??_);_(@_)"/>
    <numFmt numFmtId="167" formatCode="0.0"/>
  </numFmts>
  <fonts count="13"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2"/>
      <color theme="1"/>
      <name val="Arial"/>
      <family val="2"/>
    </font>
    <font>
      <sz val="10"/>
      <name val="Arial"/>
      <family val="2"/>
    </font>
    <font>
      <u/>
      <sz val="11"/>
      <color theme="10"/>
      <name val="Calibri"/>
      <family val="2"/>
      <scheme val="minor"/>
    </font>
    <font>
      <sz val="11"/>
      <color theme="1"/>
      <name val="Calibri"/>
      <family val="2"/>
      <scheme val="minor"/>
    </font>
    <font>
      <i/>
      <sz val="11"/>
      <color theme="1"/>
      <name val="Calibri"/>
      <family val="2"/>
      <scheme val="minor"/>
    </font>
    <font>
      <sz val="11"/>
      <name val="Calibri"/>
      <family val="2"/>
      <scheme val="minor"/>
    </font>
    <font>
      <sz val="11"/>
      <color theme="1"/>
      <name val="Calibri"/>
      <family val="2"/>
    </font>
    <font>
      <sz val="11"/>
      <color rgb="FFFF0000"/>
      <name val="Calibri"/>
      <family val="2"/>
    </font>
    <font>
      <sz val="7"/>
      <color theme="1"/>
      <name val="Segoe UI"/>
      <family val="2"/>
    </font>
  </fonts>
  <fills count="10">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6">
    <xf numFmtId="0" fontId="0" fillId="0" borderId="0"/>
    <xf numFmtId="0" fontId="4"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164" fontId="7" fillId="0" borderId="0" applyFont="0" applyFill="0" applyBorder="0" applyAlignment="0" applyProtection="0"/>
  </cellStyleXfs>
  <cellXfs count="56">
    <xf numFmtId="0" fontId="0" fillId="0" borderId="0" xfId="0"/>
    <xf numFmtId="0" fontId="2" fillId="0" borderId="0" xfId="0" applyFont="1" applyAlignment="1">
      <alignment horizontal="center" vertical="center"/>
    </xf>
    <xf numFmtId="0" fontId="0" fillId="2" borderId="0" xfId="0" applyFill="1"/>
    <xf numFmtId="0" fontId="2" fillId="0" borderId="0" xfId="0" applyFont="1"/>
    <xf numFmtId="0" fontId="1" fillId="0" borderId="0" xfId="0" applyFont="1"/>
    <xf numFmtId="0" fontId="6" fillId="0" borderId="0" xfId="4"/>
    <xf numFmtId="11" fontId="0" fillId="0" borderId="0" xfId="0" applyNumberFormat="1"/>
    <xf numFmtId="0" fontId="6" fillId="0" borderId="0" xfId="4" applyAlignment="1"/>
    <xf numFmtId="0" fontId="0" fillId="0" borderId="0" xfId="0" applyAlignment="1">
      <alignment horizontal="center"/>
    </xf>
    <xf numFmtId="0" fontId="6" fillId="0" borderId="0" xfId="4" applyFill="1"/>
    <xf numFmtId="0" fontId="0" fillId="3" borderId="0" xfId="0" applyFill="1"/>
    <xf numFmtId="2" fontId="0" fillId="0" borderId="0" xfId="0" applyNumberFormat="1"/>
    <xf numFmtId="0" fontId="1" fillId="2" borderId="0" xfId="0" applyFont="1" applyFill="1"/>
    <xf numFmtId="0" fontId="0" fillId="4" borderId="0" xfId="0" applyFill="1"/>
    <xf numFmtId="0" fontId="0" fillId="0" borderId="0" xfId="0" applyAlignment="1">
      <alignment vertical="center" wrapText="1"/>
    </xf>
    <xf numFmtId="164" fontId="0" fillId="0" borderId="0" xfId="5" applyFont="1"/>
    <xf numFmtId="164" fontId="0" fillId="3" borderId="0" xfId="5" applyFont="1" applyFill="1"/>
    <xf numFmtId="164" fontId="0" fillId="0" borderId="0" xfId="5" applyFont="1" applyFill="1"/>
    <xf numFmtId="0" fontId="0" fillId="0" borderId="1" xfId="0" applyBorder="1"/>
    <xf numFmtId="0" fontId="8" fillId="0" borderId="2" xfId="0" applyFont="1" applyBorder="1" applyAlignment="1">
      <alignment horizontal="center"/>
    </xf>
    <xf numFmtId="0" fontId="8" fillId="0" borderId="2" xfId="0" applyFont="1" applyBorder="1" applyAlignment="1">
      <alignment horizontal="centerContinuous"/>
    </xf>
    <xf numFmtId="164" fontId="0" fillId="0" borderId="0" xfId="0" applyNumberFormat="1"/>
    <xf numFmtId="164" fontId="0" fillId="3" borderId="0" xfId="0" applyNumberFormat="1" applyFill="1"/>
    <xf numFmtId="0" fontId="0" fillId="5" borderId="0" xfId="0" applyFill="1"/>
    <xf numFmtId="0" fontId="9" fillId="0" borderId="0" xfId="4" applyFont="1"/>
    <xf numFmtId="0" fontId="0" fillId="2" borderId="0" xfId="5" applyNumberFormat="1" applyFont="1" applyFill="1"/>
    <xf numFmtId="0" fontId="2" fillId="2" borderId="0" xfId="0" applyFont="1" applyFill="1"/>
    <xf numFmtId="0" fontId="9" fillId="0" borderId="0" xfId="4" applyFont="1" applyAlignment="1"/>
    <xf numFmtId="2" fontId="0" fillId="0" borderId="0" xfId="5" applyNumberFormat="1" applyFont="1" applyFill="1"/>
    <xf numFmtId="0" fontId="0" fillId="6" borderId="0" xfId="0" applyFill="1"/>
    <xf numFmtId="2" fontId="1" fillId="0" borderId="0" xfId="0" applyNumberFormat="1" applyFont="1"/>
    <xf numFmtId="0" fontId="0" fillId="7" borderId="0" xfId="0" applyFill="1"/>
    <xf numFmtId="0" fontId="1" fillId="4" borderId="0" xfId="0" applyFont="1" applyFill="1"/>
    <xf numFmtId="0" fontId="0" fillId="0" borderId="0" xfId="0" applyAlignment="1">
      <alignment horizontal="center" wrapText="1"/>
    </xf>
    <xf numFmtId="0" fontId="0" fillId="8" borderId="0" xfId="0" applyFill="1"/>
    <xf numFmtId="0" fontId="6" fillId="0" borderId="0" xfId="4" applyFill="1" applyAlignment="1"/>
    <xf numFmtId="165" fontId="0" fillId="0" borderId="0" xfId="0" applyNumberFormat="1"/>
    <xf numFmtId="0" fontId="9" fillId="0" borderId="0" xfId="4" applyFont="1" applyFill="1" applyAlignment="1"/>
    <xf numFmtId="0" fontId="9" fillId="8" borderId="0" xfId="0" applyFont="1" applyFill="1"/>
    <xf numFmtId="0" fontId="9" fillId="4" borderId="0" xfId="0" applyFont="1" applyFill="1"/>
    <xf numFmtId="0" fontId="9" fillId="0" borderId="0" xfId="0" applyFont="1"/>
    <xf numFmtId="0" fontId="6" fillId="0" borderId="0" xfId="4" applyFill="1" applyAlignment="1">
      <alignment wrapText="1"/>
    </xf>
    <xf numFmtId="0" fontId="9" fillId="0" borderId="0" xfId="4" applyFont="1" applyFill="1"/>
    <xf numFmtId="166" fontId="0" fillId="0" borderId="0" xfId="5" applyNumberFormat="1" applyFont="1"/>
    <xf numFmtId="2" fontId="1" fillId="0" borderId="0" xfId="5" applyNumberFormat="1" applyFont="1" applyFill="1"/>
    <xf numFmtId="0" fontId="10" fillId="0" borderId="0" xfId="0" applyFont="1" applyAlignment="1">
      <alignment horizontal="center" vertical="center"/>
    </xf>
    <xf numFmtId="0" fontId="11" fillId="0" borderId="0" xfId="0" applyFont="1" applyAlignment="1">
      <alignment horizontal="center" vertical="center"/>
    </xf>
    <xf numFmtId="0" fontId="0" fillId="9" borderId="0" xfId="0" applyFill="1"/>
    <xf numFmtId="0" fontId="12" fillId="0" borderId="0" xfId="0" applyFont="1" applyAlignment="1">
      <alignment vertical="center"/>
    </xf>
    <xf numFmtId="0" fontId="0" fillId="0" borderId="0" xfId="0" applyAlignment="1">
      <alignment vertical="center"/>
    </xf>
    <xf numFmtId="2" fontId="9" fillId="0" borderId="0" xfId="5" applyNumberFormat="1" applyFont="1" applyFill="1"/>
    <xf numFmtId="2" fontId="9" fillId="0" borderId="0" xfId="0" applyNumberFormat="1" applyFont="1"/>
    <xf numFmtId="164" fontId="1" fillId="0" borderId="0" xfId="5" applyFont="1"/>
    <xf numFmtId="164" fontId="1" fillId="3" borderId="0" xfId="0" applyNumberFormat="1" applyFont="1" applyFill="1"/>
    <xf numFmtId="17" fontId="0" fillId="0" borderId="0" xfId="0" applyNumberFormat="1" applyAlignment="1">
      <alignment horizontal="center"/>
    </xf>
    <xf numFmtId="167" fontId="0" fillId="0" borderId="0" xfId="0" applyNumberFormat="1" applyAlignment="1">
      <alignment horizontal="center"/>
    </xf>
  </cellXfs>
  <cellStyles count="6">
    <cellStyle name="ANCLAS,REZONES Y SUS PARTES,DE FUNDICION,DE HIERRO O DE ACERO 2" xfId="3" xr:uid="{32EE77A6-D693-4EFC-91CB-D868AD709003}"/>
    <cellStyle name="Comma" xfId="5" builtinId="3"/>
    <cellStyle name="Hyperlink" xfId="4" builtinId="8"/>
    <cellStyle name="Normal" xfId="0" builtinId="0"/>
    <cellStyle name="Normal 2" xfId="2" xr:uid="{15854E38-0AD6-46E3-BFDA-B15AF1D906B5}"/>
    <cellStyle name="Normal 3" xfId="1" xr:uid="{643F352F-B7E0-4B87-BACB-B1EB3FFB2C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microsoft.com/office/2017/10/relationships/person" Target="persons/perso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global_gdp!#REF!</c:f>
              <c:numCache>
                <c:formatCode>General</c:formatCode>
                <c:ptCount val="1"/>
                <c:pt idx="0">
                  <c:v>1</c:v>
                </c:pt>
              </c:numCache>
            </c:numRef>
          </c:val>
          <c:smooth val="0"/>
          <c:extLst>
            <c:ext xmlns:c16="http://schemas.microsoft.com/office/drawing/2014/chart" uri="{C3380CC4-5D6E-409C-BE32-E72D297353CC}">
              <c16:uniqueId val="{00000000-4A13-45B7-80E5-90DB2021FD13}"/>
            </c:ext>
          </c:extLst>
        </c:ser>
        <c:ser>
          <c:idx val="3"/>
          <c:order val="1"/>
          <c:spPr>
            <a:ln w="12700" cap="rnd">
              <a:solidFill>
                <a:schemeClr val="accent4"/>
              </a:solidFill>
              <a:prstDash val="solid"/>
              <a:round/>
            </a:ln>
            <a:effectLst/>
          </c:spPr>
          <c:marker>
            <c:symbol val="none"/>
          </c:marker>
          <c:val>
            <c:numRef>
              <c:f>global_gdp!$B$2:$B$222</c:f>
              <c:numCache>
                <c:formatCode>General</c:formatCode>
                <c:ptCount val="221"/>
                <c:pt idx="0">
                  <c:v>4.073167325</c:v>
                </c:pt>
                <c:pt idx="1">
                  <c:v>4.10705191</c:v>
                </c:pt>
                <c:pt idx="2">
                  <c:v>4.1545209669999998</c:v>
                </c:pt>
                <c:pt idx="3">
                  <c:v>3.5091029690000002</c:v>
                </c:pt>
                <c:pt idx="4">
                  <c:v>3.5735926839999999</c:v>
                </c:pt>
                <c:pt idx="5">
                  <c:v>3.5897090629999999</c:v>
                </c:pt>
                <c:pt idx="6">
                  <c:v>3.5656041539999999</c:v>
                </c:pt>
                <c:pt idx="7">
                  <c:v>4.0393906700000004</c:v>
                </c:pt>
                <c:pt idx="8">
                  <c:v>4.7037798210000004</c:v>
                </c:pt>
                <c:pt idx="9">
                  <c:v>5.3038451110000002</c:v>
                </c:pt>
                <c:pt idx="10">
                  <c:v>5.2515231929999997</c:v>
                </c:pt>
                <c:pt idx="11">
                  <c:v>6.5310569459999996</c:v>
                </c:pt>
                <c:pt idx="12">
                  <c:v>7.355396743</c:v>
                </c:pt>
                <c:pt idx="13">
                  <c:v>6.6198371160000002</c:v>
                </c:pt>
                <c:pt idx="14">
                  <c:v>5.6593800109999997</c:v>
                </c:pt>
                <c:pt idx="15">
                  <c:v>5.0202866909999999</c:v>
                </c:pt>
                <c:pt idx="16">
                  <c:v>2.196133986</c:v>
                </c:pt>
                <c:pt idx="17">
                  <c:v>1.549671531</c:v>
                </c:pt>
                <c:pt idx="18">
                  <c:v>1.198289296</c:v>
                </c:pt>
                <c:pt idx="19">
                  <c:v>-0.55011343700000004</c:v>
                </c:pt>
                <c:pt idx="20">
                  <c:v>-0.64332149299999997</c:v>
                </c:pt>
                <c:pt idx="21">
                  <c:v>-0.57565428900000004</c:v>
                </c:pt>
                <c:pt idx="22">
                  <c:v>0.4987684</c:v>
                </c:pt>
                <c:pt idx="23">
                  <c:v>2.5019587570000001</c:v>
                </c:pt>
                <c:pt idx="24">
                  <c:v>4.7260084129999997</c:v>
                </c:pt>
                <c:pt idx="25">
                  <c:v>5.2367929279999998</c:v>
                </c:pt>
                <c:pt idx="26">
                  <c:v>5.0109970810000002</c:v>
                </c:pt>
                <c:pt idx="27">
                  <c:v>4.5725075259999999</c:v>
                </c:pt>
                <c:pt idx="28">
                  <c:v>3.8241716540000001</c:v>
                </c:pt>
                <c:pt idx="29">
                  <c:v>3.672562213</c:v>
                </c:pt>
                <c:pt idx="30">
                  <c:v>3.710512456</c:v>
                </c:pt>
                <c:pt idx="31">
                  <c:v>3.5765053080000002</c:v>
                </c:pt>
                <c:pt idx="32">
                  <c:v>3.4664077469999999</c:v>
                </c:pt>
                <c:pt idx="33">
                  <c:v>4.5659861380000004</c:v>
                </c:pt>
                <c:pt idx="34">
                  <c:v>4.5988168509999996</c:v>
                </c:pt>
                <c:pt idx="35">
                  <c:v>5.1336376130000003</c:v>
                </c:pt>
                <c:pt idx="36">
                  <c:v>4.8930372870000003</c:v>
                </c:pt>
                <c:pt idx="37">
                  <c:v>4.1619222889999996</c:v>
                </c:pt>
                <c:pt idx="38">
                  <c:v>3.6383908749999998</c:v>
                </c:pt>
                <c:pt idx="39">
                  <c:v>2.972463839</c:v>
                </c:pt>
                <c:pt idx="40">
                  <c:v>2.984586883</c:v>
                </c:pt>
                <c:pt idx="41">
                  <c:v>0.64483746900000005</c:v>
                </c:pt>
                <c:pt idx="42">
                  <c:v>0.50736342700000003</c:v>
                </c:pt>
                <c:pt idx="43">
                  <c:v>0.99268685800000001</c:v>
                </c:pt>
                <c:pt idx="44">
                  <c:v>1.4584206980000001</c:v>
                </c:pt>
                <c:pt idx="45">
                  <c:v>2.7874370559999999</c:v>
                </c:pt>
                <c:pt idx="46">
                  <c:v>3.1322625230000001</c:v>
                </c:pt>
                <c:pt idx="47">
                  <c:v>1.8910134970000001</c:v>
                </c:pt>
                <c:pt idx="48">
                  <c:v>0.52174380600000003</c:v>
                </c:pt>
                <c:pt idx="49">
                  <c:v>0.54122848599999995</c:v>
                </c:pt>
                <c:pt idx="50">
                  <c:v>-0.26542410900000002</c:v>
                </c:pt>
                <c:pt idx="51">
                  <c:v>-1.5854416E-2</c:v>
                </c:pt>
                <c:pt idx="52">
                  <c:v>1.0960776720000001</c:v>
                </c:pt>
                <c:pt idx="53">
                  <c:v>1.943297501</c:v>
                </c:pt>
                <c:pt idx="54">
                  <c:v>3.4620448449999999</c:v>
                </c:pt>
                <c:pt idx="55">
                  <c:v>4.7417664909999999</c:v>
                </c:pt>
                <c:pt idx="56">
                  <c:v>5.4129968719999999</c:v>
                </c:pt>
                <c:pt idx="57">
                  <c:v>4.9640801530000003</c:v>
                </c:pt>
                <c:pt idx="58">
                  <c:v>4.8672998740000004</c:v>
                </c:pt>
                <c:pt idx="59">
                  <c:v>4.0098231870000003</c:v>
                </c:pt>
                <c:pt idx="60">
                  <c:v>3.5419339650000001</c:v>
                </c:pt>
                <c:pt idx="61">
                  <c:v>3.97369934</c:v>
                </c:pt>
                <c:pt idx="62">
                  <c:v>3.8746916439999999</c:v>
                </c:pt>
                <c:pt idx="63">
                  <c:v>4.0891074439999997</c:v>
                </c:pt>
                <c:pt idx="64">
                  <c:v>3.507380215</c:v>
                </c:pt>
                <c:pt idx="65">
                  <c:v>3.0729005589999998</c:v>
                </c:pt>
                <c:pt idx="66">
                  <c:v>2.6218120749999998</c:v>
                </c:pt>
                <c:pt idx="67">
                  <c:v>2.40766547</c:v>
                </c:pt>
                <c:pt idx="68">
                  <c:v>2.2779089560000001</c:v>
                </c:pt>
                <c:pt idx="69">
                  <c:v>3.3020707809999998</c:v>
                </c:pt>
                <c:pt idx="70">
                  <c:v>3.7298940059999999</c:v>
                </c:pt>
                <c:pt idx="71">
                  <c:v>4.9607750580000003</c:v>
                </c:pt>
                <c:pt idx="72">
                  <c:v>5.5098300589999996</c:v>
                </c:pt>
                <c:pt idx="73">
                  <c:v>4.5348729140000001</c:v>
                </c:pt>
                <c:pt idx="74">
                  <c:v>4.4674138010000002</c:v>
                </c:pt>
                <c:pt idx="75">
                  <c:v>3.8024764179999999</c:v>
                </c:pt>
                <c:pt idx="76">
                  <c:v>4.2193875600000004</c:v>
                </c:pt>
                <c:pt idx="77">
                  <c:v>3.8959419120000001</c:v>
                </c:pt>
                <c:pt idx="78">
                  <c:v>3.8519427529999999</c:v>
                </c:pt>
                <c:pt idx="79">
                  <c:v>3.6296401239999998</c:v>
                </c:pt>
                <c:pt idx="80">
                  <c:v>3.3315889699999999</c:v>
                </c:pt>
                <c:pt idx="81">
                  <c:v>3.8701175280000002</c:v>
                </c:pt>
                <c:pt idx="82">
                  <c:v>3.2428200569999999</c:v>
                </c:pt>
                <c:pt idx="83">
                  <c:v>2.5034354470000002</c:v>
                </c:pt>
                <c:pt idx="84">
                  <c:v>1.6178324449999999</c:v>
                </c:pt>
                <c:pt idx="85">
                  <c:v>1.337168919</c:v>
                </c:pt>
                <c:pt idx="86">
                  <c:v>1.2877825389999999</c:v>
                </c:pt>
                <c:pt idx="87">
                  <c:v>1.692761768</c:v>
                </c:pt>
                <c:pt idx="88">
                  <c:v>2.4929236760000002</c:v>
                </c:pt>
                <c:pt idx="89">
                  <c:v>2.1346241909999999</c:v>
                </c:pt>
                <c:pt idx="90">
                  <c:v>2.2648137199999998</c:v>
                </c:pt>
                <c:pt idx="91">
                  <c:v>1.9563366710000001</c:v>
                </c:pt>
                <c:pt idx="92">
                  <c:v>1.3157001420000001</c:v>
                </c:pt>
                <c:pt idx="93">
                  <c:v>1.4263337599999999</c:v>
                </c:pt>
                <c:pt idx="94">
                  <c:v>1.346877527</c:v>
                </c:pt>
                <c:pt idx="95">
                  <c:v>1.885679514</c:v>
                </c:pt>
                <c:pt idx="96">
                  <c:v>2.6157911920000001</c:v>
                </c:pt>
                <c:pt idx="97">
                  <c:v>2.7917286180000001</c:v>
                </c:pt>
                <c:pt idx="98">
                  <c:v>3.304876669</c:v>
                </c:pt>
                <c:pt idx="99">
                  <c:v>3.43468274</c:v>
                </c:pt>
                <c:pt idx="100">
                  <c:v>2.9172021880000001</c:v>
                </c:pt>
                <c:pt idx="101">
                  <c:v>2.6383037759999999</c:v>
                </c:pt>
                <c:pt idx="102">
                  <c:v>2.6352731139999999</c:v>
                </c:pt>
                <c:pt idx="103">
                  <c:v>2.243102387</c:v>
                </c:pt>
                <c:pt idx="104">
                  <c:v>2.5292685029999999</c:v>
                </c:pt>
                <c:pt idx="105">
                  <c:v>3.387073988</c:v>
                </c:pt>
                <c:pt idx="106">
                  <c:v>3.2034346089999999</c:v>
                </c:pt>
                <c:pt idx="107">
                  <c:v>3.6295317169999999</c:v>
                </c:pt>
                <c:pt idx="108">
                  <c:v>3.5086328130000002</c:v>
                </c:pt>
                <c:pt idx="109">
                  <c:v>3.6688292869999999</c:v>
                </c:pt>
                <c:pt idx="110">
                  <c:v>3.89022114</c:v>
                </c:pt>
                <c:pt idx="111">
                  <c:v>3.8236253690000002</c:v>
                </c:pt>
                <c:pt idx="112">
                  <c:v>3.6634882059999998</c:v>
                </c:pt>
                <c:pt idx="113">
                  <c:v>2.7534349339999999</c:v>
                </c:pt>
                <c:pt idx="114">
                  <c:v>2.543774977</c:v>
                </c:pt>
                <c:pt idx="115">
                  <c:v>2.41922595</c:v>
                </c:pt>
                <c:pt idx="116">
                  <c:v>2.665803774</c:v>
                </c:pt>
                <c:pt idx="117">
                  <c:v>2.9681216830000001</c:v>
                </c:pt>
                <c:pt idx="118">
                  <c:v>3.5096179969999999</c:v>
                </c:pt>
                <c:pt idx="119">
                  <c:v>3.991171552</c:v>
                </c:pt>
                <c:pt idx="120">
                  <c:v>4.3797327340000001</c:v>
                </c:pt>
                <c:pt idx="121">
                  <c:v>4.9262318550000002</c:v>
                </c:pt>
                <c:pt idx="122">
                  <c:v>4.1760337859999996</c:v>
                </c:pt>
                <c:pt idx="123">
                  <c:v>3.405418488</c:v>
                </c:pt>
                <c:pt idx="124">
                  <c:v>2.6732604950000001</c:v>
                </c:pt>
                <c:pt idx="125">
                  <c:v>1.5003392659999999</c:v>
                </c:pt>
                <c:pt idx="126">
                  <c:v>0.88425272399999999</c:v>
                </c:pt>
                <c:pt idx="127">
                  <c:v>0.46988808100000001</c:v>
                </c:pt>
                <c:pt idx="128">
                  <c:v>0.76987744800000002</c:v>
                </c:pt>
                <c:pt idx="129">
                  <c:v>1.4310231630000001</c:v>
                </c:pt>
                <c:pt idx="130">
                  <c:v>2.033144847</c:v>
                </c:pt>
                <c:pt idx="131">
                  <c:v>2.2263918390000002</c:v>
                </c:pt>
                <c:pt idx="132">
                  <c:v>1.815780438</c:v>
                </c:pt>
                <c:pt idx="133">
                  <c:v>1.5731912429999999</c:v>
                </c:pt>
                <c:pt idx="134">
                  <c:v>2.1423991600000001</c:v>
                </c:pt>
                <c:pt idx="135">
                  <c:v>2.8820253880000002</c:v>
                </c:pt>
                <c:pt idx="136">
                  <c:v>3.4094946770000001</c:v>
                </c:pt>
                <c:pt idx="137">
                  <c:v>3.6209064299999998</c:v>
                </c:pt>
                <c:pt idx="138">
                  <c:v>3.1503358129999999</c:v>
                </c:pt>
                <c:pt idx="139">
                  <c:v>2.8133828329999999</c:v>
                </c:pt>
                <c:pt idx="140">
                  <c:v>2.7985511829999998</c:v>
                </c:pt>
                <c:pt idx="141">
                  <c:v>2.7690326060000001</c:v>
                </c:pt>
                <c:pt idx="142">
                  <c:v>3.1000685429999999</c:v>
                </c:pt>
                <c:pt idx="143">
                  <c:v>3.1645157570000002</c:v>
                </c:pt>
                <c:pt idx="144">
                  <c:v>3.454967822</c:v>
                </c:pt>
                <c:pt idx="145">
                  <c:v>3.4711422179999998</c:v>
                </c:pt>
                <c:pt idx="146">
                  <c:v>2.8719351780000002</c:v>
                </c:pt>
                <c:pt idx="147">
                  <c:v>3.082415884</c:v>
                </c:pt>
                <c:pt idx="148">
                  <c:v>2.7532629769999999</c:v>
                </c:pt>
                <c:pt idx="149">
                  <c:v>2.705900733</c:v>
                </c:pt>
                <c:pt idx="150">
                  <c:v>2.8668138189999999</c:v>
                </c:pt>
                <c:pt idx="151">
                  <c:v>2.6203328780000001</c:v>
                </c:pt>
                <c:pt idx="152">
                  <c:v>2.1236277530000001</c:v>
                </c:pt>
                <c:pt idx="153">
                  <c:v>1.4265517640000001</c:v>
                </c:pt>
                <c:pt idx="154">
                  <c:v>0.39803014199999998</c:v>
                </c:pt>
                <c:pt idx="155">
                  <c:v>-2.2902058940000001</c:v>
                </c:pt>
                <c:pt idx="156">
                  <c:v>-4.8171522629999997</c:v>
                </c:pt>
                <c:pt idx="157">
                  <c:v>-4.5789547229999998</c:v>
                </c:pt>
                <c:pt idx="158">
                  <c:v>-3.5203970999999998</c:v>
                </c:pt>
                <c:pt idx="159">
                  <c:v>-0.71019678799999997</c:v>
                </c:pt>
                <c:pt idx="160">
                  <c:v>2.3572971009999999</c:v>
                </c:pt>
                <c:pt idx="161">
                  <c:v>3.2646892329999999</c:v>
                </c:pt>
                <c:pt idx="162">
                  <c:v>3.5204119880000002</c:v>
                </c:pt>
                <c:pt idx="163">
                  <c:v>3.1681589620000001</c:v>
                </c:pt>
                <c:pt idx="164">
                  <c:v>2.8530609560000002</c:v>
                </c:pt>
                <c:pt idx="165">
                  <c:v>2.0776872759999998</c:v>
                </c:pt>
                <c:pt idx="166">
                  <c:v>1.778345769</c:v>
                </c:pt>
                <c:pt idx="167">
                  <c:v>1.691174738</c:v>
                </c:pt>
                <c:pt idx="168">
                  <c:v>1.9100740899999999</c:v>
                </c:pt>
                <c:pt idx="169">
                  <c:v>1.6472983889999999</c:v>
                </c:pt>
                <c:pt idx="170">
                  <c:v>1.233876465</c:v>
                </c:pt>
                <c:pt idx="171">
                  <c:v>0.82478128500000003</c:v>
                </c:pt>
                <c:pt idx="172">
                  <c:v>0.89096839999999999</c:v>
                </c:pt>
                <c:pt idx="173">
                  <c:v>1.420862297</c:v>
                </c:pt>
                <c:pt idx="174">
                  <c:v>1.9943140420000001</c:v>
                </c:pt>
                <c:pt idx="175">
                  <c:v>2.4903636119999999</c:v>
                </c:pt>
                <c:pt idx="176">
                  <c:v>2.2376610380000002</c:v>
                </c:pt>
                <c:pt idx="177">
                  <c:v>2.1549612329999999</c:v>
                </c:pt>
                <c:pt idx="178">
                  <c:v>2.2137958379999998</c:v>
                </c:pt>
                <c:pt idx="179">
                  <c:v>2.2111863330000001</c:v>
                </c:pt>
                <c:pt idx="180">
                  <c:v>2.7103228380000002</c:v>
                </c:pt>
                <c:pt idx="181">
                  <c:v>2.7515765220000001</c:v>
                </c:pt>
                <c:pt idx="182">
                  <c:v>2.4834150720000001</c:v>
                </c:pt>
                <c:pt idx="183">
                  <c:v>2.2908319220000002</c:v>
                </c:pt>
                <c:pt idx="184">
                  <c:v>1.921473041</c:v>
                </c:pt>
                <c:pt idx="185">
                  <c:v>1.727761549</c:v>
                </c:pt>
                <c:pt idx="186">
                  <c:v>1.66249256</c:v>
                </c:pt>
                <c:pt idx="187">
                  <c:v>2.151969958</c:v>
                </c:pt>
                <c:pt idx="188">
                  <c:v>2.3574736970000001</c:v>
                </c:pt>
                <c:pt idx="189">
                  <c:v>2.699790948</c:v>
                </c:pt>
                <c:pt idx="190">
                  <c:v>3.0668426659999999</c:v>
                </c:pt>
                <c:pt idx="191">
                  <c:v>3.0872346140000002</c:v>
                </c:pt>
                <c:pt idx="192">
                  <c:v>3.0089521349999999</c:v>
                </c:pt>
                <c:pt idx="193">
                  <c:v>2.796367</c:v>
                </c:pt>
                <c:pt idx="194">
                  <c:v>2.2732635600000002</c:v>
                </c:pt>
                <c:pt idx="195">
                  <c:v>1.5671598520000001</c:v>
                </c:pt>
                <c:pt idx="196">
                  <c:v>1.5738226070000001</c:v>
                </c:pt>
                <c:pt idx="197">
                  <c:v>1.7326915249999999</c:v>
                </c:pt>
                <c:pt idx="198">
                  <c:v>2.0175215839999998</c:v>
                </c:pt>
                <c:pt idx="199">
                  <c:v>1.9409096370000001</c:v>
                </c:pt>
                <c:pt idx="200">
                  <c:v>-0.36999096100000001</c:v>
                </c:pt>
                <c:pt idx="201">
                  <c:v>-10.891728371999999</c:v>
                </c:pt>
                <c:pt idx="202">
                  <c:v>-3.1887470859999998</c:v>
                </c:pt>
                <c:pt idx="203">
                  <c:v>-2.0227093150000002</c:v>
                </c:pt>
                <c:pt idx="204">
                  <c:v>0.72955761600000002</c:v>
                </c:pt>
                <c:pt idx="205">
                  <c:v>13.95580925</c:v>
                </c:pt>
                <c:pt idx="206">
                  <c:v>5.5029999460000001</c:v>
                </c:pt>
                <c:pt idx="207">
                  <c:v>5.7196022280000003</c:v>
                </c:pt>
                <c:pt idx="208">
                  <c:v>4.8598506490000002</c:v>
                </c:pt>
                <c:pt idx="209">
                  <c:v>3.6257060239999999</c:v>
                </c:pt>
                <c:pt idx="210">
                  <c:v>2.957245151</c:v>
                </c:pt>
                <c:pt idx="211">
                  <c:v>1.725225995</c:v>
                </c:pt>
                <c:pt idx="212">
                  <c:v>1.919875647</c:v>
                </c:pt>
                <c:pt idx="213">
                  <c:v>1.7848952600000001</c:v>
                </c:pt>
                <c:pt idx="214">
                  <c:v>1.7351017950000001</c:v>
                </c:pt>
                <c:pt idx="215">
                  <c:v>1.8045334260000001</c:v>
                </c:pt>
                <c:pt idx="216">
                  <c:v>1.670047217</c:v>
                </c:pt>
                <c:pt idx="217">
                  <c:v>1.664718763</c:v>
                </c:pt>
                <c:pt idx="218">
                  <c:v>1.778083326</c:v>
                </c:pt>
                <c:pt idx="219">
                  <c:v>1.8924629019999999</c:v>
                </c:pt>
                <c:pt idx="220">
                  <c:v>1.767441504</c:v>
                </c:pt>
              </c:numCache>
            </c:numRef>
          </c:val>
          <c:smooth val="0"/>
          <c:extLst>
            <c:ext xmlns:c16="http://schemas.microsoft.com/office/drawing/2014/chart" uri="{C3380CC4-5D6E-409C-BE32-E72D297353CC}">
              <c16:uniqueId val="{00000003-4A13-45B7-80E5-90DB2021FD13}"/>
            </c:ext>
          </c:extLst>
        </c:ser>
        <c:dLbls>
          <c:showLegendKey val="0"/>
          <c:showVal val="0"/>
          <c:showCatName val="0"/>
          <c:showSerName val="0"/>
          <c:showPercent val="0"/>
          <c:showBubbleSize val="0"/>
        </c:dLbls>
        <c:smooth val="0"/>
        <c:axId val="1587633375"/>
        <c:axId val="1587634335"/>
      </c:lineChart>
      <c:catAx>
        <c:axId val="15876333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34335"/>
        <c:crosses val="autoZero"/>
        <c:auto val="1"/>
        <c:lblAlgn val="ctr"/>
        <c:lblOffset val="100"/>
        <c:noMultiLvlLbl val="0"/>
      </c:catAx>
      <c:valAx>
        <c:axId val="158763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633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spliced_quartely_pmi!$D$81:$D$223</c:f>
              <c:numCache>
                <c:formatCode>_(* #,##0.00_);_(* \(#,##0.00\);_(* "-"??_);_(@_)</c:formatCode>
                <c:ptCount val="143"/>
                <c:pt idx="0">
                  <c:v>52.53646704791462</c:v>
                </c:pt>
                <c:pt idx="1">
                  <c:v>54.156892464617357</c:v>
                </c:pt>
                <c:pt idx="2">
                  <c:v>55.090245821019195</c:v>
                </c:pt>
                <c:pt idx="3">
                  <c:v>54.285788606984546</c:v>
                </c:pt>
                <c:pt idx="4">
                  <c:v>50.240485047932324</c:v>
                </c:pt>
                <c:pt idx="5">
                  <c:v>54.551639274283552</c:v>
                </c:pt>
                <c:pt idx="6">
                  <c:v>54.524018425733004</c:v>
                </c:pt>
                <c:pt idx="7">
                  <c:v>53.32826700810098</c:v>
                </c:pt>
                <c:pt idx="8">
                  <c:v>53.347829474086907</c:v>
                </c:pt>
                <c:pt idx="9">
                  <c:v>55.435506427901018</c:v>
                </c:pt>
                <c:pt idx="10">
                  <c:v>55.223747739882185</c:v>
                </c:pt>
                <c:pt idx="11">
                  <c:v>53.030189715755625</c:v>
                </c:pt>
                <c:pt idx="12">
                  <c:v>51.313094781732055</c:v>
                </c:pt>
                <c:pt idx="13">
                  <c:v>55.511463761415015</c:v>
                </c:pt>
                <c:pt idx="14">
                  <c:v>55.848669438338284</c:v>
                </c:pt>
                <c:pt idx="15">
                  <c:v>56.131783135981379</c:v>
                </c:pt>
                <c:pt idx="16">
                  <c:v>56.084596368838845</c:v>
                </c:pt>
                <c:pt idx="17">
                  <c:v>56.109914329141489</c:v>
                </c:pt>
                <c:pt idx="18">
                  <c:v>56.557603400266942</c:v>
                </c:pt>
                <c:pt idx="19">
                  <c:v>57.044420855970309</c:v>
                </c:pt>
                <c:pt idx="20">
                  <c:v>57.625608393352685</c:v>
                </c:pt>
                <c:pt idx="21">
                  <c:v>56.716423279432576</c:v>
                </c:pt>
                <c:pt idx="22">
                  <c:v>56.890203300694409</c:v>
                </c:pt>
                <c:pt idx="23">
                  <c:v>56.70721517904704</c:v>
                </c:pt>
                <c:pt idx="24">
                  <c:v>56.117972711706109</c:v>
                </c:pt>
                <c:pt idx="25">
                  <c:v>57.380473362466589</c:v>
                </c:pt>
                <c:pt idx="26">
                  <c:v>57.794786090724784</c:v>
                </c:pt>
                <c:pt idx="27">
                  <c:v>58.359863768190053</c:v>
                </c:pt>
                <c:pt idx="28">
                  <c:v>58.801797344998789</c:v>
                </c:pt>
                <c:pt idx="29">
                  <c:v>56.296355056857671</c:v>
                </c:pt>
                <c:pt idx="30">
                  <c:v>56.2825446325824</c:v>
                </c:pt>
                <c:pt idx="31">
                  <c:v>55.999430934939305</c:v>
                </c:pt>
                <c:pt idx="32">
                  <c:v>55.992525722801666</c:v>
                </c:pt>
                <c:pt idx="33">
                  <c:v>57.145919999999997</c:v>
                </c:pt>
                <c:pt idx="34">
                  <c:v>54.244869999999999</c:v>
                </c:pt>
                <c:pt idx="35">
                  <c:v>50.972499999999997</c:v>
                </c:pt>
                <c:pt idx="36">
                  <c:v>46.597670000000001</c:v>
                </c:pt>
                <c:pt idx="37">
                  <c:v>49.254219999999997</c:v>
                </c:pt>
                <c:pt idx="38">
                  <c:v>55.406959999999998</c:v>
                </c:pt>
                <c:pt idx="39">
                  <c:v>57.31541</c:v>
                </c:pt>
                <c:pt idx="40">
                  <c:v>57.776040000000002</c:v>
                </c:pt>
                <c:pt idx="41">
                  <c:v>56.123939999999997</c:v>
                </c:pt>
                <c:pt idx="42">
                  <c:v>56.128979999999999</c:v>
                </c:pt>
                <c:pt idx="43">
                  <c:v>55.21443</c:v>
                </c:pt>
                <c:pt idx="44">
                  <c:v>55.37032</c:v>
                </c:pt>
                <c:pt idx="45">
                  <c:v>55.020870000000002</c:v>
                </c:pt>
                <c:pt idx="46">
                  <c:v>50.288559999999997</c:v>
                </c:pt>
                <c:pt idx="47">
                  <c:v>48.974769999999999</c:v>
                </c:pt>
                <c:pt idx="48">
                  <c:v>47.369590000000002</c:v>
                </c:pt>
                <c:pt idx="49">
                  <c:v>52.401200000000003</c:v>
                </c:pt>
                <c:pt idx="50">
                  <c:v>55.513500000000001</c:v>
                </c:pt>
                <c:pt idx="51">
                  <c:v>54.358469999999997</c:v>
                </c:pt>
                <c:pt idx="52">
                  <c:v>53.379570000000001</c:v>
                </c:pt>
                <c:pt idx="53">
                  <c:v>50.119059999999998</c:v>
                </c:pt>
                <c:pt idx="54">
                  <c:v>51.803159999999998</c:v>
                </c:pt>
                <c:pt idx="55">
                  <c:v>56.809489999999997</c:v>
                </c:pt>
                <c:pt idx="56">
                  <c:v>58.765880000000003</c:v>
                </c:pt>
                <c:pt idx="57">
                  <c:v>58.64893</c:v>
                </c:pt>
                <c:pt idx="58">
                  <c:v>57.459249999999997</c:v>
                </c:pt>
                <c:pt idx="59">
                  <c:v>55.736789999999999</c:v>
                </c:pt>
                <c:pt idx="60">
                  <c:v>55.749870000000001</c:v>
                </c:pt>
                <c:pt idx="61">
                  <c:v>55.284059999999997</c:v>
                </c:pt>
                <c:pt idx="62">
                  <c:v>53.97589</c:v>
                </c:pt>
                <c:pt idx="63">
                  <c:v>54.553190000000001</c:v>
                </c:pt>
                <c:pt idx="64">
                  <c:v>55.930140000000002</c:v>
                </c:pt>
                <c:pt idx="65">
                  <c:v>56.782260000000001</c:v>
                </c:pt>
                <c:pt idx="66">
                  <c:v>58.460749999999997</c:v>
                </c:pt>
                <c:pt idx="67">
                  <c:v>56.56165</c:v>
                </c:pt>
                <c:pt idx="68">
                  <c:v>58.292310000000001</c:v>
                </c:pt>
                <c:pt idx="69">
                  <c:v>57.595030000000001</c:v>
                </c:pt>
                <c:pt idx="70">
                  <c:v>57.215159999999997</c:v>
                </c:pt>
                <c:pt idx="71">
                  <c:v>57.23404</c:v>
                </c:pt>
                <c:pt idx="72">
                  <c:v>53.491050000000001</c:v>
                </c:pt>
                <c:pt idx="73">
                  <c:v>52.954219999999999</c:v>
                </c:pt>
                <c:pt idx="74">
                  <c:v>48.573279999999997</c:v>
                </c:pt>
                <c:pt idx="75">
                  <c:v>46.54495</c:v>
                </c:pt>
                <c:pt idx="76">
                  <c:v>39.703960000000002</c:v>
                </c:pt>
                <c:pt idx="77">
                  <c:v>41.831670000000003</c:v>
                </c:pt>
                <c:pt idx="78">
                  <c:v>50.09646</c:v>
                </c:pt>
                <c:pt idx="79">
                  <c:v>54.286459999999998</c:v>
                </c:pt>
                <c:pt idx="80">
                  <c:v>57.08099</c:v>
                </c:pt>
                <c:pt idx="81">
                  <c:v>56.945740000000001</c:v>
                </c:pt>
                <c:pt idx="82">
                  <c:v>56.076610000000002</c:v>
                </c:pt>
                <c:pt idx="83">
                  <c:v>53.340200000000003</c:v>
                </c:pt>
                <c:pt idx="84">
                  <c:v>53.498339999999999</c:v>
                </c:pt>
                <c:pt idx="85">
                  <c:v>55.747169999999997</c:v>
                </c:pt>
                <c:pt idx="86">
                  <c:v>53.829990000000002</c:v>
                </c:pt>
                <c:pt idx="87">
                  <c:v>52.815040000000003</c:v>
                </c:pt>
                <c:pt idx="88">
                  <c:v>51.693390000000001</c:v>
                </c:pt>
                <c:pt idx="89">
                  <c:v>54.727200000000003</c:v>
                </c:pt>
                <c:pt idx="90">
                  <c:v>52.123539999999998</c:v>
                </c:pt>
                <c:pt idx="91">
                  <c:v>51.213940000000001</c:v>
                </c:pt>
                <c:pt idx="92">
                  <c:v>49.858580000000003</c:v>
                </c:pt>
                <c:pt idx="93">
                  <c:v>51.678040000000003</c:v>
                </c:pt>
                <c:pt idx="94">
                  <c:v>54.664319999999996</c:v>
                </c:pt>
                <c:pt idx="95">
                  <c:v>60.50338</c:v>
                </c:pt>
                <c:pt idx="96">
                  <c:v>60.301740000000002</c:v>
                </c:pt>
                <c:pt idx="97">
                  <c:v>57.894370000000002</c:v>
                </c:pt>
                <c:pt idx="98">
                  <c:v>58.766849999999998</c:v>
                </c:pt>
                <c:pt idx="99">
                  <c:v>58.584609999999998</c:v>
                </c:pt>
                <c:pt idx="100">
                  <c:v>56.177810000000001</c:v>
                </c:pt>
                <c:pt idx="101">
                  <c:v>57.160649999999997</c:v>
                </c:pt>
                <c:pt idx="102">
                  <c:v>57.356699999999996</c:v>
                </c:pt>
                <c:pt idx="103">
                  <c:v>55.148820000000001</c:v>
                </c:pt>
                <c:pt idx="104">
                  <c:v>55.316270000000003</c:v>
                </c:pt>
                <c:pt idx="105">
                  <c:v>54.002249999999997</c:v>
                </c:pt>
                <c:pt idx="106">
                  <c:v>52.648560000000003</c:v>
                </c:pt>
                <c:pt idx="107">
                  <c:v>51.626139999999999</c:v>
                </c:pt>
                <c:pt idx="108">
                  <c:v>55.478169999999999</c:v>
                </c:pt>
                <c:pt idx="109">
                  <c:v>54.583109999999998</c:v>
                </c:pt>
                <c:pt idx="110">
                  <c:v>54.834470000000003</c:v>
                </c:pt>
                <c:pt idx="111">
                  <c:v>54.061199999999999</c:v>
                </c:pt>
                <c:pt idx="112">
                  <c:v>55.174149999999997</c:v>
                </c:pt>
                <c:pt idx="113">
                  <c:v>53.456270000000004</c:v>
                </c:pt>
                <c:pt idx="114">
                  <c:v>54.276260000000001</c:v>
                </c:pt>
                <c:pt idx="115">
                  <c:v>53.929180000000002</c:v>
                </c:pt>
                <c:pt idx="116">
                  <c:v>51.440289999999997</c:v>
                </c:pt>
                <c:pt idx="117">
                  <c:v>50.607050000000001</c:v>
                </c:pt>
                <c:pt idx="118">
                  <c:v>50.51155</c:v>
                </c:pt>
                <c:pt idx="119">
                  <c:v>50.060169999999999</c:v>
                </c:pt>
                <c:pt idx="120">
                  <c:v>49.507800000000003</c:v>
                </c:pt>
                <c:pt idx="121">
                  <c:v>47.433959999999999</c:v>
                </c:pt>
                <c:pt idx="122">
                  <c:v>30.49887</c:v>
                </c:pt>
                <c:pt idx="123">
                  <c:v>57.540100000000002</c:v>
                </c:pt>
                <c:pt idx="124">
                  <c:v>50.522309999999997</c:v>
                </c:pt>
                <c:pt idx="125">
                  <c:v>49.084299999999999</c:v>
                </c:pt>
                <c:pt idx="126">
                  <c:v>61.931150000000002</c:v>
                </c:pt>
                <c:pt idx="127">
                  <c:v>56.33379</c:v>
                </c:pt>
                <c:pt idx="128">
                  <c:v>56.316299999999998</c:v>
                </c:pt>
                <c:pt idx="129">
                  <c:v>58.32978</c:v>
                </c:pt>
                <c:pt idx="130">
                  <c:v>55.012259999999998</c:v>
                </c:pt>
                <c:pt idx="131">
                  <c:v>50.271349999999998</c:v>
                </c:pt>
                <c:pt idx="132">
                  <c:v>48.46857</c:v>
                </c:pt>
                <c:pt idx="133">
                  <c:v>51.257800000000003</c:v>
                </c:pt>
                <c:pt idx="134">
                  <c:v>53.902209999999997</c:v>
                </c:pt>
                <c:pt idx="135">
                  <c:v>49.315809999999999</c:v>
                </c:pt>
                <c:pt idx="136">
                  <c:v>50.494790000000002</c:v>
                </c:pt>
                <c:pt idx="137">
                  <c:v>52.902200000000001</c:v>
                </c:pt>
                <c:pt idx="138">
                  <c:v>53.126550000000002</c:v>
                </c:pt>
                <c:pt idx="139">
                  <c:v>53.076039999999999</c:v>
                </c:pt>
                <c:pt idx="140">
                  <c:v>50.866320000000002</c:v>
                </c:pt>
                <c:pt idx="141">
                  <c:v>50.849550000000001</c:v>
                </c:pt>
                <c:pt idx="142">
                  <c:v>50.253450000000001</c:v>
                </c:pt>
              </c:numCache>
            </c:numRef>
          </c:val>
          <c:smooth val="0"/>
          <c:extLst>
            <c:ext xmlns:c16="http://schemas.microsoft.com/office/drawing/2014/chart" uri="{C3380CC4-5D6E-409C-BE32-E72D297353CC}">
              <c16:uniqueId val="{00000000-7DAD-403C-BEE7-FB17DB498D9B}"/>
            </c:ext>
          </c:extLst>
        </c:ser>
        <c:dLbls>
          <c:showLegendKey val="0"/>
          <c:showVal val="0"/>
          <c:showCatName val="0"/>
          <c:showSerName val="0"/>
          <c:showPercent val="0"/>
          <c:showBubbleSize val="0"/>
        </c:dLbls>
        <c:smooth val="0"/>
        <c:axId val="1494789231"/>
        <c:axId val="1494786831"/>
      </c:lineChart>
      <c:catAx>
        <c:axId val="14947892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86831"/>
        <c:crosses val="autoZero"/>
        <c:auto val="1"/>
        <c:lblAlgn val="ctr"/>
        <c:lblOffset val="100"/>
        <c:noMultiLvlLbl val="0"/>
      </c:catAx>
      <c:valAx>
        <c:axId val="149478683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78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spliced_inflation_expectations!$D$2:$D$223</c:f>
              <c:numCache>
                <c:formatCode>0.00</c:formatCode>
                <c:ptCount val="222"/>
                <c:pt idx="0">
                  <c:v>3.1158752825806193</c:v>
                </c:pt>
                <c:pt idx="1">
                  <c:v>3.4165041417154169</c:v>
                </c:pt>
                <c:pt idx="2">
                  <c:v>3.757063544449351</c:v>
                </c:pt>
                <c:pt idx="3">
                  <c:v>4.0588897810361857</c:v>
                </c:pt>
                <c:pt idx="4">
                  <c:v>4.3685160259040199</c:v>
                </c:pt>
                <c:pt idx="5">
                  <c:v>4.8084085177125093</c:v>
                </c:pt>
                <c:pt idx="6">
                  <c:v>4.9024950307323332</c:v>
                </c:pt>
                <c:pt idx="7">
                  <c:v>4.5872410534480528</c:v>
                </c:pt>
                <c:pt idx="8">
                  <c:v>4.1464906916991859</c:v>
                </c:pt>
                <c:pt idx="9">
                  <c:v>3.5246809032192798</c:v>
                </c:pt>
                <c:pt idx="10">
                  <c:v>3.6231574062786063</c:v>
                </c:pt>
                <c:pt idx="11">
                  <c:v>4.0628576568921178</c:v>
                </c:pt>
                <c:pt idx="12">
                  <c:v>4.1386122382479851</c:v>
                </c:pt>
                <c:pt idx="13">
                  <c:v>4.6253700955093517</c:v>
                </c:pt>
                <c:pt idx="14">
                  <c:v>4.5798037974633896</c:v>
                </c:pt>
                <c:pt idx="15">
                  <c:v>4.9578369668332236</c:v>
                </c:pt>
                <c:pt idx="16">
                  <c:v>5.8673592032968651</c:v>
                </c:pt>
                <c:pt idx="17">
                  <c:v>6.9231932960486384</c:v>
                </c:pt>
                <c:pt idx="18">
                  <c:v>7.3206052908099837</c:v>
                </c:pt>
                <c:pt idx="19">
                  <c:v>7.7269295555015347</c:v>
                </c:pt>
                <c:pt idx="20">
                  <c:v>8.4719421453807193</c:v>
                </c:pt>
                <c:pt idx="21">
                  <c:v>9.8645509531621425</c:v>
                </c:pt>
                <c:pt idx="22">
                  <c:v>10.662500309355838</c:v>
                </c:pt>
                <c:pt idx="23">
                  <c:v>10.223305068489275</c:v>
                </c:pt>
                <c:pt idx="24">
                  <c:v>9.2225658288688859</c:v>
                </c:pt>
                <c:pt idx="25">
                  <c:v>6.9536034718471189</c:v>
                </c:pt>
                <c:pt idx="26">
                  <c:v>6.1408331510979428</c:v>
                </c:pt>
                <c:pt idx="27">
                  <c:v>6.5886114606221726</c:v>
                </c:pt>
                <c:pt idx="28">
                  <c:v>7.1408256648905875</c:v>
                </c:pt>
                <c:pt idx="29">
                  <c:v>7.4567187442659097</c:v>
                </c:pt>
                <c:pt idx="30">
                  <c:v>7.1648799784956898</c:v>
                </c:pt>
                <c:pt idx="31">
                  <c:v>5.9378024636828064</c:v>
                </c:pt>
                <c:pt idx="32">
                  <c:v>4.6865009531417279</c:v>
                </c:pt>
                <c:pt idx="33">
                  <c:v>4.0504159648659668</c:v>
                </c:pt>
                <c:pt idx="34">
                  <c:v>4.109769541340583</c:v>
                </c:pt>
                <c:pt idx="35">
                  <c:v>4.1947127838874465</c:v>
                </c:pt>
                <c:pt idx="36">
                  <c:v>4.7164684872646516</c:v>
                </c:pt>
                <c:pt idx="37">
                  <c:v>5.068377833599782</c:v>
                </c:pt>
                <c:pt idx="38">
                  <c:v>6.9556641265227519</c:v>
                </c:pt>
                <c:pt idx="39">
                  <c:v>7.4041629392535873</c:v>
                </c:pt>
                <c:pt idx="40">
                  <c:v>8.0431476607425569</c:v>
                </c:pt>
                <c:pt idx="41">
                  <c:v>8.9058996133557766</c:v>
                </c:pt>
                <c:pt idx="42">
                  <c:v>7.0890519252817512</c:v>
                </c:pt>
                <c:pt idx="43">
                  <c:v>6.7112930122248926</c:v>
                </c:pt>
                <c:pt idx="44">
                  <c:v>5.8089971449090916</c:v>
                </c:pt>
                <c:pt idx="45">
                  <c:v>5.4581866725765975</c:v>
                </c:pt>
                <c:pt idx="46">
                  <c:v>5.3029146405452501</c:v>
                </c:pt>
                <c:pt idx="47">
                  <c:v>5.5292415743172292</c:v>
                </c:pt>
                <c:pt idx="48">
                  <c:v>5.2577985821854245</c:v>
                </c:pt>
                <c:pt idx="49">
                  <c:v>4.6361563413602642</c:v>
                </c:pt>
                <c:pt idx="50">
                  <c:v>4.1550865544283759</c:v>
                </c:pt>
                <c:pt idx="51">
                  <c:v>3.5208730438889395</c:v>
                </c:pt>
                <c:pt idx="52">
                  <c:v>3.0997276711985968</c:v>
                </c:pt>
                <c:pt idx="53">
                  <c:v>2.6865412100945223</c:v>
                </c:pt>
                <c:pt idx="54">
                  <c:v>2.9876342070414474</c:v>
                </c:pt>
                <c:pt idx="55">
                  <c:v>3.1300307825703895</c:v>
                </c:pt>
                <c:pt idx="56">
                  <c:v>3.1674137144006567</c:v>
                </c:pt>
                <c:pt idx="57">
                  <c:v>3.162810851206153</c:v>
                </c:pt>
                <c:pt idx="58">
                  <c:v>3.0121496868355941</c:v>
                </c:pt>
                <c:pt idx="59">
                  <c:v>3.0552595819719124</c:v>
                </c:pt>
                <c:pt idx="60">
                  <c:v>3.2883623726231122</c:v>
                </c:pt>
                <c:pt idx="61">
                  <c:v>3.8015432037052133</c:v>
                </c:pt>
                <c:pt idx="62">
                  <c:v>3.5681142012122127</c:v>
                </c:pt>
                <c:pt idx="63">
                  <c:v>3.2910043599239933</c:v>
                </c:pt>
                <c:pt idx="64">
                  <c:v>3.087532354755381</c:v>
                </c:pt>
                <c:pt idx="65">
                  <c:v>2.3308656540424191</c:v>
                </c:pt>
                <c:pt idx="66">
                  <c:v>2.2795455572364713</c:v>
                </c:pt>
                <c:pt idx="67">
                  <c:v>2.5673374268969678</c:v>
                </c:pt>
                <c:pt idx="68">
                  <c:v>2.7525024442236372</c:v>
                </c:pt>
                <c:pt idx="69">
                  <c:v>2.82997886763469</c:v>
                </c:pt>
                <c:pt idx="70">
                  <c:v>2.876177164408638</c:v>
                </c:pt>
                <c:pt idx="71">
                  <c:v>2.7979663229837195</c:v>
                </c:pt>
                <c:pt idx="72">
                  <c:v>2.4994305231369642</c:v>
                </c:pt>
                <c:pt idx="73">
                  <c:v>2.6870765940891816</c:v>
                </c:pt>
                <c:pt idx="74">
                  <c:v>2.9564897426360064</c:v>
                </c:pt>
                <c:pt idx="75">
                  <c:v>3.1142764051860317</c:v>
                </c:pt>
                <c:pt idx="76">
                  <c:v>3.3715673039981029</c:v>
                </c:pt>
                <c:pt idx="77">
                  <c:v>3.404030066429347</c:v>
                </c:pt>
                <c:pt idx="78">
                  <c:v>3.3362089196995508</c:v>
                </c:pt>
                <c:pt idx="79" formatCode="General">
                  <c:v>4.4913049999999997</c:v>
                </c:pt>
                <c:pt idx="80" formatCode="General">
                  <c:v>4.1166799999999997</c:v>
                </c:pt>
                <c:pt idx="81" formatCode="General">
                  <c:v>4.1436149999999996</c:v>
                </c:pt>
                <c:pt idx="82" formatCode="General">
                  <c:v>4.4085219999999996</c:v>
                </c:pt>
                <c:pt idx="83" formatCode="General">
                  <c:v>4.9118940000000002</c:v>
                </c:pt>
                <c:pt idx="84" formatCode="General">
                  <c:v>3.6081180000000002</c:v>
                </c:pt>
                <c:pt idx="85" formatCode="General">
                  <c:v>3.3600150000000002</c:v>
                </c:pt>
                <c:pt idx="86" formatCode="General">
                  <c:v>3.2114989999999999</c:v>
                </c:pt>
                <c:pt idx="87" formatCode="General">
                  <c:v>2.9987339999999998</c:v>
                </c:pt>
                <c:pt idx="88" formatCode="General">
                  <c:v>2.8447819999999999</c:v>
                </c:pt>
                <c:pt idx="89" formatCode="General">
                  <c:v>2.7362980000000001</c:v>
                </c:pt>
                <c:pt idx="90" formatCode="General">
                  <c:v>2.5262509999999998</c:v>
                </c:pt>
                <c:pt idx="91" formatCode="General">
                  <c:v>2.2811129999999999</c:v>
                </c:pt>
                <c:pt idx="92" formatCode="General">
                  <c:v>3.4035069999999998</c:v>
                </c:pt>
                <c:pt idx="93" formatCode="General">
                  <c:v>3.1756679999999999</c:v>
                </c:pt>
                <c:pt idx="94" formatCode="General">
                  <c:v>2.842063</c:v>
                </c:pt>
                <c:pt idx="95" formatCode="General">
                  <c:v>2.5897589999999999</c:v>
                </c:pt>
                <c:pt idx="96" formatCode="General">
                  <c:v>2.7313559999999999</c:v>
                </c:pt>
                <c:pt idx="97" formatCode="General">
                  <c:v>2.643383</c:v>
                </c:pt>
                <c:pt idx="98" formatCode="General">
                  <c:v>2.6913239999999998</c:v>
                </c:pt>
                <c:pt idx="99" formatCode="General">
                  <c:v>2.5497269999999999</c:v>
                </c:pt>
                <c:pt idx="100" formatCode="General">
                  <c:v>2.5746850000000001</c:v>
                </c:pt>
                <c:pt idx="101" formatCode="General">
                  <c:v>2.5843229999999999</c:v>
                </c:pt>
                <c:pt idx="102" formatCode="General">
                  <c:v>2.5578820000000002</c:v>
                </c:pt>
                <c:pt idx="103" formatCode="General">
                  <c:v>2.0794679999999999</c:v>
                </c:pt>
                <c:pt idx="104" formatCode="General">
                  <c:v>2.2984110000000002</c:v>
                </c:pt>
                <c:pt idx="105" formatCode="General">
                  <c:v>2.2732060000000001</c:v>
                </c:pt>
                <c:pt idx="106" formatCode="General">
                  <c:v>2.194623</c:v>
                </c:pt>
                <c:pt idx="107" formatCode="General">
                  <c:v>2.2210649999999998</c:v>
                </c:pt>
                <c:pt idx="108" formatCode="General">
                  <c:v>2.5981610000000002</c:v>
                </c:pt>
                <c:pt idx="109" formatCode="General">
                  <c:v>2.2732060000000001</c:v>
                </c:pt>
                <c:pt idx="110" formatCode="General">
                  <c:v>2.1395170000000001</c:v>
                </c:pt>
                <c:pt idx="111" formatCode="General">
                  <c:v>2.1172770000000001</c:v>
                </c:pt>
                <c:pt idx="112" formatCode="General">
                  <c:v>2.0599460000000001</c:v>
                </c:pt>
                <c:pt idx="113" formatCode="General">
                  <c:v>2.0176889999999998</c:v>
                </c:pt>
                <c:pt idx="114" formatCode="General">
                  <c:v>1.962583</c:v>
                </c:pt>
                <c:pt idx="115" formatCode="General">
                  <c:v>1.7629140000000001</c:v>
                </c:pt>
                <c:pt idx="116" formatCode="General">
                  <c:v>1.6420760000000001</c:v>
                </c:pt>
                <c:pt idx="117" formatCode="General">
                  <c:v>1.7053370000000001</c:v>
                </c:pt>
                <c:pt idx="118" formatCode="General">
                  <c:v>1.70163</c:v>
                </c:pt>
                <c:pt idx="119" formatCode="General">
                  <c:v>1.6541840000000001</c:v>
                </c:pt>
                <c:pt idx="120" formatCode="General">
                  <c:v>1.751547</c:v>
                </c:pt>
                <c:pt idx="121" formatCode="General">
                  <c:v>1.7280709999999999</c:v>
                </c:pt>
                <c:pt idx="122" formatCode="General">
                  <c:v>1.7557480000000001</c:v>
                </c:pt>
                <c:pt idx="123" formatCode="General">
                  <c:v>1.6947110000000001</c:v>
                </c:pt>
                <c:pt idx="124" formatCode="General">
                  <c:v>1.72906</c:v>
                </c:pt>
                <c:pt idx="125" formatCode="General">
                  <c:v>1.6791430000000001</c:v>
                </c:pt>
                <c:pt idx="126" formatCode="General">
                  <c:v>1.7508060000000001</c:v>
                </c:pt>
                <c:pt idx="127" formatCode="General">
                  <c:v>1.701136</c:v>
                </c:pt>
                <c:pt idx="128" formatCode="General">
                  <c:v>1.6964410000000001</c:v>
                </c:pt>
                <c:pt idx="129" formatCode="General">
                  <c:v>1.742157</c:v>
                </c:pt>
                <c:pt idx="130" formatCode="General">
                  <c:v>1.70682</c:v>
                </c:pt>
                <c:pt idx="131" formatCode="General">
                  <c:v>1.7258469999999999</c:v>
                </c:pt>
                <c:pt idx="132" formatCode="General">
                  <c:v>1.721646</c:v>
                </c:pt>
                <c:pt idx="133" formatCode="General">
                  <c:v>1.7431449999999999</c:v>
                </c:pt>
                <c:pt idx="134" formatCode="General">
                  <c:v>1.728566</c:v>
                </c:pt>
                <c:pt idx="135" formatCode="General">
                  <c:v>1.8296349999999999</c:v>
                </c:pt>
                <c:pt idx="136" formatCode="General">
                  <c:v>1.760667</c:v>
                </c:pt>
                <c:pt idx="137" formatCode="General">
                  <c:v>1.7669999999999999</c:v>
                </c:pt>
                <c:pt idx="138" formatCode="General">
                  <c:v>1.8033330000000001</c:v>
                </c:pt>
                <c:pt idx="139" formatCode="General">
                  <c:v>1.705667</c:v>
                </c:pt>
                <c:pt idx="140" formatCode="General">
                  <c:v>1.8356669999999999</c:v>
                </c:pt>
                <c:pt idx="141" formatCode="General">
                  <c:v>1.864333</c:v>
                </c:pt>
                <c:pt idx="142" formatCode="General">
                  <c:v>1.9430000000000001</c:v>
                </c:pt>
                <c:pt idx="143" formatCode="General">
                  <c:v>2.0186670000000002</c:v>
                </c:pt>
                <c:pt idx="144" formatCode="General">
                  <c:v>1.948</c:v>
                </c:pt>
                <c:pt idx="145" formatCode="General">
                  <c:v>1.959667</c:v>
                </c:pt>
                <c:pt idx="146" formatCode="General">
                  <c:v>2.093</c:v>
                </c:pt>
                <c:pt idx="147" formatCode="General">
                  <c:v>2.1903329999999999</c:v>
                </c:pt>
                <c:pt idx="148" formatCode="General">
                  <c:v>1.949333</c:v>
                </c:pt>
                <c:pt idx="149" formatCode="General">
                  <c:v>1.9410000000000001</c:v>
                </c:pt>
                <c:pt idx="150" formatCode="General">
                  <c:v>1.9903329999999999</c:v>
                </c:pt>
                <c:pt idx="151" formatCode="General">
                  <c:v>2.0396670000000001</c:v>
                </c:pt>
                <c:pt idx="152" formatCode="General">
                  <c:v>1.9896670000000001</c:v>
                </c:pt>
                <c:pt idx="153" formatCode="General">
                  <c:v>2.197333</c:v>
                </c:pt>
                <c:pt idx="154" formatCode="General">
                  <c:v>2.862333</c:v>
                </c:pt>
                <c:pt idx="155" formatCode="General">
                  <c:v>2.2003330000000001</c:v>
                </c:pt>
                <c:pt idx="156" formatCode="General">
                  <c:v>1.8433330000000001</c:v>
                </c:pt>
                <c:pt idx="157" formatCode="General">
                  <c:v>1.7263329999999999</c:v>
                </c:pt>
                <c:pt idx="158" formatCode="General">
                  <c:v>1.7556670000000001</c:v>
                </c:pt>
                <c:pt idx="159" formatCode="General">
                  <c:v>2.093</c:v>
                </c:pt>
                <c:pt idx="160" formatCode="General">
                  <c:v>1.7126669999999999</c:v>
                </c:pt>
                <c:pt idx="161" formatCode="General">
                  <c:v>1.825</c:v>
                </c:pt>
                <c:pt idx="162" formatCode="General">
                  <c:v>2.4863330000000001</c:v>
                </c:pt>
                <c:pt idx="163" formatCode="General">
                  <c:v>2.7723330000000002</c:v>
                </c:pt>
                <c:pt idx="164" formatCode="General">
                  <c:v>2.0306670000000002</c:v>
                </c:pt>
                <c:pt idx="165" formatCode="General">
                  <c:v>2.3156669999999999</c:v>
                </c:pt>
                <c:pt idx="166" formatCode="General">
                  <c:v>2.6476670000000002</c:v>
                </c:pt>
                <c:pt idx="167" formatCode="General">
                  <c:v>2.7280000000000002</c:v>
                </c:pt>
                <c:pt idx="168" formatCode="General">
                  <c:v>2.0356670000000001</c:v>
                </c:pt>
                <c:pt idx="169" formatCode="General">
                  <c:v>2.0663330000000002</c:v>
                </c:pt>
                <c:pt idx="170" formatCode="General">
                  <c:v>1.9996670000000001</c:v>
                </c:pt>
                <c:pt idx="171" formatCode="General">
                  <c:v>2.3460000000000001</c:v>
                </c:pt>
                <c:pt idx="172" formatCode="General">
                  <c:v>2.3753329999999999</c:v>
                </c:pt>
                <c:pt idx="173" formatCode="General">
                  <c:v>2.515333</c:v>
                </c:pt>
                <c:pt idx="174" formatCode="General">
                  <c:v>2.46</c:v>
                </c:pt>
                <c:pt idx="175" formatCode="General">
                  <c:v>2.4729999999999999</c:v>
                </c:pt>
                <c:pt idx="176" formatCode="General">
                  <c:v>2.245333</c:v>
                </c:pt>
                <c:pt idx="177" formatCode="General">
                  <c:v>2.0611000000000002</c:v>
                </c:pt>
                <c:pt idx="178" formatCode="General">
                  <c:v>1.944733</c:v>
                </c:pt>
                <c:pt idx="179" formatCode="General">
                  <c:v>1.6174999999999999</c:v>
                </c:pt>
                <c:pt idx="180" formatCode="General">
                  <c:v>1.757633</c:v>
                </c:pt>
                <c:pt idx="181" formatCode="General">
                  <c:v>1.624833</c:v>
                </c:pt>
                <c:pt idx="182" formatCode="General">
                  <c:v>1.4784999999999999</c:v>
                </c:pt>
                <c:pt idx="183" formatCode="General">
                  <c:v>1.262033</c:v>
                </c:pt>
                <c:pt idx="184" formatCode="General">
                  <c:v>1.798567</c:v>
                </c:pt>
                <c:pt idx="185" formatCode="General">
                  <c:v>1.678633</c:v>
                </c:pt>
                <c:pt idx="186" formatCode="General">
                  <c:v>2.3626</c:v>
                </c:pt>
                <c:pt idx="187" formatCode="General">
                  <c:v>2.452467</c:v>
                </c:pt>
                <c:pt idx="188" formatCode="General">
                  <c:v>2.6566000000000001</c:v>
                </c:pt>
                <c:pt idx="189" formatCode="General">
                  <c:v>2.6812330000000002</c:v>
                </c:pt>
                <c:pt idx="190" formatCode="General">
                  <c:v>2.629267</c:v>
                </c:pt>
                <c:pt idx="191" formatCode="General">
                  <c:v>2.5758329999999998</c:v>
                </c:pt>
                <c:pt idx="192" formatCode="General">
                  <c:v>2.1979669999999998</c:v>
                </c:pt>
                <c:pt idx="193" formatCode="General">
                  <c:v>2.1546669999999999</c:v>
                </c:pt>
                <c:pt idx="194" formatCode="General">
                  <c:v>2.1192000000000002</c:v>
                </c:pt>
                <c:pt idx="195" formatCode="General">
                  <c:v>2.1604670000000001</c:v>
                </c:pt>
                <c:pt idx="196" formatCode="General">
                  <c:v>2.0763669999999999</c:v>
                </c:pt>
                <c:pt idx="197" formatCode="General">
                  <c:v>2.0377329999999998</c:v>
                </c:pt>
                <c:pt idx="198" formatCode="General">
                  <c:v>2.0667330000000002</c:v>
                </c:pt>
                <c:pt idx="199" formatCode="General">
                  <c:v>1.933867</c:v>
                </c:pt>
                <c:pt idx="200" formatCode="General">
                  <c:v>1.877567</c:v>
                </c:pt>
                <c:pt idx="201" formatCode="General">
                  <c:v>1.409767</c:v>
                </c:pt>
                <c:pt idx="202" formatCode="General">
                  <c:v>1.421033</c:v>
                </c:pt>
                <c:pt idx="203" formatCode="General">
                  <c:v>1.542333</c:v>
                </c:pt>
                <c:pt idx="204" formatCode="General">
                  <c:v>1.9750000000000001</c:v>
                </c:pt>
                <c:pt idx="205" formatCode="General">
                  <c:v>2.191033</c:v>
                </c:pt>
                <c:pt idx="206" formatCode="General">
                  <c:v>2.6218330000000001</c:v>
                </c:pt>
                <c:pt idx="207" formatCode="General">
                  <c:v>3.6949999999999998</c:v>
                </c:pt>
                <c:pt idx="208" formatCode="General">
                  <c:v>2.9231669999999998</c:v>
                </c:pt>
                <c:pt idx="209" formatCode="General">
                  <c:v>4.4743000000000004</c:v>
                </c:pt>
                <c:pt idx="210" formatCode="General">
                  <c:v>6.4272330000000002</c:v>
                </c:pt>
                <c:pt idx="211" formatCode="General">
                  <c:v>6.9379330000000001</c:v>
                </c:pt>
                <c:pt idx="212" formatCode="General">
                  <c:v>2.9924330000000001</c:v>
                </c:pt>
                <c:pt idx="213" formatCode="General">
                  <c:v>2.9180999999999999</c:v>
                </c:pt>
                <c:pt idx="214" formatCode="General">
                  <c:v>3.1230329999999999</c:v>
                </c:pt>
                <c:pt idx="215" formatCode="General">
                  <c:v>3.1106669999999998</c:v>
                </c:pt>
                <c:pt idx="216" formatCode="General">
                  <c:v>2.1744330000000001</c:v>
                </c:pt>
                <c:pt idx="217" formatCode="General">
                  <c:v>2.2317330000000002</c:v>
                </c:pt>
                <c:pt idx="218" formatCode="General">
                  <c:v>2.3441670000000001</c:v>
                </c:pt>
                <c:pt idx="219" formatCode="General">
                  <c:v>2.4459330000000001</c:v>
                </c:pt>
                <c:pt idx="220" formatCode="General">
                  <c:v>2.352233</c:v>
                </c:pt>
                <c:pt idx="221" formatCode="General">
                  <c:v>2.3450000000000002</c:v>
                </c:pt>
              </c:numCache>
            </c:numRef>
          </c:val>
          <c:smooth val="0"/>
          <c:extLst>
            <c:ext xmlns:c16="http://schemas.microsoft.com/office/drawing/2014/chart" uri="{C3380CC4-5D6E-409C-BE32-E72D297353CC}">
              <c16:uniqueId val="{00000000-E4F6-4902-8D3F-B20FB84BD0D9}"/>
            </c:ext>
          </c:extLst>
        </c:ser>
        <c:ser>
          <c:idx val="1"/>
          <c:order val="1"/>
          <c:spPr>
            <a:ln w="28575" cap="rnd">
              <a:solidFill>
                <a:schemeClr val="accent2"/>
              </a:solidFill>
              <a:round/>
            </a:ln>
            <a:effectLst/>
          </c:spPr>
          <c:marker>
            <c:symbol val="none"/>
          </c:marker>
          <c:val>
            <c:numRef>
              <c:f>spliced_inflation_expectations!$C$2:$C$223</c:f>
              <c:numCache>
                <c:formatCode>_(* #,##0.00_);_(* \(#,##0.00\);_(* "-"??_);_(@_)</c:formatCode>
                <c:ptCount val="222"/>
                <c:pt idx="0">
                  <c:v>5.0102728458787</c:v>
                </c:pt>
                <c:pt idx="1">
                  <c:v>5.8689632067935902</c:v>
                </c:pt>
                <c:pt idx="2">
                  <c:v>6.8417077306832201</c:v>
                </c:pt>
                <c:pt idx="3">
                  <c:v>7.7038181773457</c:v>
                </c:pt>
                <c:pt idx="4">
                  <c:v>8.5882078953503491</c:v>
                </c:pt>
                <c:pt idx="5">
                  <c:v>9.8446788929847209</c:v>
                </c:pt>
                <c:pt idx="6">
                  <c:v>10.1134194991086</c:v>
                </c:pt>
                <c:pt idx="7">
                  <c:v>9.2129552113047701</c:v>
                </c:pt>
                <c:pt idx="8">
                  <c:v>7.9540338679157001</c:v>
                </c:pt>
                <c:pt idx="9">
                  <c:v>6.1779499841964398</c:v>
                </c:pt>
                <c:pt idx="10">
                  <c:v>6.4592297794796103</c:v>
                </c:pt>
                <c:pt idx="11">
                  <c:v>7.7151516759346297</c:v>
                </c:pt>
                <c:pt idx="12">
                  <c:v>7.9315305325508501</c:v>
                </c:pt>
                <c:pt idx="13">
                  <c:v>9.3218637205649397</c:v>
                </c:pt>
                <c:pt idx="14">
                  <c:v>9.1917120743548892</c:v>
                </c:pt>
                <c:pt idx="15">
                  <c:v>10.271493435260201</c:v>
                </c:pt>
                <c:pt idx="16">
                  <c:v>12.8693743563959</c:v>
                </c:pt>
                <c:pt idx="17">
                  <c:v>15.885167852670801</c:v>
                </c:pt>
                <c:pt idx="18">
                  <c:v>17.0203012200915</c:v>
                </c:pt>
                <c:pt idx="19">
                  <c:v>18.1808908271592</c:v>
                </c:pt>
                <c:pt idx="20">
                  <c:v>20.308880573488398</c:v>
                </c:pt>
                <c:pt idx="21">
                  <c:v>24.2866083379107</c:v>
                </c:pt>
                <c:pt idx="22">
                  <c:v>26.565802100724198</c:v>
                </c:pt>
                <c:pt idx="23">
                  <c:v>25.311322670581699</c:v>
                </c:pt>
                <c:pt idx="24">
                  <c:v>22.452897363961299</c:v>
                </c:pt>
                <c:pt idx="25">
                  <c:v>15.9720288576556</c:v>
                </c:pt>
                <c:pt idx="26">
                  <c:v>13.650501769159799</c:v>
                </c:pt>
                <c:pt idx="27">
                  <c:v>14.9294971368095</c:v>
                </c:pt>
                <c:pt idx="28">
                  <c:v>16.506794192488901</c:v>
                </c:pt>
                <c:pt idx="29">
                  <c:v>17.409083956419</c:v>
                </c:pt>
                <c:pt idx="30">
                  <c:v>16.575500860539901</c:v>
                </c:pt>
                <c:pt idx="31">
                  <c:v>13.0705824135961</c:v>
                </c:pt>
                <c:pt idx="32">
                  <c:v>9.4964726332104306</c:v>
                </c:pt>
                <c:pt idx="33">
                  <c:v>7.6796142992267704</c:v>
                </c:pt>
                <c:pt idx="34">
                  <c:v>7.8491467391637002</c:v>
                </c:pt>
                <c:pt idx="35">
                  <c:v>8.0917712956010508</c:v>
                </c:pt>
                <c:pt idx="36">
                  <c:v>9.5820693146661</c:v>
                </c:pt>
                <c:pt idx="37">
                  <c:v>10.5872328391644</c:v>
                </c:pt>
                <c:pt idx="38">
                  <c:v>15.9779147340556</c:v>
                </c:pt>
                <c:pt idx="39">
                  <c:v>17.258968084961801</c:v>
                </c:pt>
                <c:pt idx="40">
                  <c:v>19.084108966956901</c:v>
                </c:pt>
                <c:pt idx="41">
                  <c:v>21.548399280606699</c:v>
                </c:pt>
                <c:pt idx="42">
                  <c:v>16.358912145241099</c:v>
                </c:pt>
                <c:pt idx="43">
                  <c:v>15.279914146429</c:v>
                </c:pt>
                <c:pt idx="44">
                  <c:v>12.702674003259601</c:v>
                </c:pt>
                <c:pt idx="45">
                  <c:v>11.7006492077464</c:v>
                </c:pt>
                <c:pt idx="46">
                  <c:v>11.257143558925099</c:v>
                </c:pt>
                <c:pt idx="47">
                  <c:v>11.9036043045925</c:v>
                </c:pt>
                <c:pt idx="48">
                  <c:v>11.128277938546701</c:v>
                </c:pt>
                <c:pt idx="49">
                  <c:v>9.3526726235068995</c:v>
                </c:pt>
                <c:pt idx="50">
                  <c:v>7.9785863493060303</c:v>
                </c:pt>
                <c:pt idx="51">
                  <c:v>6.1670735430187902</c:v>
                </c:pt>
                <c:pt idx="52">
                  <c:v>4.96415020054968</c:v>
                </c:pt>
                <c:pt idx="53">
                  <c:v>3.78396000712744</c:v>
                </c:pt>
                <c:pt idx="54">
                  <c:v>4.6439760912831298</c:v>
                </c:pt>
                <c:pt idx="55">
                  <c:v>5.0507053959343704</c:v>
                </c:pt>
                <c:pt idx="56">
                  <c:v>5.1574827802406302</c:v>
                </c:pt>
                <c:pt idx="57">
                  <c:v>5.1443355585497201</c:v>
                </c:pt>
                <c:pt idx="58">
                  <c:v>4.7139999946868896</c:v>
                </c:pt>
                <c:pt idx="59">
                  <c:v>4.8371353833523196</c:v>
                </c:pt>
                <c:pt idx="60">
                  <c:v>5.5029501025732603</c:v>
                </c:pt>
                <c:pt idx="61">
                  <c:v>6.9687555955146596</c:v>
                </c:pt>
                <c:pt idx="62">
                  <c:v>6.3020091129062097</c:v>
                </c:pt>
                <c:pt idx="63">
                  <c:v>5.5104964473768003</c:v>
                </c:pt>
                <c:pt idx="64">
                  <c:v>4.9293165498208902</c:v>
                </c:pt>
                <c:pt idx="65">
                  <c:v>2.76803900581718</c:v>
                </c:pt>
                <c:pt idx="66">
                  <c:v>2.6214527047703902</c:v>
                </c:pt>
                <c:pt idx="67">
                  <c:v>3.4434765954186801</c:v>
                </c:pt>
                <c:pt idx="68">
                  <c:v>3.9723659908501299</c:v>
                </c:pt>
                <c:pt idx="69">
                  <c:v>4.1936629687008198</c:v>
                </c:pt>
                <c:pt idx="70">
                  <c:v>4.3256198016031702</c:v>
                </c:pt>
                <c:pt idx="71">
                  <c:v>4.1022250954398896</c:v>
                </c:pt>
                <c:pt idx="72">
                  <c:v>3.2495131686668102</c:v>
                </c:pt>
                <c:pt idx="73">
                  <c:v>3.7854892318230502</c:v>
                </c:pt>
                <c:pt idx="74">
                  <c:v>4.5550177276124701</c:v>
                </c:pt>
                <c:pt idx="75">
                  <c:v>5.0057059503019801</c:v>
                </c:pt>
                <c:pt idx="76">
                  <c:v>5.7406094968107704</c:v>
                </c:pt>
                <c:pt idx="77">
                  <c:v>5.8333333333333304</c:v>
                </c:pt>
                <c:pt idx="78">
                  <c:v>5.6396148555708301</c:v>
                </c:pt>
                <c:pt idx="79">
                  <c:v>5.8265582655826602</c:v>
                </c:pt>
                <c:pt idx="80">
                  <c:v>6.1662198391420899</c:v>
                </c:pt>
                <c:pt idx="81">
                  <c:v>8.0052493438320198</c:v>
                </c:pt>
                <c:pt idx="82">
                  <c:v>8.7890625</c:v>
                </c:pt>
                <c:pt idx="83">
                  <c:v>9.2189500640204791</c:v>
                </c:pt>
                <c:pt idx="84">
                  <c:v>8.39646464646464</c:v>
                </c:pt>
                <c:pt idx="85">
                  <c:v>7.7764277035236802</c:v>
                </c:pt>
                <c:pt idx="86">
                  <c:v>7.3010173548773203</c:v>
                </c:pt>
                <c:pt idx="87">
                  <c:v>6.4478311840562599</c:v>
                </c:pt>
                <c:pt idx="88">
                  <c:v>6.23179965055329</c:v>
                </c:pt>
                <c:pt idx="89">
                  <c:v>4.9605411499436398</c:v>
                </c:pt>
                <c:pt idx="90">
                  <c:v>3.95984383714443</c:v>
                </c:pt>
                <c:pt idx="91">
                  <c:v>3.3039647577092501</c:v>
                </c:pt>
                <c:pt idx="92">
                  <c:v>3.125</c:v>
                </c:pt>
                <c:pt idx="93">
                  <c:v>2.3630504833512198</c:v>
                </c:pt>
                <c:pt idx="94">
                  <c:v>2.52145922746781</c:v>
                </c:pt>
                <c:pt idx="95">
                  <c:v>2.23880597014925</c:v>
                </c:pt>
                <c:pt idx="96">
                  <c:v>2.3923444976076498</c:v>
                </c:pt>
                <c:pt idx="97">
                  <c:v>2.3609653725078701</c:v>
                </c:pt>
                <c:pt idx="98">
                  <c:v>2.0408163265306101</c:v>
                </c:pt>
                <c:pt idx="99">
                  <c:v>2.0855057351407802</c:v>
                </c:pt>
                <c:pt idx="100">
                  <c:v>2.38836967808929</c:v>
                </c:pt>
                <c:pt idx="101">
                  <c:v>2.4602767811378699</c:v>
                </c:pt>
                <c:pt idx="102">
                  <c:v>2.9230769230769198</c:v>
                </c:pt>
                <c:pt idx="103">
                  <c:v>3.0132788559754702</c:v>
                </c:pt>
                <c:pt idx="104">
                  <c:v>2.9411764705882399</c:v>
                </c:pt>
                <c:pt idx="105">
                  <c:v>2.85142571285642</c:v>
                </c:pt>
                <c:pt idx="106">
                  <c:v>2.6407573492775298</c:v>
                </c:pt>
                <c:pt idx="107">
                  <c:v>2.97471492315319</c:v>
                </c:pt>
                <c:pt idx="108">
                  <c:v>2.41379310344827</c:v>
                </c:pt>
                <c:pt idx="109">
                  <c:v>2.0428015564202302</c:v>
                </c:pt>
                <c:pt idx="110">
                  <c:v>2.3300970873786402</c:v>
                </c:pt>
                <c:pt idx="111">
                  <c:v>2.0221473278767399</c:v>
                </c:pt>
                <c:pt idx="112">
                  <c:v>1.87590187590187</c:v>
                </c:pt>
                <c:pt idx="113">
                  <c:v>2.0495710200190702</c:v>
                </c:pt>
                <c:pt idx="114">
                  <c:v>1.6603415559772201</c:v>
                </c:pt>
                <c:pt idx="115">
                  <c:v>1.6989145823501599</c:v>
                </c:pt>
                <c:pt idx="116">
                  <c:v>1.9830028328611899</c:v>
                </c:pt>
                <c:pt idx="117">
                  <c:v>1.86828584773469</c:v>
                </c:pt>
                <c:pt idx="118">
                  <c:v>1.6332244517032199</c:v>
                </c:pt>
                <c:pt idx="119">
                  <c:v>1.53132250580046</c:v>
                </c:pt>
                <c:pt idx="120">
                  <c:v>1.1111111111111101</c:v>
                </c:pt>
                <c:pt idx="121">
                  <c:v>1.0545621274644701</c:v>
                </c:pt>
                <c:pt idx="122">
                  <c:v>1.19375573921028</c:v>
                </c:pt>
                <c:pt idx="123">
                  <c:v>1.3711151736745799</c:v>
                </c:pt>
                <c:pt idx="124">
                  <c:v>1.2362637362637301</c:v>
                </c:pt>
                <c:pt idx="125">
                  <c:v>1.7695099818511799</c:v>
                </c:pt>
                <c:pt idx="126">
                  <c:v>1.7695099818511799</c:v>
                </c:pt>
                <c:pt idx="127">
                  <c:v>1.3525698827772701</c:v>
                </c:pt>
                <c:pt idx="128">
                  <c:v>1.76390773405698</c:v>
                </c:pt>
                <c:pt idx="129">
                  <c:v>1.29291127953632</c:v>
                </c:pt>
                <c:pt idx="130">
                  <c:v>1.38207757467676</c:v>
                </c:pt>
                <c:pt idx="131">
                  <c:v>1.64590747330961</c:v>
                </c:pt>
                <c:pt idx="132">
                  <c:v>1.5111111111111</c:v>
                </c:pt>
                <c:pt idx="133">
                  <c:v>1.36443661971831</c:v>
                </c:pt>
                <c:pt idx="134">
                  <c:v>1.3192612137203099</c:v>
                </c:pt>
                <c:pt idx="135">
                  <c:v>1.31291028446389</c:v>
                </c:pt>
                <c:pt idx="136">
                  <c:v>1.3572679509632299</c:v>
                </c:pt>
                <c:pt idx="137">
                  <c:v>1.3460703430308201</c:v>
                </c:pt>
                <c:pt idx="138">
                  <c:v>1.3454861111111001</c:v>
                </c:pt>
                <c:pt idx="139">
                  <c:v>1.5118790496760099</c:v>
                </c:pt>
                <c:pt idx="140">
                  <c:v>1.7710583153347601</c:v>
                </c:pt>
                <c:pt idx="141">
                  <c:v>1.9280205655526901</c:v>
                </c:pt>
                <c:pt idx="142">
                  <c:v>2.3982869379015002</c:v>
                </c:pt>
                <c:pt idx="143">
                  <c:v>2.2553191489361701</c:v>
                </c:pt>
                <c:pt idx="144">
                  <c:v>2.1222410865874402</c:v>
                </c:pt>
                <c:pt idx="145">
                  <c:v>2.43799915931063</c:v>
                </c:pt>
                <c:pt idx="146">
                  <c:v>2.5512337933918801</c:v>
                </c:pt>
                <c:pt idx="147">
                  <c:v>2.7049521431543901</c:v>
                </c:pt>
                <c:pt idx="148">
                  <c:v>2.7847049044056398</c:v>
                </c:pt>
                <c:pt idx="149">
                  <c:v>2.5441116126384902</c:v>
                </c:pt>
                <c:pt idx="150">
                  <c:v>1.9575856443719399</c:v>
                </c:pt>
                <c:pt idx="151">
                  <c:v>2.2690437601296498</c:v>
                </c:pt>
                <c:pt idx="152">
                  <c:v>2.5475131419328698</c:v>
                </c:pt>
                <c:pt idx="153">
                  <c:v>3.3613445378151199</c:v>
                </c:pt>
                <c:pt idx="154">
                  <c:v>4.4800000000000004</c:v>
                </c:pt>
                <c:pt idx="155">
                  <c:v>3.6846275752773301</c:v>
                </c:pt>
                <c:pt idx="156">
                  <c:v>2.9574132492113501</c:v>
                </c:pt>
                <c:pt idx="157">
                  <c:v>2.01316298877274</c:v>
                </c:pt>
                <c:pt idx="158">
                  <c:v>1.30168453292495</c:v>
                </c:pt>
                <c:pt idx="159">
                  <c:v>1.6048910966755801</c:v>
                </c:pt>
                <c:pt idx="160">
                  <c:v>2.3362696284948301</c:v>
                </c:pt>
                <c:pt idx="161">
                  <c:v>2.5426944971537</c:v>
                </c:pt>
                <c:pt idx="162">
                  <c:v>2.34315948601663</c:v>
                </c:pt>
                <c:pt idx="163">
                  <c:v>2.7453930048890598</c:v>
                </c:pt>
                <c:pt idx="164">
                  <c:v>3.5553892215568701</c:v>
                </c:pt>
                <c:pt idx="165">
                  <c:v>3.7379718726868898</c:v>
                </c:pt>
                <c:pt idx="166">
                  <c:v>4.0989660265878802</c:v>
                </c:pt>
                <c:pt idx="167">
                  <c:v>4.0263543191800801</c:v>
                </c:pt>
                <c:pt idx="168">
                  <c:v>3.1080592699674701</c:v>
                </c:pt>
                <c:pt idx="169">
                  <c:v>2.5330003567606099</c:v>
                </c:pt>
                <c:pt idx="170">
                  <c:v>2.23483504788932</c:v>
                </c:pt>
                <c:pt idx="171">
                  <c:v>2.4278676988036501</c:v>
                </c:pt>
                <c:pt idx="172">
                  <c:v>2.4535576586049701</c:v>
                </c:pt>
                <c:pt idx="173">
                  <c:v>2.3660403618650001</c:v>
                </c:pt>
                <c:pt idx="174">
                  <c:v>2.3941707147814002</c:v>
                </c:pt>
                <c:pt idx="175">
                  <c:v>1.95809000343524</c:v>
                </c:pt>
                <c:pt idx="176">
                  <c:v>1.6421484775915101</c:v>
                </c:pt>
                <c:pt idx="177">
                  <c:v>1.6315431679129799</c:v>
                </c:pt>
                <c:pt idx="178">
                  <c:v>1.49101999322263</c:v>
                </c:pt>
                <c:pt idx="179">
                  <c:v>1.0444743935309999</c:v>
                </c:pt>
                <c:pt idx="180">
                  <c:v>0.40390440928980098</c:v>
                </c:pt>
                <c:pt idx="181">
                  <c:v>0.36789297658859199</c:v>
                </c:pt>
                <c:pt idx="182">
                  <c:v>0.33388981636063703</c:v>
                </c:pt>
                <c:pt idx="183">
                  <c:v>0.366788929643177</c:v>
                </c:pt>
                <c:pt idx="184">
                  <c:v>0.70398927254438803</c:v>
                </c:pt>
                <c:pt idx="185">
                  <c:v>0.76641119626794396</c:v>
                </c:pt>
                <c:pt idx="186">
                  <c:v>1.03161397670545</c:v>
                </c:pt>
                <c:pt idx="187">
                  <c:v>1.5282392026578699</c:v>
                </c:pt>
                <c:pt idx="188">
                  <c:v>2.1637816245007002</c:v>
                </c:pt>
                <c:pt idx="189">
                  <c:v>2.5793650793650702</c:v>
                </c:pt>
                <c:pt idx="190">
                  <c:v>2.7009222661396199</c:v>
                </c:pt>
                <c:pt idx="191">
                  <c:v>2.7814136125654101</c:v>
                </c:pt>
                <c:pt idx="192">
                  <c:v>2.47637666992502</c:v>
                </c:pt>
                <c:pt idx="193">
                  <c:v>2.2888459058672099</c:v>
                </c:pt>
                <c:pt idx="194">
                  <c:v>2.3091725465041701</c:v>
                </c:pt>
                <c:pt idx="195">
                  <c:v>2.1012416427889198</c:v>
                </c:pt>
                <c:pt idx="196">
                  <c:v>1.81240063593004</c:v>
                </c:pt>
                <c:pt idx="197">
                  <c:v>1.9224708477780901</c:v>
                </c:pt>
                <c:pt idx="198">
                  <c:v>1.7868338557993699</c:v>
                </c:pt>
                <c:pt idx="199">
                  <c:v>1.4343623323978401</c:v>
                </c:pt>
                <c:pt idx="200">
                  <c:v>1.6552154903185801</c:v>
                </c:pt>
                <c:pt idx="201">
                  <c:v>0.80395794681512001</c:v>
                </c:pt>
                <c:pt idx="202">
                  <c:v>0.76994148444724297</c:v>
                </c:pt>
                <c:pt idx="203">
                  <c:v>0.73778051029818603</c:v>
                </c:pt>
                <c:pt idx="204">
                  <c:v>0.89093701996930796</c:v>
                </c:pt>
                <c:pt idx="205">
                  <c:v>2.0858895705520801</c:v>
                </c:pt>
                <c:pt idx="206">
                  <c:v>2.6589242053789701</c:v>
                </c:pt>
                <c:pt idx="207">
                  <c:v>4.424778761062</c:v>
                </c:pt>
                <c:pt idx="208">
                  <c:v>5.5115712545675599</c:v>
                </c:pt>
                <c:pt idx="209">
                  <c:v>7.9326923076923102</c:v>
                </c:pt>
                <c:pt idx="210">
                  <c:v>8.7526049419470002</c:v>
                </c:pt>
                <c:pt idx="211">
                  <c:v>9.4097019286966308</c:v>
                </c:pt>
                <c:pt idx="212">
                  <c:v>8.9754689754689991</c:v>
                </c:pt>
                <c:pt idx="213">
                  <c:v>7.6837416481069001</c:v>
                </c:pt>
                <c:pt idx="214">
                  <c:v>6.3509444292362103</c:v>
                </c:pt>
                <c:pt idx="215">
                  <c:v>4.3536324786324503</c:v>
                </c:pt>
                <c:pt idx="216">
                  <c:v>3.9194915254236999</c:v>
                </c:pt>
                <c:pt idx="217">
                  <c:v>2.8697001034126099</c:v>
                </c:pt>
                <c:pt idx="218">
                  <c:v>2.90862290862293</c:v>
                </c:pt>
                <c:pt idx="219">
                  <c:v>3.4041464038905</c:v>
                </c:pt>
                <c:pt idx="220">
                  <c:v>3.6697247706421998</c:v>
                </c:pt>
                <c:pt idx="221">
                  <c:v>4.07</c:v>
                </c:pt>
              </c:numCache>
            </c:numRef>
          </c:val>
          <c:smooth val="0"/>
          <c:extLst>
            <c:ext xmlns:c16="http://schemas.microsoft.com/office/drawing/2014/chart" uri="{C3380CC4-5D6E-409C-BE32-E72D297353CC}">
              <c16:uniqueId val="{00000001-E4F6-4902-8D3F-B20FB84BD0D9}"/>
            </c:ext>
          </c:extLst>
        </c:ser>
        <c:dLbls>
          <c:showLegendKey val="0"/>
          <c:showVal val="0"/>
          <c:showCatName val="0"/>
          <c:showSerName val="0"/>
          <c:showPercent val="0"/>
          <c:showBubbleSize val="0"/>
        </c:dLbls>
        <c:smooth val="0"/>
        <c:axId val="1283517024"/>
        <c:axId val="1283514624"/>
      </c:lineChart>
      <c:catAx>
        <c:axId val="12835170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514624"/>
        <c:crosses val="autoZero"/>
        <c:auto val="1"/>
        <c:lblAlgn val="ctr"/>
        <c:lblOffset val="100"/>
        <c:noMultiLvlLbl val="0"/>
      </c:catAx>
      <c:valAx>
        <c:axId val="128351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51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spliced_housing_approvals!$B$1</c:f>
              <c:strCache>
                <c:ptCount val="1"/>
                <c:pt idx="0">
                  <c:v>House_price</c:v>
                </c:pt>
              </c:strCache>
            </c:strRef>
          </c:tx>
          <c:spPr>
            <a:ln w="28575" cap="rnd">
              <a:solidFill>
                <a:schemeClr val="accent1"/>
              </a:solidFill>
              <a:round/>
            </a:ln>
            <a:effectLst/>
          </c:spPr>
          <c:marker>
            <c:symbol val="none"/>
          </c:marker>
          <c:cat>
            <c:strRef>
              <c:f>spliced_housing_approvals!$A$2:$A$223</c:f>
              <c:strCache>
                <c:ptCount val="222"/>
                <c:pt idx="0">
                  <c:v>1970q1</c:v>
                </c:pt>
                <c:pt idx="1">
                  <c:v>1970q2</c:v>
                </c:pt>
                <c:pt idx="2">
                  <c:v>1970q3</c:v>
                </c:pt>
                <c:pt idx="3">
                  <c:v>1970q4</c:v>
                </c:pt>
                <c:pt idx="4">
                  <c:v>1971q1</c:v>
                </c:pt>
                <c:pt idx="5">
                  <c:v>1971q2</c:v>
                </c:pt>
                <c:pt idx="6">
                  <c:v>1971q3</c:v>
                </c:pt>
                <c:pt idx="7">
                  <c:v>1971q4</c:v>
                </c:pt>
                <c:pt idx="8">
                  <c:v>1972q1</c:v>
                </c:pt>
                <c:pt idx="9">
                  <c:v>1972q2</c:v>
                </c:pt>
                <c:pt idx="10">
                  <c:v>1972q3</c:v>
                </c:pt>
                <c:pt idx="11">
                  <c:v>1972q4</c:v>
                </c:pt>
                <c:pt idx="12">
                  <c:v>1973q1</c:v>
                </c:pt>
                <c:pt idx="13">
                  <c:v>1973q2</c:v>
                </c:pt>
                <c:pt idx="14">
                  <c:v>1973q3</c:v>
                </c:pt>
                <c:pt idx="15">
                  <c:v>1973q4</c:v>
                </c:pt>
                <c:pt idx="16">
                  <c:v>1974q1</c:v>
                </c:pt>
                <c:pt idx="17">
                  <c:v>1974q2</c:v>
                </c:pt>
                <c:pt idx="18">
                  <c:v>1974q3</c:v>
                </c:pt>
                <c:pt idx="19">
                  <c:v>1974q4</c:v>
                </c:pt>
                <c:pt idx="20">
                  <c:v>1975q1</c:v>
                </c:pt>
                <c:pt idx="21">
                  <c:v>1975q2</c:v>
                </c:pt>
                <c:pt idx="22">
                  <c:v>1975q3</c:v>
                </c:pt>
                <c:pt idx="23">
                  <c:v>1975q4</c:v>
                </c:pt>
                <c:pt idx="24">
                  <c:v>1976q1</c:v>
                </c:pt>
                <c:pt idx="25">
                  <c:v>1976q2</c:v>
                </c:pt>
                <c:pt idx="26">
                  <c:v>1976q3</c:v>
                </c:pt>
                <c:pt idx="27">
                  <c:v>1976q4</c:v>
                </c:pt>
                <c:pt idx="28">
                  <c:v>1977q1</c:v>
                </c:pt>
                <c:pt idx="29">
                  <c:v>1977q2</c:v>
                </c:pt>
                <c:pt idx="30">
                  <c:v>1977q3</c:v>
                </c:pt>
                <c:pt idx="31">
                  <c:v>1977q4</c:v>
                </c:pt>
                <c:pt idx="32">
                  <c:v>1978q1</c:v>
                </c:pt>
                <c:pt idx="33">
                  <c:v>1978q2</c:v>
                </c:pt>
                <c:pt idx="34">
                  <c:v>1978q3</c:v>
                </c:pt>
                <c:pt idx="35">
                  <c:v>1978q4</c:v>
                </c:pt>
                <c:pt idx="36">
                  <c:v>1979q1</c:v>
                </c:pt>
                <c:pt idx="37">
                  <c:v>1979q2</c:v>
                </c:pt>
                <c:pt idx="38">
                  <c:v>1979q3</c:v>
                </c:pt>
                <c:pt idx="39">
                  <c:v>1979q4</c:v>
                </c:pt>
                <c:pt idx="40">
                  <c:v>1980q1</c:v>
                </c:pt>
                <c:pt idx="41">
                  <c:v>1980q2</c:v>
                </c:pt>
                <c:pt idx="42">
                  <c:v>1980q3</c:v>
                </c:pt>
                <c:pt idx="43">
                  <c:v>1980q4</c:v>
                </c:pt>
                <c:pt idx="44">
                  <c:v>1981q1</c:v>
                </c:pt>
                <c:pt idx="45">
                  <c:v>1981q2</c:v>
                </c:pt>
                <c:pt idx="46">
                  <c:v>1981q3</c:v>
                </c:pt>
                <c:pt idx="47">
                  <c:v>1981q4</c:v>
                </c:pt>
                <c:pt idx="48">
                  <c:v>1982q1</c:v>
                </c:pt>
                <c:pt idx="49">
                  <c:v>1982q2</c:v>
                </c:pt>
                <c:pt idx="50">
                  <c:v>1982q3</c:v>
                </c:pt>
                <c:pt idx="51">
                  <c:v>1982q4</c:v>
                </c:pt>
                <c:pt idx="52">
                  <c:v>1983q1</c:v>
                </c:pt>
                <c:pt idx="53">
                  <c:v>1983q2</c:v>
                </c:pt>
                <c:pt idx="54">
                  <c:v>1983q3</c:v>
                </c:pt>
                <c:pt idx="55">
                  <c:v>1983q4</c:v>
                </c:pt>
                <c:pt idx="56">
                  <c:v>1984q1</c:v>
                </c:pt>
                <c:pt idx="57">
                  <c:v>1984q2</c:v>
                </c:pt>
                <c:pt idx="58">
                  <c:v>1984q3</c:v>
                </c:pt>
                <c:pt idx="59">
                  <c:v>1984q4</c:v>
                </c:pt>
                <c:pt idx="60">
                  <c:v>1985q1</c:v>
                </c:pt>
                <c:pt idx="61">
                  <c:v>1985q2</c:v>
                </c:pt>
                <c:pt idx="62">
                  <c:v>1985q3</c:v>
                </c:pt>
                <c:pt idx="63">
                  <c:v>1985q4</c:v>
                </c:pt>
                <c:pt idx="64">
                  <c:v>1986q1</c:v>
                </c:pt>
                <c:pt idx="65">
                  <c:v>1986q2</c:v>
                </c:pt>
                <c:pt idx="66">
                  <c:v>1986q3</c:v>
                </c:pt>
                <c:pt idx="67">
                  <c:v>1986q4</c:v>
                </c:pt>
                <c:pt idx="68">
                  <c:v>1987q1</c:v>
                </c:pt>
                <c:pt idx="69">
                  <c:v>1987q2</c:v>
                </c:pt>
                <c:pt idx="70">
                  <c:v>1987q3</c:v>
                </c:pt>
                <c:pt idx="71">
                  <c:v>1987q4</c:v>
                </c:pt>
                <c:pt idx="72">
                  <c:v>1988q1</c:v>
                </c:pt>
                <c:pt idx="73">
                  <c:v>1988q2</c:v>
                </c:pt>
                <c:pt idx="74">
                  <c:v>1988q3</c:v>
                </c:pt>
                <c:pt idx="75">
                  <c:v>1988q4</c:v>
                </c:pt>
                <c:pt idx="76">
                  <c:v>1989q1</c:v>
                </c:pt>
                <c:pt idx="77">
                  <c:v>1989q2</c:v>
                </c:pt>
                <c:pt idx="78">
                  <c:v>1989q3</c:v>
                </c:pt>
                <c:pt idx="79">
                  <c:v>1989q4</c:v>
                </c:pt>
                <c:pt idx="80">
                  <c:v>1990q1</c:v>
                </c:pt>
                <c:pt idx="81">
                  <c:v>1990q2</c:v>
                </c:pt>
                <c:pt idx="82">
                  <c:v>1990q3</c:v>
                </c:pt>
                <c:pt idx="83">
                  <c:v>1990q4</c:v>
                </c:pt>
                <c:pt idx="84">
                  <c:v>1991q1</c:v>
                </c:pt>
                <c:pt idx="85">
                  <c:v>1991q2</c:v>
                </c:pt>
                <c:pt idx="86">
                  <c:v>1991q3</c:v>
                </c:pt>
                <c:pt idx="87">
                  <c:v>1991q4</c:v>
                </c:pt>
                <c:pt idx="88">
                  <c:v>1992q1</c:v>
                </c:pt>
                <c:pt idx="89">
                  <c:v>1992q2</c:v>
                </c:pt>
                <c:pt idx="90">
                  <c:v>1992q3</c:v>
                </c:pt>
                <c:pt idx="91">
                  <c:v>1992q4</c:v>
                </c:pt>
                <c:pt idx="92">
                  <c:v>1993q1</c:v>
                </c:pt>
                <c:pt idx="93">
                  <c:v>1993q2</c:v>
                </c:pt>
                <c:pt idx="94">
                  <c:v>1993q3</c:v>
                </c:pt>
                <c:pt idx="95">
                  <c:v>1993q4</c:v>
                </c:pt>
                <c:pt idx="96">
                  <c:v>1994q1</c:v>
                </c:pt>
                <c:pt idx="97">
                  <c:v>1994q2</c:v>
                </c:pt>
                <c:pt idx="98">
                  <c:v>1994q3</c:v>
                </c:pt>
                <c:pt idx="99">
                  <c:v>1994q4</c:v>
                </c:pt>
                <c:pt idx="100">
                  <c:v>1995q1</c:v>
                </c:pt>
                <c:pt idx="101">
                  <c:v>1995q2</c:v>
                </c:pt>
                <c:pt idx="102">
                  <c:v>1995q3</c:v>
                </c:pt>
                <c:pt idx="103">
                  <c:v>1995q4</c:v>
                </c:pt>
                <c:pt idx="104">
                  <c:v>1996q1</c:v>
                </c:pt>
                <c:pt idx="105">
                  <c:v>1996q2</c:v>
                </c:pt>
                <c:pt idx="106">
                  <c:v>1996q3</c:v>
                </c:pt>
                <c:pt idx="107">
                  <c:v>1996q4</c:v>
                </c:pt>
                <c:pt idx="108">
                  <c:v>1997q1</c:v>
                </c:pt>
                <c:pt idx="109">
                  <c:v>1997q2</c:v>
                </c:pt>
                <c:pt idx="110">
                  <c:v>1997q3</c:v>
                </c:pt>
                <c:pt idx="111">
                  <c:v>1997q4</c:v>
                </c:pt>
                <c:pt idx="112">
                  <c:v>1998q1</c:v>
                </c:pt>
                <c:pt idx="113">
                  <c:v>1998q2</c:v>
                </c:pt>
                <c:pt idx="114">
                  <c:v>1998q3</c:v>
                </c:pt>
                <c:pt idx="115">
                  <c:v>1998q4</c:v>
                </c:pt>
                <c:pt idx="116">
                  <c:v>1999q1</c:v>
                </c:pt>
                <c:pt idx="117">
                  <c:v>1999q2</c:v>
                </c:pt>
                <c:pt idx="118">
                  <c:v>1999q3</c:v>
                </c:pt>
                <c:pt idx="119">
                  <c:v>1999q4</c:v>
                </c:pt>
                <c:pt idx="120">
                  <c:v>2000q1</c:v>
                </c:pt>
                <c:pt idx="121">
                  <c:v>2000q2</c:v>
                </c:pt>
                <c:pt idx="122">
                  <c:v>2000q3</c:v>
                </c:pt>
                <c:pt idx="123">
                  <c:v>2000q4</c:v>
                </c:pt>
                <c:pt idx="124">
                  <c:v>2001q1</c:v>
                </c:pt>
                <c:pt idx="125">
                  <c:v>2001q2</c:v>
                </c:pt>
                <c:pt idx="126">
                  <c:v>2001q3</c:v>
                </c:pt>
                <c:pt idx="127">
                  <c:v>2001q4</c:v>
                </c:pt>
                <c:pt idx="128">
                  <c:v>2002q1</c:v>
                </c:pt>
                <c:pt idx="129">
                  <c:v>2002q2</c:v>
                </c:pt>
                <c:pt idx="130">
                  <c:v>2002q3</c:v>
                </c:pt>
                <c:pt idx="131">
                  <c:v>2002q4</c:v>
                </c:pt>
                <c:pt idx="132">
                  <c:v>2003q1</c:v>
                </c:pt>
                <c:pt idx="133">
                  <c:v>2003q2</c:v>
                </c:pt>
                <c:pt idx="134">
                  <c:v>2003q3</c:v>
                </c:pt>
                <c:pt idx="135">
                  <c:v>2003q4</c:v>
                </c:pt>
                <c:pt idx="136">
                  <c:v>2004q1</c:v>
                </c:pt>
                <c:pt idx="137">
                  <c:v>2004q2</c:v>
                </c:pt>
                <c:pt idx="138">
                  <c:v>2004q3</c:v>
                </c:pt>
                <c:pt idx="139">
                  <c:v>2004q4</c:v>
                </c:pt>
                <c:pt idx="140">
                  <c:v>2005q1</c:v>
                </c:pt>
                <c:pt idx="141">
                  <c:v>2005q2</c:v>
                </c:pt>
                <c:pt idx="142">
                  <c:v>2005q3</c:v>
                </c:pt>
                <c:pt idx="143">
                  <c:v>2005q4</c:v>
                </c:pt>
                <c:pt idx="144">
                  <c:v>2006q1</c:v>
                </c:pt>
                <c:pt idx="145">
                  <c:v>2006q2</c:v>
                </c:pt>
                <c:pt idx="146">
                  <c:v>2006q3</c:v>
                </c:pt>
                <c:pt idx="147">
                  <c:v>2006q4</c:v>
                </c:pt>
                <c:pt idx="148">
                  <c:v>2007q1</c:v>
                </c:pt>
                <c:pt idx="149">
                  <c:v>2007q2</c:v>
                </c:pt>
                <c:pt idx="150">
                  <c:v>2007q3</c:v>
                </c:pt>
                <c:pt idx="151">
                  <c:v>2007q4</c:v>
                </c:pt>
                <c:pt idx="152">
                  <c:v>2008q1</c:v>
                </c:pt>
                <c:pt idx="153">
                  <c:v>2008q2</c:v>
                </c:pt>
                <c:pt idx="154">
                  <c:v>2008q3</c:v>
                </c:pt>
                <c:pt idx="155">
                  <c:v>2008q4</c:v>
                </c:pt>
                <c:pt idx="156">
                  <c:v>2009q1</c:v>
                </c:pt>
                <c:pt idx="157">
                  <c:v>2009q2</c:v>
                </c:pt>
                <c:pt idx="158">
                  <c:v>2009q3</c:v>
                </c:pt>
                <c:pt idx="159">
                  <c:v>2009q4</c:v>
                </c:pt>
                <c:pt idx="160">
                  <c:v>2010q1</c:v>
                </c:pt>
                <c:pt idx="161">
                  <c:v>2010q2</c:v>
                </c:pt>
                <c:pt idx="162">
                  <c:v>2010q3</c:v>
                </c:pt>
                <c:pt idx="163">
                  <c:v>2010q4</c:v>
                </c:pt>
                <c:pt idx="164">
                  <c:v>2011q1</c:v>
                </c:pt>
                <c:pt idx="165">
                  <c:v>2011q2</c:v>
                </c:pt>
                <c:pt idx="166">
                  <c:v>2011q3</c:v>
                </c:pt>
                <c:pt idx="167">
                  <c:v>2011q4</c:v>
                </c:pt>
                <c:pt idx="168">
                  <c:v>2012q1</c:v>
                </c:pt>
                <c:pt idx="169">
                  <c:v>2012q2</c:v>
                </c:pt>
                <c:pt idx="170">
                  <c:v>2012q3</c:v>
                </c:pt>
                <c:pt idx="171">
                  <c:v>2012q4</c:v>
                </c:pt>
                <c:pt idx="172">
                  <c:v>2013q1</c:v>
                </c:pt>
                <c:pt idx="173">
                  <c:v>2013q2</c:v>
                </c:pt>
                <c:pt idx="174">
                  <c:v>2013q3</c:v>
                </c:pt>
                <c:pt idx="175">
                  <c:v>2013q4</c:v>
                </c:pt>
                <c:pt idx="176">
                  <c:v>2014q1</c:v>
                </c:pt>
                <c:pt idx="177">
                  <c:v>2014q2</c:v>
                </c:pt>
                <c:pt idx="178">
                  <c:v>2014q3</c:v>
                </c:pt>
                <c:pt idx="179">
                  <c:v>2014q4</c:v>
                </c:pt>
                <c:pt idx="180">
                  <c:v>2015q1</c:v>
                </c:pt>
                <c:pt idx="181">
                  <c:v>2015q2</c:v>
                </c:pt>
                <c:pt idx="182">
                  <c:v>2015q3</c:v>
                </c:pt>
                <c:pt idx="183">
                  <c:v>2015q4</c:v>
                </c:pt>
                <c:pt idx="184">
                  <c:v>2016q1</c:v>
                </c:pt>
                <c:pt idx="185">
                  <c:v>2016q2</c:v>
                </c:pt>
                <c:pt idx="186">
                  <c:v>2016q3</c:v>
                </c:pt>
                <c:pt idx="187">
                  <c:v>2016q4</c:v>
                </c:pt>
                <c:pt idx="188">
                  <c:v>2017q1</c:v>
                </c:pt>
                <c:pt idx="189">
                  <c:v>2017q2</c:v>
                </c:pt>
                <c:pt idx="190">
                  <c:v>2017q3</c:v>
                </c:pt>
                <c:pt idx="191">
                  <c:v>2017q4</c:v>
                </c:pt>
                <c:pt idx="192">
                  <c:v>2018q1</c:v>
                </c:pt>
                <c:pt idx="193">
                  <c:v>2018q2</c:v>
                </c:pt>
                <c:pt idx="194">
                  <c:v>2018q3</c:v>
                </c:pt>
                <c:pt idx="195">
                  <c:v>2018q4</c:v>
                </c:pt>
                <c:pt idx="196">
                  <c:v>2019q1</c:v>
                </c:pt>
                <c:pt idx="197">
                  <c:v>2019q2</c:v>
                </c:pt>
                <c:pt idx="198">
                  <c:v>2019q3</c:v>
                </c:pt>
                <c:pt idx="199">
                  <c:v>2019q4</c:v>
                </c:pt>
                <c:pt idx="200">
                  <c:v>2020q1</c:v>
                </c:pt>
                <c:pt idx="201">
                  <c:v>2020q2</c:v>
                </c:pt>
                <c:pt idx="202">
                  <c:v>2020q3</c:v>
                </c:pt>
                <c:pt idx="203">
                  <c:v>2020q4</c:v>
                </c:pt>
                <c:pt idx="204">
                  <c:v>2021q1</c:v>
                </c:pt>
                <c:pt idx="205">
                  <c:v>2021q2</c:v>
                </c:pt>
                <c:pt idx="206">
                  <c:v>2021q3</c:v>
                </c:pt>
                <c:pt idx="207">
                  <c:v>2021q4</c:v>
                </c:pt>
                <c:pt idx="208">
                  <c:v>2022q1</c:v>
                </c:pt>
                <c:pt idx="209">
                  <c:v>2022q2</c:v>
                </c:pt>
                <c:pt idx="210">
                  <c:v>2022q3</c:v>
                </c:pt>
                <c:pt idx="211">
                  <c:v>2022q4</c:v>
                </c:pt>
                <c:pt idx="212">
                  <c:v>2023q1</c:v>
                </c:pt>
                <c:pt idx="213">
                  <c:v>2023q2</c:v>
                </c:pt>
                <c:pt idx="214">
                  <c:v>2023q3</c:v>
                </c:pt>
                <c:pt idx="215">
                  <c:v>2023q4</c:v>
                </c:pt>
                <c:pt idx="216">
                  <c:v>2024q1</c:v>
                </c:pt>
                <c:pt idx="217">
                  <c:v>2024q2</c:v>
                </c:pt>
                <c:pt idx="218">
                  <c:v>2024q3</c:v>
                </c:pt>
                <c:pt idx="219">
                  <c:v>2024q4</c:v>
                </c:pt>
                <c:pt idx="220">
                  <c:v>2025q1</c:v>
                </c:pt>
                <c:pt idx="221">
                  <c:v>2025q2</c:v>
                </c:pt>
              </c:strCache>
            </c:strRef>
          </c:cat>
          <c:val>
            <c:numRef>
              <c:f>spliced_housing_approvals!$B$2:$B$223</c:f>
              <c:numCache>
                <c:formatCode>General</c:formatCode>
                <c:ptCount val="222"/>
                <c:pt idx="0">
                  <c:v>0.1497</c:v>
                </c:pt>
                <c:pt idx="1">
                  <c:v>-3.1934999999999998</c:v>
                </c:pt>
                <c:pt idx="2">
                  <c:v>0.6825</c:v>
                </c:pt>
                <c:pt idx="3">
                  <c:v>-2.3022999999999998</c:v>
                </c:pt>
                <c:pt idx="4">
                  <c:v>-0.82420000000000004</c:v>
                </c:pt>
                <c:pt idx="5">
                  <c:v>0.72809999999999997</c:v>
                </c:pt>
                <c:pt idx="6">
                  <c:v>1.6004</c:v>
                </c:pt>
                <c:pt idx="7">
                  <c:v>7.2469000000000001</c:v>
                </c:pt>
                <c:pt idx="8">
                  <c:v>12.5296</c:v>
                </c:pt>
                <c:pt idx="9">
                  <c:v>22.093</c:v>
                </c:pt>
                <c:pt idx="10">
                  <c:v>30.8904</c:v>
                </c:pt>
                <c:pt idx="11">
                  <c:v>33.208300000000001</c:v>
                </c:pt>
                <c:pt idx="12">
                  <c:v>40.054200000000002</c:v>
                </c:pt>
                <c:pt idx="13">
                  <c:v>32.384999999999998</c:v>
                </c:pt>
                <c:pt idx="14">
                  <c:v>22.897099999999998</c:v>
                </c:pt>
                <c:pt idx="15">
                  <c:v>13.7057</c:v>
                </c:pt>
                <c:pt idx="16">
                  <c:v>0.80130000000000001</c:v>
                </c:pt>
                <c:pt idx="17">
                  <c:v>-6.0823999999999998</c:v>
                </c:pt>
                <c:pt idx="18">
                  <c:v>-11.137</c:v>
                </c:pt>
                <c:pt idx="19">
                  <c:v>-11.759499999999999</c:v>
                </c:pt>
                <c:pt idx="20">
                  <c:v>-13.2102</c:v>
                </c:pt>
                <c:pt idx="21">
                  <c:v>-13.8772</c:v>
                </c:pt>
                <c:pt idx="22">
                  <c:v>-13.7387</c:v>
                </c:pt>
                <c:pt idx="23">
                  <c:v>-12.793900000000001</c:v>
                </c:pt>
                <c:pt idx="24">
                  <c:v>-10.0465</c:v>
                </c:pt>
                <c:pt idx="25">
                  <c:v>-4.8136000000000001</c:v>
                </c:pt>
                <c:pt idx="26">
                  <c:v>-4.1456</c:v>
                </c:pt>
                <c:pt idx="27">
                  <c:v>-4.2324000000000002</c:v>
                </c:pt>
                <c:pt idx="28">
                  <c:v>-7.4621000000000004</c:v>
                </c:pt>
                <c:pt idx="29">
                  <c:v>-8.9741999999999997</c:v>
                </c:pt>
                <c:pt idx="30">
                  <c:v>-7.7491000000000003</c:v>
                </c:pt>
                <c:pt idx="31">
                  <c:v>-3.3426</c:v>
                </c:pt>
                <c:pt idx="32">
                  <c:v>1.4341999999999999</c:v>
                </c:pt>
                <c:pt idx="33">
                  <c:v>6.3121</c:v>
                </c:pt>
                <c:pt idx="34">
                  <c:v>10.4078</c:v>
                </c:pt>
                <c:pt idx="35">
                  <c:v>14.4513</c:v>
                </c:pt>
                <c:pt idx="36">
                  <c:v>17.014800000000001</c:v>
                </c:pt>
                <c:pt idx="37">
                  <c:v>19.635000000000002</c:v>
                </c:pt>
                <c:pt idx="38">
                  <c:v>15.6698</c:v>
                </c:pt>
                <c:pt idx="39">
                  <c:v>12.9377</c:v>
                </c:pt>
                <c:pt idx="40">
                  <c:v>11.4658</c:v>
                </c:pt>
                <c:pt idx="41">
                  <c:v>4.6422999999999996</c:v>
                </c:pt>
                <c:pt idx="42">
                  <c:v>5.0808</c:v>
                </c:pt>
                <c:pt idx="43">
                  <c:v>0.19489999999999999</c:v>
                </c:pt>
                <c:pt idx="44">
                  <c:v>-3.5371000000000001</c:v>
                </c:pt>
                <c:pt idx="45">
                  <c:v>-3.8502999999999998</c:v>
                </c:pt>
                <c:pt idx="46">
                  <c:v>-5.9362000000000004</c:v>
                </c:pt>
                <c:pt idx="47">
                  <c:v>-8.2111999999999998</c:v>
                </c:pt>
                <c:pt idx="48">
                  <c:v>-9.2223000000000006</c:v>
                </c:pt>
                <c:pt idx="49">
                  <c:v>-6.6205999999999996</c:v>
                </c:pt>
                <c:pt idx="50">
                  <c:v>-4.6550000000000002</c:v>
                </c:pt>
                <c:pt idx="51">
                  <c:v>-0.83120000000000005</c:v>
                </c:pt>
                <c:pt idx="52">
                  <c:v>5.2214999999999998</c:v>
                </c:pt>
                <c:pt idx="53">
                  <c:v>6.1289999999999996</c:v>
                </c:pt>
                <c:pt idx="54">
                  <c:v>7.5483000000000002</c:v>
                </c:pt>
                <c:pt idx="55">
                  <c:v>7.0175000000000001</c:v>
                </c:pt>
                <c:pt idx="56">
                  <c:v>5.0910000000000002</c:v>
                </c:pt>
                <c:pt idx="57">
                  <c:v>4.2805</c:v>
                </c:pt>
                <c:pt idx="58">
                  <c:v>4.5453000000000001</c:v>
                </c:pt>
                <c:pt idx="59">
                  <c:v>5.3529</c:v>
                </c:pt>
                <c:pt idx="60">
                  <c:v>3.7225999999999999</c:v>
                </c:pt>
                <c:pt idx="61">
                  <c:v>3.8178999999999998</c:v>
                </c:pt>
                <c:pt idx="62">
                  <c:v>2.2932999999999999</c:v>
                </c:pt>
                <c:pt idx="63">
                  <c:v>4.4992999999999999</c:v>
                </c:pt>
                <c:pt idx="64">
                  <c:v>7.3010000000000002</c:v>
                </c:pt>
                <c:pt idx="65">
                  <c:v>9.3375000000000004</c:v>
                </c:pt>
                <c:pt idx="66">
                  <c:v>11.637600000000001</c:v>
                </c:pt>
                <c:pt idx="67">
                  <c:v>11.1157</c:v>
                </c:pt>
                <c:pt idx="68">
                  <c:v>11.7424</c:v>
                </c:pt>
                <c:pt idx="69">
                  <c:v>11.9862</c:v>
                </c:pt>
                <c:pt idx="70">
                  <c:v>12.8324</c:v>
                </c:pt>
                <c:pt idx="71">
                  <c:v>15.9732</c:v>
                </c:pt>
                <c:pt idx="72">
                  <c:v>17.715399999999999</c:v>
                </c:pt>
                <c:pt idx="73">
                  <c:v>18.684799999999999</c:v>
                </c:pt>
                <c:pt idx="74">
                  <c:v>27.198499999999999</c:v>
                </c:pt>
                <c:pt idx="75">
                  <c:v>27.246200000000002</c:v>
                </c:pt>
                <c:pt idx="76">
                  <c:v>24.018799999999999</c:v>
                </c:pt>
                <c:pt idx="77">
                  <c:v>20.7683</c:v>
                </c:pt>
                <c:pt idx="78">
                  <c:v>10.5907</c:v>
                </c:pt>
                <c:pt idx="79">
                  <c:v>1.659</c:v>
                </c:pt>
                <c:pt idx="80">
                  <c:v>-2.7370999999999999</c:v>
                </c:pt>
                <c:pt idx="81">
                  <c:v>-7.69</c:v>
                </c:pt>
                <c:pt idx="82">
                  <c:v>-9.9198000000000004</c:v>
                </c:pt>
                <c:pt idx="83">
                  <c:v>-9.8308</c:v>
                </c:pt>
                <c:pt idx="84">
                  <c:v>-8.4223999999999997</c:v>
                </c:pt>
                <c:pt idx="85">
                  <c:v>-9.1974999999999998</c:v>
                </c:pt>
                <c:pt idx="86">
                  <c:v>-8.5642999999999994</c:v>
                </c:pt>
                <c:pt idx="87">
                  <c:v>-7.1614000000000004</c:v>
                </c:pt>
                <c:pt idx="88">
                  <c:v>-7.3655999999999997</c:v>
                </c:pt>
                <c:pt idx="89">
                  <c:v>-6.9862000000000002</c:v>
                </c:pt>
                <c:pt idx="90">
                  <c:v>-7.4287999999999998</c:v>
                </c:pt>
                <c:pt idx="91">
                  <c:v>-9.8391000000000002</c:v>
                </c:pt>
                <c:pt idx="92">
                  <c:v>-7.6128</c:v>
                </c:pt>
                <c:pt idx="93">
                  <c:v>-4.6303000000000001</c:v>
                </c:pt>
                <c:pt idx="94">
                  <c:v>-3.2724000000000002</c:v>
                </c:pt>
                <c:pt idx="95">
                  <c:v>-0.88629999999999998</c:v>
                </c:pt>
                <c:pt idx="96">
                  <c:v>-0.38979999999999998</c:v>
                </c:pt>
                <c:pt idx="97">
                  <c:v>0.64800000000000002</c:v>
                </c:pt>
                <c:pt idx="98">
                  <c:v>0.62170000000000003</c:v>
                </c:pt>
                <c:pt idx="99">
                  <c:v>1.7744</c:v>
                </c:pt>
                <c:pt idx="100">
                  <c:v>-0.9153</c:v>
                </c:pt>
                <c:pt idx="101">
                  <c:v>-1.0790999999999999</c:v>
                </c:pt>
                <c:pt idx="102">
                  <c:v>-2.2715000000000001</c:v>
                </c:pt>
                <c:pt idx="103">
                  <c:v>-3.2057000000000002</c:v>
                </c:pt>
                <c:pt idx="104">
                  <c:v>-0.63900000000000001</c:v>
                </c:pt>
                <c:pt idx="105">
                  <c:v>-1.2655000000000001</c:v>
                </c:pt>
                <c:pt idx="106">
                  <c:v>1.7986</c:v>
                </c:pt>
                <c:pt idx="107">
                  <c:v>4.9112</c:v>
                </c:pt>
                <c:pt idx="108">
                  <c:v>5.3745000000000003</c:v>
                </c:pt>
                <c:pt idx="109">
                  <c:v>7.5163000000000002</c:v>
                </c:pt>
                <c:pt idx="110">
                  <c:v>8.3847000000000005</c:v>
                </c:pt>
                <c:pt idx="111">
                  <c:v>6.0034999999999998</c:v>
                </c:pt>
                <c:pt idx="112">
                  <c:v>7.4116999999999997</c:v>
                </c:pt>
                <c:pt idx="113">
                  <c:v>10.741199999999999</c:v>
                </c:pt>
                <c:pt idx="114">
                  <c:v>10.4556</c:v>
                </c:pt>
                <c:pt idx="115">
                  <c:v>10.485900000000001</c:v>
                </c:pt>
                <c:pt idx="116">
                  <c:v>8.3851999999999993</c:v>
                </c:pt>
                <c:pt idx="117">
                  <c:v>7.2850000000000001</c:v>
                </c:pt>
                <c:pt idx="118">
                  <c:v>9.0389999999999997</c:v>
                </c:pt>
                <c:pt idx="119">
                  <c:v>12.707800000000001</c:v>
                </c:pt>
                <c:pt idx="120">
                  <c:v>15.0928</c:v>
                </c:pt>
                <c:pt idx="121">
                  <c:v>16.690200000000001</c:v>
                </c:pt>
                <c:pt idx="122">
                  <c:v>12.2003</c:v>
                </c:pt>
                <c:pt idx="123">
                  <c:v>12.2217</c:v>
                </c:pt>
                <c:pt idx="124">
                  <c:v>9.2086000000000006</c:v>
                </c:pt>
                <c:pt idx="125">
                  <c:v>6.6006</c:v>
                </c:pt>
                <c:pt idx="126">
                  <c:v>8.1640999999999995</c:v>
                </c:pt>
                <c:pt idx="127">
                  <c:v>3.6101999999999999</c:v>
                </c:pt>
                <c:pt idx="128">
                  <c:v>6.9607000000000001</c:v>
                </c:pt>
                <c:pt idx="129">
                  <c:v>12.352</c:v>
                </c:pt>
                <c:pt idx="130">
                  <c:v>15.7537</c:v>
                </c:pt>
                <c:pt idx="131">
                  <c:v>23.370200000000001</c:v>
                </c:pt>
                <c:pt idx="132">
                  <c:v>21.535299999999999</c:v>
                </c:pt>
                <c:pt idx="133">
                  <c:v>16.106200000000001</c:v>
                </c:pt>
                <c:pt idx="134">
                  <c:v>11.6633</c:v>
                </c:pt>
                <c:pt idx="135">
                  <c:v>8.5701999999999998</c:v>
                </c:pt>
                <c:pt idx="136">
                  <c:v>7.6882000000000001</c:v>
                </c:pt>
                <c:pt idx="137">
                  <c:v>10.466900000000001</c:v>
                </c:pt>
                <c:pt idx="138">
                  <c:v>12.411199999999999</c:v>
                </c:pt>
                <c:pt idx="139">
                  <c:v>10.7403</c:v>
                </c:pt>
                <c:pt idx="140">
                  <c:v>7.2157999999999998</c:v>
                </c:pt>
                <c:pt idx="141">
                  <c:v>3.8675999999999999</c:v>
                </c:pt>
                <c:pt idx="142">
                  <c:v>1.5348999999999999</c:v>
                </c:pt>
                <c:pt idx="143">
                  <c:v>1.2666999999999999</c:v>
                </c:pt>
                <c:pt idx="144">
                  <c:v>4.3522999999999996</c:v>
                </c:pt>
                <c:pt idx="145">
                  <c:v>4.8789999999999996</c:v>
                </c:pt>
                <c:pt idx="146">
                  <c:v>5.2778</c:v>
                </c:pt>
                <c:pt idx="147">
                  <c:v>6.8745000000000003</c:v>
                </c:pt>
                <c:pt idx="148">
                  <c:v>7.4874999999999998</c:v>
                </c:pt>
                <c:pt idx="149">
                  <c:v>8.0073000000000008</c:v>
                </c:pt>
                <c:pt idx="150">
                  <c:v>8.4601000000000006</c:v>
                </c:pt>
                <c:pt idx="151">
                  <c:v>6.0244999999999997</c:v>
                </c:pt>
                <c:pt idx="152">
                  <c:v>1.2516</c:v>
                </c:pt>
                <c:pt idx="153">
                  <c:v>-4.0522999999999998</c:v>
                </c:pt>
                <c:pt idx="154">
                  <c:v>-11.4024</c:v>
                </c:pt>
                <c:pt idx="155">
                  <c:v>-16.472000000000001</c:v>
                </c:pt>
                <c:pt idx="156">
                  <c:v>-17.860700000000001</c:v>
                </c:pt>
                <c:pt idx="157">
                  <c:v>-15.540800000000001</c:v>
                </c:pt>
                <c:pt idx="158">
                  <c:v>-8.1575000000000006</c:v>
                </c:pt>
                <c:pt idx="159">
                  <c:v>-0.40560000000000002</c:v>
                </c:pt>
                <c:pt idx="160">
                  <c:v>4.2206000000000001</c:v>
                </c:pt>
                <c:pt idx="161">
                  <c:v>4.6242999999999999</c:v>
                </c:pt>
                <c:pt idx="162">
                  <c:v>2.5154999999999998</c:v>
                </c:pt>
                <c:pt idx="163">
                  <c:v>-1.7653000000000001</c:v>
                </c:pt>
                <c:pt idx="164">
                  <c:v>-4.5693000000000001</c:v>
                </c:pt>
                <c:pt idx="165">
                  <c:v>-5.9630999999999998</c:v>
                </c:pt>
                <c:pt idx="166">
                  <c:v>-6.3490000000000002</c:v>
                </c:pt>
                <c:pt idx="167">
                  <c:v>-5.7446000000000002</c:v>
                </c:pt>
                <c:pt idx="168">
                  <c:v>-3.8603000000000001</c:v>
                </c:pt>
                <c:pt idx="169">
                  <c:v>-1.9516</c:v>
                </c:pt>
                <c:pt idx="170">
                  <c:v>-1.9992000000000001</c:v>
                </c:pt>
                <c:pt idx="171">
                  <c:v>-1.6156999999999999</c:v>
                </c:pt>
                <c:pt idx="172">
                  <c:v>-1.3655999999999999</c:v>
                </c:pt>
                <c:pt idx="173">
                  <c:v>-1.1386000000000001</c:v>
                </c:pt>
                <c:pt idx="174">
                  <c:v>0.2422</c:v>
                </c:pt>
                <c:pt idx="175">
                  <c:v>2.2183000000000002</c:v>
                </c:pt>
                <c:pt idx="176">
                  <c:v>4.7182000000000004</c:v>
                </c:pt>
                <c:pt idx="177">
                  <c:v>6.2272999999999996</c:v>
                </c:pt>
                <c:pt idx="178">
                  <c:v>7.3125999999999998</c:v>
                </c:pt>
                <c:pt idx="179">
                  <c:v>7.5326000000000004</c:v>
                </c:pt>
                <c:pt idx="180">
                  <c:v>6.5384000000000002</c:v>
                </c:pt>
                <c:pt idx="181">
                  <c:v>5.3868</c:v>
                </c:pt>
                <c:pt idx="182">
                  <c:v>5.2983000000000002</c:v>
                </c:pt>
                <c:pt idx="183">
                  <c:v>6.4027000000000003</c:v>
                </c:pt>
                <c:pt idx="184">
                  <c:v>7.6512000000000002</c:v>
                </c:pt>
                <c:pt idx="185">
                  <c:v>7.6241000000000003</c:v>
                </c:pt>
                <c:pt idx="186">
                  <c:v>6.0102000000000002</c:v>
                </c:pt>
                <c:pt idx="187">
                  <c:v>4.1703999999999999</c:v>
                </c:pt>
                <c:pt idx="188">
                  <c:v>2.1781000000000001</c:v>
                </c:pt>
                <c:pt idx="189">
                  <c:v>1.6348</c:v>
                </c:pt>
                <c:pt idx="190">
                  <c:v>1.8813</c:v>
                </c:pt>
                <c:pt idx="191">
                  <c:v>1.5434000000000001</c:v>
                </c:pt>
                <c:pt idx="192">
                  <c:v>1.5867</c:v>
                </c:pt>
                <c:pt idx="193">
                  <c:v>0.77539999999999998</c:v>
                </c:pt>
                <c:pt idx="194">
                  <c:v>0.25369999999999998</c:v>
                </c:pt>
                <c:pt idx="195">
                  <c:v>0.1268</c:v>
                </c:pt>
                <c:pt idx="196">
                  <c:v>-0.44990000000000002</c:v>
                </c:pt>
                <c:pt idx="197">
                  <c:v>-1.0012000000000001</c:v>
                </c:pt>
                <c:pt idx="198">
                  <c:v>-1.0953999999999999</c:v>
                </c:pt>
                <c:pt idx="199">
                  <c:v>-0.53420000000000001</c:v>
                </c:pt>
                <c:pt idx="200">
                  <c:v>8.4199999999999997E-2</c:v>
                </c:pt>
                <c:pt idx="201">
                  <c:v>0.55059999999999998</c:v>
                </c:pt>
                <c:pt idx="202">
                  <c:v>1.9239999999999999</c:v>
                </c:pt>
                <c:pt idx="203">
                  <c:v>5.2389999999999999</c:v>
                </c:pt>
                <c:pt idx="204">
                  <c:v>7.0110999999999999</c:v>
                </c:pt>
                <c:pt idx="205">
                  <c:v>7.2168999999999999</c:v>
                </c:pt>
                <c:pt idx="206">
                  <c:v>5.3914</c:v>
                </c:pt>
                <c:pt idx="207">
                  <c:v>2.2576999999999998</c:v>
                </c:pt>
                <c:pt idx="208">
                  <c:v>1.8588</c:v>
                </c:pt>
                <c:pt idx="209">
                  <c:v>-0.21299999999999999</c:v>
                </c:pt>
                <c:pt idx="210">
                  <c:v>0.84989999999999999</c:v>
                </c:pt>
                <c:pt idx="211">
                  <c:v>-1.5612999999999999</c:v>
                </c:pt>
                <c:pt idx="212">
                  <c:v>-5.6189</c:v>
                </c:pt>
                <c:pt idx="213">
                  <c:v>-6.9328000000000003</c:v>
                </c:pt>
                <c:pt idx="214">
                  <c:v>-7.3078000000000003</c:v>
                </c:pt>
                <c:pt idx="215">
                  <c:v>-6.3556999999999997</c:v>
                </c:pt>
                <c:pt idx="216">
                  <c:v>-4.6943000000000001</c:v>
                </c:pt>
                <c:pt idx="217">
                  <c:v>-1.67</c:v>
                </c:pt>
                <c:pt idx="218">
                  <c:v>-1.0369999999999999</c:v>
                </c:pt>
                <c:pt idx="219">
                  <c:v>0.443</c:v>
                </c:pt>
                <c:pt idx="220">
                  <c:v>1.8540000000000001</c:v>
                </c:pt>
                <c:pt idx="221">
                  <c:v>-0.63600000000000001</c:v>
                </c:pt>
              </c:numCache>
            </c:numRef>
          </c:val>
          <c:smooth val="0"/>
          <c:extLst>
            <c:ext xmlns:c16="http://schemas.microsoft.com/office/drawing/2014/chart" uri="{C3380CC4-5D6E-409C-BE32-E72D297353CC}">
              <c16:uniqueId val="{00000000-26A4-45FB-B71E-BB3CA1A8334E}"/>
            </c:ext>
          </c:extLst>
        </c:ser>
        <c:dLbls>
          <c:showLegendKey val="0"/>
          <c:showVal val="0"/>
          <c:showCatName val="0"/>
          <c:showSerName val="0"/>
          <c:showPercent val="0"/>
          <c:showBubbleSize val="0"/>
        </c:dLbls>
        <c:marker val="1"/>
        <c:smooth val="0"/>
        <c:axId val="854994752"/>
        <c:axId val="854983712"/>
      </c:lineChart>
      <c:lineChart>
        <c:grouping val="standard"/>
        <c:varyColors val="0"/>
        <c:ser>
          <c:idx val="1"/>
          <c:order val="1"/>
          <c:tx>
            <c:strRef>
              <c:f>spliced_housing_approvals!$C$1</c:f>
              <c:strCache>
                <c:ptCount val="1"/>
                <c:pt idx="0">
                  <c:v>Housing approvals</c:v>
                </c:pt>
              </c:strCache>
            </c:strRef>
          </c:tx>
          <c:spPr>
            <a:ln w="28575" cap="rnd">
              <a:solidFill>
                <a:schemeClr val="accent2"/>
              </a:solidFill>
              <a:round/>
            </a:ln>
            <a:effectLst/>
          </c:spPr>
          <c:marker>
            <c:symbol val="none"/>
          </c:marker>
          <c:cat>
            <c:strRef>
              <c:f>spliced_housing_approvals!$A$2:$A$223</c:f>
              <c:strCache>
                <c:ptCount val="222"/>
                <c:pt idx="0">
                  <c:v>1970q1</c:v>
                </c:pt>
                <c:pt idx="1">
                  <c:v>1970q2</c:v>
                </c:pt>
                <c:pt idx="2">
                  <c:v>1970q3</c:v>
                </c:pt>
                <c:pt idx="3">
                  <c:v>1970q4</c:v>
                </c:pt>
                <c:pt idx="4">
                  <c:v>1971q1</c:v>
                </c:pt>
                <c:pt idx="5">
                  <c:v>1971q2</c:v>
                </c:pt>
                <c:pt idx="6">
                  <c:v>1971q3</c:v>
                </c:pt>
                <c:pt idx="7">
                  <c:v>1971q4</c:v>
                </c:pt>
                <c:pt idx="8">
                  <c:v>1972q1</c:v>
                </c:pt>
                <c:pt idx="9">
                  <c:v>1972q2</c:v>
                </c:pt>
                <c:pt idx="10">
                  <c:v>1972q3</c:v>
                </c:pt>
                <c:pt idx="11">
                  <c:v>1972q4</c:v>
                </c:pt>
                <c:pt idx="12">
                  <c:v>1973q1</c:v>
                </c:pt>
                <c:pt idx="13">
                  <c:v>1973q2</c:v>
                </c:pt>
                <c:pt idx="14">
                  <c:v>1973q3</c:v>
                </c:pt>
                <c:pt idx="15">
                  <c:v>1973q4</c:v>
                </c:pt>
                <c:pt idx="16">
                  <c:v>1974q1</c:v>
                </c:pt>
                <c:pt idx="17">
                  <c:v>1974q2</c:v>
                </c:pt>
                <c:pt idx="18">
                  <c:v>1974q3</c:v>
                </c:pt>
                <c:pt idx="19">
                  <c:v>1974q4</c:v>
                </c:pt>
                <c:pt idx="20">
                  <c:v>1975q1</c:v>
                </c:pt>
                <c:pt idx="21">
                  <c:v>1975q2</c:v>
                </c:pt>
                <c:pt idx="22">
                  <c:v>1975q3</c:v>
                </c:pt>
                <c:pt idx="23">
                  <c:v>1975q4</c:v>
                </c:pt>
                <c:pt idx="24">
                  <c:v>1976q1</c:v>
                </c:pt>
                <c:pt idx="25">
                  <c:v>1976q2</c:v>
                </c:pt>
                <c:pt idx="26">
                  <c:v>1976q3</c:v>
                </c:pt>
                <c:pt idx="27">
                  <c:v>1976q4</c:v>
                </c:pt>
                <c:pt idx="28">
                  <c:v>1977q1</c:v>
                </c:pt>
                <c:pt idx="29">
                  <c:v>1977q2</c:v>
                </c:pt>
                <c:pt idx="30">
                  <c:v>1977q3</c:v>
                </c:pt>
                <c:pt idx="31">
                  <c:v>1977q4</c:v>
                </c:pt>
                <c:pt idx="32">
                  <c:v>1978q1</c:v>
                </c:pt>
                <c:pt idx="33">
                  <c:v>1978q2</c:v>
                </c:pt>
                <c:pt idx="34">
                  <c:v>1978q3</c:v>
                </c:pt>
                <c:pt idx="35">
                  <c:v>1978q4</c:v>
                </c:pt>
                <c:pt idx="36">
                  <c:v>1979q1</c:v>
                </c:pt>
                <c:pt idx="37">
                  <c:v>1979q2</c:v>
                </c:pt>
                <c:pt idx="38">
                  <c:v>1979q3</c:v>
                </c:pt>
                <c:pt idx="39">
                  <c:v>1979q4</c:v>
                </c:pt>
                <c:pt idx="40">
                  <c:v>1980q1</c:v>
                </c:pt>
                <c:pt idx="41">
                  <c:v>1980q2</c:v>
                </c:pt>
                <c:pt idx="42">
                  <c:v>1980q3</c:v>
                </c:pt>
                <c:pt idx="43">
                  <c:v>1980q4</c:v>
                </c:pt>
                <c:pt idx="44">
                  <c:v>1981q1</c:v>
                </c:pt>
                <c:pt idx="45">
                  <c:v>1981q2</c:v>
                </c:pt>
                <c:pt idx="46">
                  <c:v>1981q3</c:v>
                </c:pt>
                <c:pt idx="47">
                  <c:v>1981q4</c:v>
                </c:pt>
                <c:pt idx="48">
                  <c:v>1982q1</c:v>
                </c:pt>
                <c:pt idx="49">
                  <c:v>1982q2</c:v>
                </c:pt>
                <c:pt idx="50">
                  <c:v>1982q3</c:v>
                </c:pt>
                <c:pt idx="51">
                  <c:v>1982q4</c:v>
                </c:pt>
                <c:pt idx="52">
                  <c:v>1983q1</c:v>
                </c:pt>
                <c:pt idx="53">
                  <c:v>1983q2</c:v>
                </c:pt>
                <c:pt idx="54">
                  <c:v>1983q3</c:v>
                </c:pt>
                <c:pt idx="55">
                  <c:v>1983q4</c:v>
                </c:pt>
                <c:pt idx="56">
                  <c:v>1984q1</c:v>
                </c:pt>
                <c:pt idx="57">
                  <c:v>1984q2</c:v>
                </c:pt>
                <c:pt idx="58">
                  <c:v>1984q3</c:v>
                </c:pt>
                <c:pt idx="59">
                  <c:v>1984q4</c:v>
                </c:pt>
                <c:pt idx="60">
                  <c:v>1985q1</c:v>
                </c:pt>
                <c:pt idx="61">
                  <c:v>1985q2</c:v>
                </c:pt>
                <c:pt idx="62">
                  <c:v>1985q3</c:v>
                </c:pt>
                <c:pt idx="63">
                  <c:v>1985q4</c:v>
                </c:pt>
                <c:pt idx="64">
                  <c:v>1986q1</c:v>
                </c:pt>
                <c:pt idx="65">
                  <c:v>1986q2</c:v>
                </c:pt>
                <c:pt idx="66">
                  <c:v>1986q3</c:v>
                </c:pt>
                <c:pt idx="67">
                  <c:v>1986q4</c:v>
                </c:pt>
                <c:pt idx="68">
                  <c:v>1987q1</c:v>
                </c:pt>
                <c:pt idx="69">
                  <c:v>1987q2</c:v>
                </c:pt>
                <c:pt idx="70">
                  <c:v>1987q3</c:v>
                </c:pt>
                <c:pt idx="71">
                  <c:v>1987q4</c:v>
                </c:pt>
                <c:pt idx="72">
                  <c:v>1988q1</c:v>
                </c:pt>
                <c:pt idx="73">
                  <c:v>1988q2</c:v>
                </c:pt>
                <c:pt idx="74">
                  <c:v>1988q3</c:v>
                </c:pt>
                <c:pt idx="75">
                  <c:v>1988q4</c:v>
                </c:pt>
                <c:pt idx="76">
                  <c:v>1989q1</c:v>
                </c:pt>
                <c:pt idx="77">
                  <c:v>1989q2</c:v>
                </c:pt>
                <c:pt idx="78">
                  <c:v>1989q3</c:v>
                </c:pt>
                <c:pt idx="79">
                  <c:v>1989q4</c:v>
                </c:pt>
                <c:pt idx="80">
                  <c:v>1990q1</c:v>
                </c:pt>
                <c:pt idx="81">
                  <c:v>1990q2</c:v>
                </c:pt>
                <c:pt idx="82">
                  <c:v>1990q3</c:v>
                </c:pt>
                <c:pt idx="83">
                  <c:v>1990q4</c:v>
                </c:pt>
                <c:pt idx="84">
                  <c:v>1991q1</c:v>
                </c:pt>
                <c:pt idx="85">
                  <c:v>1991q2</c:v>
                </c:pt>
                <c:pt idx="86">
                  <c:v>1991q3</c:v>
                </c:pt>
                <c:pt idx="87">
                  <c:v>1991q4</c:v>
                </c:pt>
                <c:pt idx="88">
                  <c:v>1992q1</c:v>
                </c:pt>
                <c:pt idx="89">
                  <c:v>1992q2</c:v>
                </c:pt>
                <c:pt idx="90">
                  <c:v>1992q3</c:v>
                </c:pt>
                <c:pt idx="91">
                  <c:v>1992q4</c:v>
                </c:pt>
                <c:pt idx="92">
                  <c:v>1993q1</c:v>
                </c:pt>
                <c:pt idx="93">
                  <c:v>1993q2</c:v>
                </c:pt>
                <c:pt idx="94">
                  <c:v>1993q3</c:v>
                </c:pt>
                <c:pt idx="95">
                  <c:v>1993q4</c:v>
                </c:pt>
                <c:pt idx="96">
                  <c:v>1994q1</c:v>
                </c:pt>
                <c:pt idx="97">
                  <c:v>1994q2</c:v>
                </c:pt>
                <c:pt idx="98">
                  <c:v>1994q3</c:v>
                </c:pt>
                <c:pt idx="99">
                  <c:v>1994q4</c:v>
                </c:pt>
                <c:pt idx="100">
                  <c:v>1995q1</c:v>
                </c:pt>
                <c:pt idx="101">
                  <c:v>1995q2</c:v>
                </c:pt>
                <c:pt idx="102">
                  <c:v>1995q3</c:v>
                </c:pt>
                <c:pt idx="103">
                  <c:v>1995q4</c:v>
                </c:pt>
                <c:pt idx="104">
                  <c:v>1996q1</c:v>
                </c:pt>
                <c:pt idx="105">
                  <c:v>1996q2</c:v>
                </c:pt>
                <c:pt idx="106">
                  <c:v>1996q3</c:v>
                </c:pt>
                <c:pt idx="107">
                  <c:v>1996q4</c:v>
                </c:pt>
                <c:pt idx="108">
                  <c:v>1997q1</c:v>
                </c:pt>
                <c:pt idx="109">
                  <c:v>1997q2</c:v>
                </c:pt>
                <c:pt idx="110">
                  <c:v>1997q3</c:v>
                </c:pt>
                <c:pt idx="111">
                  <c:v>1997q4</c:v>
                </c:pt>
                <c:pt idx="112">
                  <c:v>1998q1</c:v>
                </c:pt>
                <c:pt idx="113">
                  <c:v>1998q2</c:v>
                </c:pt>
                <c:pt idx="114">
                  <c:v>1998q3</c:v>
                </c:pt>
                <c:pt idx="115">
                  <c:v>1998q4</c:v>
                </c:pt>
                <c:pt idx="116">
                  <c:v>1999q1</c:v>
                </c:pt>
                <c:pt idx="117">
                  <c:v>1999q2</c:v>
                </c:pt>
                <c:pt idx="118">
                  <c:v>1999q3</c:v>
                </c:pt>
                <c:pt idx="119">
                  <c:v>1999q4</c:v>
                </c:pt>
                <c:pt idx="120">
                  <c:v>2000q1</c:v>
                </c:pt>
                <c:pt idx="121">
                  <c:v>2000q2</c:v>
                </c:pt>
                <c:pt idx="122">
                  <c:v>2000q3</c:v>
                </c:pt>
                <c:pt idx="123">
                  <c:v>2000q4</c:v>
                </c:pt>
                <c:pt idx="124">
                  <c:v>2001q1</c:v>
                </c:pt>
                <c:pt idx="125">
                  <c:v>2001q2</c:v>
                </c:pt>
                <c:pt idx="126">
                  <c:v>2001q3</c:v>
                </c:pt>
                <c:pt idx="127">
                  <c:v>2001q4</c:v>
                </c:pt>
                <c:pt idx="128">
                  <c:v>2002q1</c:v>
                </c:pt>
                <c:pt idx="129">
                  <c:v>2002q2</c:v>
                </c:pt>
                <c:pt idx="130">
                  <c:v>2002q3</c:v>
                </c:pt>
                <c:pt idx="131">
                  <c:v>2002q4</c:v>
                </c:pt>
                <c:pt idx="132">
                  <c:v>2003q1</c:v>
                </c:pt>
                <c:pt idx="133">
                  <c:v>2003q2</c:v>
                </c:pt>
                <c:pt idx="134">
                  <c:v>2003q3</c:v>
                </c:pt>
                <c:pt idx="135">
                  <c:v>2003q4</c:v>
                </c:pt>
                <c:pt idx="136">
                  <c:v>2004q1</c:v>
                </c:pt>
                <c:pt idx="137">
                  <c:v>2004q2</c:v>
                </c:pt>
                <c:pt idx="138">
                  <c:v>2004q3</c:v>
                </c:pt>
                <c:pt idx="139">
                  <c:v>2004q4</c:v>
                </c:pt>
                <c:pt idx="140">
                  <c:v>2005q1</c:v>
                </c:pt>
                <c:pt idx="141">
                  <c:v>2005q2</c:v>
                </c:pt>
                <c:pt idx="142">
                  <c:v>2005q3</c:v>
                </c:pt>
                <c:pt idx="143">
                  <c:v>2005q4</c:v>
                </c:pt>
                <c:pt idx="144">
                  <c:v>2006q1</c:v>
                </c:pt>
                <c:pt idx="145">
                  <c:v>2006q2</c:v>
                </c:pt>
                <c:pt idx="146">
                  <c:v>2006q3</c:v>
                </c:pt>
                <c:pt idx="147">
                  <c:v>2006q4</c:v>
                </c:pt>
                <c:pt idx="148">
                  <c:v>2007q1</c:v>
                </c:pt>
                <c:pt idx="149">
                  <c:v>2007q2</c:v>
                </c:pt>
                <c:pt idx="150">
                  <c:v>2007q3</c:v>
                </c:pt>
                <c:pt idx="151">
                  <c:v>2007q4</c:v>
                </c:pt>
                <c:pt idx="152">
                  <c:v>2008q1</c:v>
                </c:pt>
                <c:pt idx="153">
                  <c:v>2008q2</c:v>
                </c:pt>
                <c:pt idx="154">
                  <c:v>2008q3</c:v>
                </c:pt>
                <c:pt idx="155">
                  <c:v>2008q4</c:v>
                </c:pt>
                <c:pt idx="156">
                  <c:v>2009q1</c:v>
                </c:pt>
                <c:pt idx="157">
                  <c:v>2009q2</c:v>
                </c:pt>
                <c:pt idx="158">
                  <c:v>2009q3</c:v>
                </c:pt>
                <c:pt idx="159">
                  <c:v>2009q4</c:v>
                </c:pt>
                <c:pt idx="160">
                  <c:v>2010q1</c:v>
                </c:pt>
                <c:pt idx="161">
                  <c:v>2010q2</c:v>
                </c:pt>
                <c:pt idx="162">
                  <c:v>2010q3</c:v>
                </c:pt>
                <c:pt idx="163">
                  <c:v>2010q4</c:v>
                </c:pt>
                <c:pt idx="164">
                  <c:v>2011q1</c:v>
                </c:pt>
                <c:pt idx="165">
                  <c:v>2011q2</c:v>
                </c:pt>
                <c:pt idx="166">
                  <c:v>2011q3</c:v>
                </c:pt>
                <c:pt idx="167">
                  <c:v>2011q4</c:v>
                </c:pt>
                <c:pt idx="168">
                  <c:v>2012q1</c:v>
                </c:pt>
                <c:pt idx="169">
                  <c:v>2012q2</c:v>
                </c:pt>
                <c:pt idx="170">
                  <c:v>2012q3</c:v>
                </c:pt>
                <c:pt idx="171">
                  <c:v>2012q4</c:v>
                </c:pt>
                <c:pt idx="172">
                  <c:v>2013q1</c:v>
                </c:pt>
                <c:pt idx="173">
                  <c:v>2013q2</c:v>
                </c:pt>
                <c:pt idx="174">
                  <c:v>2013q3</c:v>
                </c:pt>
                <c:pt idx="175">
                  <c:v>2013q4</c:v>
                </c:pt>
                <c:pt idx="176">
                  <c:v>2014q1</c:v>
                </c:pt>
                <c:pt idx="177">
                  <c:v>2014q2</c:v>
                </c:pt>
                <c:pt idx="178">
                  <c:v>2014q3</c:v>
                </c:pt>
                <c:pt idx="179">
                  <c:v>2014q4</c:v>
                </c:pt>
                <c:pt idx="180">
                  <c:v>2015q1</c:v>
                </c:pt>
                <c:pt idx="181">
                  <c:v>2015q2</c:v>
                </c:pt>
                <c:pt idx="182">
                  <c:v>2015q3</c:v>
                </c:pt>
                <c:pt idx="183">
                  <c:v>2015q4</c:v>
                </c:pt>
                <c:pt idx="184">
                  <c:v>2016q1</c:v>
                </c:pt>
                <c:pt idx="185">
                  <c:v>2016q2</c:v>
                </c:pt>
                <c:pt idx="186">
                  <c:v>2016q3</c:v>
                </c:pt>
                <c:pt idx="187">
                  <c:v>2016q4</c:v>
                </c:pt>
                <c:pt idx="188">
                  <c:v>2017q1</c:v>
                </c:pt>
                <c:pt idx="189">
                  <c:v>2017q2</c:v>
                </c:pt>
                <c:pt idx="190">
                  <c:v>2017q3</c:v>
                </c:pt>
                <c:pt idx="191">
                  <c:v>2017q4</c:v>
                </c:pt>
                <c:pt idx="192">
                  <c:v>2018q1</c:v>
                </c:pt>
                <c:pt idx="193">
                  <c:v>2018q2</c:v>
                </c:pt>
                <c:pt idx="194">
                  <c:v>2018q3</c:v>
                </c:pt>
                <c:pt idx="195">
                  <c:v>2018q4</c:v>
                </c:pt>
                <c:pt idx="196">
                  <c:v>2019q1</c:v>
                </c:pt>
                <c:pt idx="197">
                  <c:v>2019q2</c:v>
                </c:pt>
                <c:pt idx="198">
                  <c:v>2019q3</c:v>
                </c:pt>
                <c:pt idx="199">
                  <c:v>2019q4</c:v>
                </c:pt>
                <c:pt idx="200">
                  <c:v>2020q1</c:v>
                </c:pt>
                <c:pt idx="201">
                  <c:v>2020q2</c:v>
                </c:pt>
                <c:pt idx="202">
                  <c:v>2020q3</c:v>
                </c:pt>
                <c:pt idx="203">
                  <c:v>2020q4</c:v>
                </c:pt>
                <c:pt idx="204">
                  <c:v>2021q1</c:v>
                </c:pt>
                <c:pt idx="205">
                  <c:v>2021q2</c:v>
                </c:pt>
                <c:pt idx="206">
                  <c:v>2021q3</c:v>
                </c:pt>
                <c:pt idx="207">
                  <c:v>2021q4</c:v>
                </c:pt>
                <c:pt idx="208">
                  <c:v>2022q1</c:v>
                </c:pt>
                <c:pt idx="209">
                  <c:v>2022q2</c:v>
                </c:pt>
                <c:pt idx="210">
                  <c:v>2022q3</c:v>
                </c:pt>
                <c:pt idx="211">
                  <c:v>2022q4</c:v>
                </c:pt>
                <c:pt idx="212">
                  <c:v>2023q1</c:v>
                </c:pt>
                <c:pt idx="213">
                  <c:v>2023q2</c:v>
                </c:pt>
                <c:pt idx="214">
                  <c:v>2023q3</c:v>
                </c:pt>
                <c:pt idx="215">
                  <c:v>2023q4</c:v>
                </c:pt>
                <c:pt idx="216">
                  <c:v>2024q1</c:v>
                </c:pt>
                <c:pt idx="217">
                  <c:v>2024q2</c:v>
                </c:pt>
                <c:pt idx="218">
                  <c:v>2024q3</c:v>
                </c:pt>
                <c:pt idx="219">
                  <c:v>2024q4</c:v>
                </c:pt>
                <c:pt idx="220">
                  <c:v>2025q1</c:v>
                </c:pt>
                <c:pt idx="221">
                  <c:v>2025q2</c:v>
                </c:pt>
              </c:strCache>
            </c:strRef>
          </c:cat>
          <c:val>
            <c:numRef>
              <c:f>spliced_housing_approvals!$C$2:$C$223</c:f>
              <c:numCache>
                <c:formatCode>General</c:formatCode>
                <c:ptCount val="222"/>
                <c:pt idx="93">
                  <c:v>259144</c:v>
                </c:pt>
                <c:pt idx="94">
                  <c:v>247303</c:v>
                </c:pt>
                <c:pt idx="95">
                  <c:v>243875</c:v>
                </c:pt>
                <c:pt idx="96">
                  <c:v>266887</c:v>
                </c:pt>
                <c:pt idx="97">
                  <c:v>258505</c:v>
                </c:pt>
                <c:pt idx="98">
                  <c:v>241860</c:v>
                </c:pt>
                <c:pt idx="99">
                  <c:v>249580</c:v>
                </c:pt>
                <c:pt idx="100">
                  <c:v>234373</c:v>
                </c:pt>
                <c:pt idx="101">
                  <c:v>214744</c:v>
                </c:pt>
                <c:pt idx="102">
                  <c:v>222949</c:v>
                </c:pt>
                <c:pt idx="103">
                  <c:v>244735</c:v>
                </c:pt>
                <c:pt idx="104">
                  <c:v>247838</c:v>
                </c:pt>
                <c:pt idx="105">
                  <c:v>254905</c:v>
                </c:pt>
                <c:pt idx="106">
                  <c:v>278021</c:v>
                </c:pt>
                <c:pt idx="107">
                  <c:v>303190</c:v>
                </c:pt>
                <c:pt idx="108">
                  <c:v>300066</c:v>
                </c:pt>
                <c:pt idx="109">
                  <c:v>310212</c:v>
                </c:pt>
                <c:pt idx="110">
                  <c:v>297125</c:v>
                </c:pt>
                <c:pt idx="111">
                  <c:v>256522</c:v>
                </c:pt>
                <c:pt idx="112">
                  <c:v>264204</c:v>
                </c:pt>
                <c:pt idx="113">
                  <c:v>261130</c:v>
                </c:pt>
                <c:pt idx="114">
                  <c:v>259321</c:v>
                </c:pt>
                <c:pt idx="115">
                  <c:v>250328</c:v>
                </c:pt>
                <c:pt idx="116">
                  <c:v>263131</c:v>
                </c:pt>
                <c:pt idx="117">
                  <c:v>291456</c:v>
                </c:pt>
                <c:pt idx="118">
                  <c:v>294619</c:v>
                </c:pt>
                <c:pt idx="119">
                  <c:v>286158</c:v>
                </c:pt>
                <c:pt idx="120">
                  <c:v>275007</c:v>
                </c:pt>
                <c:pt idx="121">
                  <c:v>284380</c:v>
                </c:pt>
                <c:pt idx="122">
                  <c:v>272094</c:v>
                </c:pt>
                <c:pt idx="123">
                  <c:v>290612</c:v>
                </c:pt>
                <c:pt idx="124">
                  <c:v>298518</c:v>
                </c:pt>
                <c:pt idx="125">
                  <c:v>320280</c:v>
                </c:pt>
                <c:pt idx="126">
                  <c:v>328540</c:v>
                </c:pt>
                <c:pt idx="127">
                  <c:v>309080</c:v>
                </c:pt>
                <c:pt idx="128">
                  <c:v>369166</c:v>
                </c:pt>
                <c:pt idx="129">
                  <c:v>357119</c:v>
                </c:pt>
                <c:pt idx="130">
                  <c:v>343150</c:v>
                </c:pt>
                <c:pt idx="131">
                  <c:v>352389</c:v>
                </c:pt>
                <c:pt idx="132">
                  <c:v>304369</c:v>
                </c:pt>
                <c:pt idx="133">
                  <c:v>307106</c:v>
                </c:pt>
                <c:pt idx="134">
                  <c:v>366273</c:v>
                </c:pt>
                <c:pt idx="135">
                  <c:v>393279</c:v>
                </c:pt>
                <c:pt idx="136">
                  <c:v>377534</c:v>
                </c:pt>
                <c:pt idx="137">
                  <c:v>352679</c:v>
                </c:pt>
                <c:pt idx="138">
                  <c:v>278713</c:v>
                </c:pt>
                <c:pt idx="139">
                  <c:v>243286</c:v>
                </c:pt>
                <c:pt idx="140">
                  <c:v>259619</c:v>
                </c:pt>
                <c:pt idx="141">
                  <c:v>287600</c:v>
                </c:pt>
                <c:pt idx="142">
                  <c:v>305394</c:v>
                </c:pt>
                <c:pt idx="143">
                  <c:v>344730</c:v>
                </c:pt>
                <c:pt idx="144">
                  <c:v>351308</c:v>
                </c:pt>
                <c:pt idx="145">
                  <c:v>344660</c:v>
                </c:pt>
                <c:pt idx="146">
                  <c:v>359382</c:v>
                </c:pt>
                <c:pt idx="147">
                  <c:v>373429</c:v>
                </c:pt>
                <c:pt idx="148">
                  <c:v>352178</c:v>
                </c:pt>
                <c:pt idx="149">
                  <c:v>337827</c:v>
                </c:pt>
                <c:pt idx="150">
                  <c:v>319826</c:v>
                </c:pt>
                <c:pt idx="151">
                  <c:v>239997</c:v>
                </c:pt>
                <c:pt idx="152">
                  <c:v>202894</c:v>
                </c:pt>
                <c:pt idx="153">
                  <c:v>133012</c:v>
                </c:pt>
                <c:pt idx="154">
                  <c:v>97965</c:v>
                </c:pt>
                <c:pt idx="155">
                  <c:v>89593</c:v>
                </c:pt>
                <c:pt idx="156">
                  <c:v>115313</c:v>
                </c:pt>
                <c:pt idx="157">
                  <c:v>143532</c:v>
                </c:pt>
                <c:pt idx="158">
                  <c:v>161606</c:v>
                </c:pt>
                <c:pt idx="159">
                  <c:v>171216</c:v>
                </c:pt>
                <c:pt idx="160">
                  <c:v>143571</c:v>
                </c:pt>
                <c:pt idx="161">
                  <c:v>149727</c:v>
                </c:pt>
                <c:pt idx="162">
                  <c:v>142785</c:v>
                </c:pt>
                <c:pt idx="163">
                  <c:v>134738</c:v>
                </c:pt>
                <c:pt idx="164">
                  <c:v>138742</c:v>
                </c:pt>
                <c:pt idx="165">
                  <c:v>142514</c:v>
                </c:pt>
                <c:pt idx="166">
                  <c:v>154697</c:v>
                </c:pt>
                <c:pt idx="167">
                  <c:v>155488</c:v>
                </c:pt>
                <c:pt idx="168">
                  <c:v>157217</c:v>
                </c:pt>
                <c:pt idx="169">
                  <c:v>149089</c:v>
                </c:pt>
                <c:pt idx="170">
                  <c:v>145693</c:v>
                </c:pt>
                <c:pt idx="171">
                  <c:v>159932</c:v>
                </c:pt>
                <c:pt idx="172">
                  <c:v>159340</c:v>
                </c:pt>
                <c:pt idx="173">
                  <c:v>174022</c:v>
                </c:pt>
                <c:pt idx="174">
                  <c:v>190774</c:v>
                </c:pt>
                <c:pt idx="175">
                  <c:v>210891</c:v>
                </c:pt>
                <c:pt idx="176">
                  <c:v>212330</c:v>
                </c:pt>
                <c:pt idx="177">
                  <c:v>195150</c:v>
                </c:pt>
                <c:pt idx="178">
                  <c:v>194316</c:v>
                </c:pt>
                <c:pt idx="179">
                  <c:v>180159</c:v>
                </c:pt>
                <c:pt idx="180">
                  <c:v>183169</c:v>
                </c:pt>
                <c:pt idx="181">
                  <c:v>202516</c:v>
                </c:pt>
                <c:pt idx="182">
                  <c:v>214218</c:v>
                </c:pt>
                <c:pt idx="183">
                  <c:v>211838</c:v>
                </c:pt>
                <c:pt idx="184">
                  <c:v>215040</c:v>
                </c:pt>
                <c:pt idx="185">
                  <c:v>202174</c:v>
                </c:pt>
                <c:pt idx="186">
                  <c:v>188296</c:v>
                </c:pt>
                <c:pt idx="187">
                  <c:v>204647</c:v>
                </c:pt>
                <c:pt idx="188">
                  <c:v>204113</c:v>
                </c:pt>
                <c:pt idx="189">
                  <c:v>198540</c:v>
                </c:pt>
                <c:pt idx="190">
                  <c:v>201799</c:v>
                </c:pt>
                <c:pt idx="191">
                  <c:v>193149</c:v>
                </c:pt>
                <c:pt idx="192">
                  <c:v>191862</c:v>
                </c:pt>
                <c:pt idx="193">
                  <c:v>194353</c:v>
                </c:pt>
                <c:pt idx="194">
                  <c:v>197621</c:v>
                </c:pt>
                <c:pt idx="195">
                  <c:v>197484</c:v>
                </c:pt>
                <c:pt idx="196">
                  <c:v>191381</c:v>
                </c:pt>
                <c:pt idx="197">
                  <c:v>198096</c:v>
                </c:pt>
                <c:pt idx="198">
                  <c:v>199581</c:v>
                </c:pt>
                <c:pt idx="199">
                  <c:v>200346</c:v>
                </c:pt>
                <c:pt idx="200">
                  <c:v>197168</c:v>
                </c:pt>
                <c:pt idx="201">
                  <c:v>65644</c:v>
                </c:pt>
                <c:pt idx="202">
                  <c:v>244595</c:v>
                </c:pt>
                <c:pt idx="203">
                  <c:v>311511</c:v>
                </c:pt>
                <c:pt idx="204">
                  <c:v>262330</c:v>
                </c:pt>
                <c:pt idx="205">
                  <c:v>250925</c:v>
                </c:pt>
                <c:pt idx="206">
                  <c:v>214135</c:v>
                </c:pt>
                <c:pt idx="207">
                  <c:v>209970</c:v>
                </c:pt>
                <c:pt idx="208">
                  <c:v>210732</c:v>
                </c:pt>
                <c:pt idx="209">
                  <c:v>195586</c:v>
                </c:pt>
                <c:pt idx="210">
                  <c:v>199694</c:v>
                </c:pt>
                <c:pt idx="211">
                  <c:v>145594</c:v>
                </c:pt>
                <c:pt idx="212">
                  <c:v>133600</c:v>
                </c:pt>
                <c:pt idx="213">
                  <c:v>154812</c:v>
                </c:pt>
                <c:pt idx="214">
                  <c:v>138423</c:v>
                </c:pt>
                <c:pt idx="215">
                  <c:v>150164</c:v>
                </c:pt>
                <c:pt idx="216">
                  <c:v>177092</c:v>
                </c:pt>
                <c:pt idx="217">
                  <c:v>184227</c:v>
                </c:pt>
                <c:pt idx="218">
                  <c:v>193107</c:v>
                </c:pt>
                <c:pt idx="219">
                  <c:v>200056</c:v>
                </c:pt>
                <c:pt idx="220">
                  <c:v>194998</c:v>
                </c:pt>
                <c:pt idx="221">
                  <c:v>188787</c:v>
                </c:pt>
              </c:numCache>
            </c:numRef>
          </c:val>
          <c:smooth val="0"/>
          <c:extLst>
            <c:ext xmlns:c16="http://schemas.microsoft.com/office/drawing/2014/chart" uri="{C3380CC4-5D6E-409C-BE32-E72D297353CC}">
              <c16:uniqueId val="{00000001-26A4-45FB-B71E-BB3CA1A8334E}"/>
            </c:ext>
          </c:extLst>
        </c:ser>
        <c:dLbls>
          <c:showLegendKey val="0"/>
          <c:showVal val="0"/>
          <c:showCatName val="0"/>
          <c:showSerName val="0"/>
          <c:showPercent val="0"/>
          <c:showBubbleSize val="0"/>
        </c:dLbls>
        <c:marker val="1"/>
        <c:smooth val="0"/>
        <c:axId val="855008672"/>
        <c:axId val="855005792"/>
      </c:lineChart>
      <c:catAx>
        <c:axId val="85499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83712"/>
        <c:crosses val="autoZero"/>
        <c:auto val="1"/>
        <c:lblAlgn val="ctr"/>
        <c:lblOffset val="100"/>
        <c:noMultiLvlLbl val="0"/>
      </c:catAx>
      <c:valAx>
        <c:axId val="85498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94752"/>
        <c:crosses val="autoZero"/>
        <c:crossBetween val="between"/>
      </c:valAx>
      <c:valAx>
        <c:axId val="8550057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08672"/>
        <c:crosses val="max"/>
        <c:crossBetween val="between"/>
      </c:valAx>
      <c:catAx>
        <c:axId val="855008672"/>
        <c:scaling>
          <c:orientation val="minMax"/>
        </c:scaling>
        <c:delete val="1"/>
        <c:axPos val="b"/>
        <c:numFmt formatCode="General" sourceLinked="1"/>
        <c:majorTickMark val="out"/>
        <c:minorTickMark val="none"/>
        <c:tickLblPos val="nextTo"/>
        <c:crossAx val="85500579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spliced_housing_approvals!$D$1</c:f>
              <c:strCache>
                <c:ptCount val="1"/>
                <c:pt idx="0">
                  <c:v>splice_ols</c:v>
                </c:pt>
              </c:strCache>
            </c:strRef>
          </c:tx>
          <c:spPr>
            <a:ln w="28575" cap="rnd">
              <a:solidFill>
                <a:schemeClr val="accent2"/>
              </a:solidFill>
              <a:round/>
            </a:ln>
            <a:effectLst/>
          </c:spPr>
          <c:marker>
            <c:symbol val="none"/>
          </c:marker>
          <c:cat>
            <c:strRef>
              <c:f>spliced_housing_approvals!$A$2:$A$223</c:f>
              <c:strCache>
                <c:ptCount val="222"/>
                <c:pt idx="0">
                  <c:v>1970q1</c:v>
                </c:pt>
                <c:pt idx="1">
                  <c:v>1970q2</c:v>
                </c:pt>
                <c:pt idx="2">
                  <c:v>1970q3</c:v>
                </c:pt>
                <c:pt idx="3">
                  <c:v>1970q4</c:v>
                </c:pt>
                <c:pt idx="4">
                  <c:v>1971q1</c:v>
                </c:pt>
                <c:pt idx="5">
                  <c:v>1971q2</c:v>
                </c:pt>
                <c:pt idx="6">
                  <c:v>1971q3</c:v>
                </c:pt>
                <c:pt idx="7">
                  <c:v>1971q4</c:v>
                </c:pt>
                <c:pt idx="8">
                  <c:v>1972q1</c:v>
                </c:pt>
                <c:pt idx="9">
                  <c:v>1972q2</c:v>
                </c:pt>
                <c:pt idx="10">
                  <c:v>1972q3</c:v>
                </c:pt>
                <c:pt idx="11">
                  <c:v>1972q4</c:v>
                </c:pt>
                <c:pt idx="12">
                  <c:v>1973q1</c:v>
                </c:pt>
                <c:pt idx="13">
                  <c:v>1973q2</c:v>
                </c:pt>
                <c:pt idx="14">
                  <c:v>1973q3</c:v>
                </c:pt>
                <c:pt idx="15">
                  <c:v>1973q4</c:v>
                </c:pt>
                <c:pt idx="16">
                  <c:v>1974q1</c:v>
                </c:pt>
                <c:pt idx="17">
                  <c:v>1974q2</c:v>
                </c:pt>
                <c:pt idx="18">
                  <c:v>1974q3</c:v>
                </c:pt>
                <c:pt idx="19">
                  <c:v>1974q4</c:v>
                </c:pt>
                <c:pt idx="20">
                  <c:v>1975q1</c:v>
                </c:pt>
                <c:pt idx="21">
                  <c:v>1975q2</c:v>
                </c:pt>
                <c:pt idx="22">
                  <c:v>1975q3</c:v>
                </c:pt>
                <c:pt idx="23">
                  <c:v>1975q4</c:v>
                </c:pt>
                <c:pt idx="24">
                  <c:v>1976q1</c:v>
                </c:pt>
                <c:pt idx="25">
                  <c:v>1976q2</c:v>
                </c:pt>
                <c:pt idx="26">
                  <c:v>1976q3</c:v>
                </c:pt>
                <c:pt idx="27">
                  <c:v>1976q4</c:v>
                </c:pt>
                <c:pt idx="28">
                  <c:v>1977q1</c:v>
                </c:pt>
                <c:pt idx="29">
                  <c:v>1977q2</c:v>
                </c:pt>
                <c:pt idx="30">
                  <c:v>1977q3</c:v>
                </c:pt>
                <c:pt idx="31">
                  <c:v>1977q4</c:v>
                </c:pt>
                <c:pt idx="32">
                  <c:v>1978q1</c:v>
                </c:pt>
                <c:pt idx="33">
                  <c:v>1978q2</c:v>
                </c:pt>
                <c:pt idx="34">
                  <c:v>1978q3</c:v>
                </c:pt>
                <c:pt idx="35">
                  <c:v>1978q4</c:v>
                </c:pt>
                <c:pt idx="36">
                  <c:v>1979q1</c:v>
                </c:pt>
                <c:pt idx="37">
                  <c:v>1979q2</c:v>
                </c:pt>
                <c:pt idx="38">
                  <c:v>1979q3</c:v>
                </c:pt>
                <c:pt idx="39">
                  <c:v>1979q4</c:v>
                </c:pt>
                <c:pt idx="40">
                  <c:v>1980q1</c:v>
                </c:pt>
                <c:pt idx="41">
                  <c:v>1980q2</c:v>
                </c:pt>
                <c:pt idx="42">
                  <c:v>1980q3</c:v>
                </c:pt>
                <c:pt idx="43">
                  <c:v>1980q4</c:v>
                </c:pt>
                <c:pt idx="44">
                  <c:v>1981q1</c:v>
                </c:pt>
                <c:pt idx="45">
                  <c:v>1981q2</c:v>
                </c:pt>
                <c:pt idx="46">
                  <c:v>1981q3</c:v>
                </c:pt>
                <c:pt idx="47">
                  <c:v>1981q4</c:v>
                </c:pt>
                <c:pt idx="48">
                  <c:v>1982q1</c:v>
                </c:pt>
                <c:pt idx="49">
                  <c:v>1982q2</c:v>
                </c:pt>
                <c:pt idx="50">
                  <c:v>1982q3</c:v>
                </c:pt>
                <c:pt idx="51">
                  <c:v>1982q4</c:v>
                </c:pt>
                <c:pt idx="52">
                  <c:v>1983q1</c:v>
                </c:pt>
                <c:pt idx="53">
                  <c:v>1983q2</c:v>
                </c:pt>
                <c:pt idx="54">
                  <c:v>1983q3</c:v>
                </c:pt>
                <c:pt idx="55">
                  <c:v>1983q4</c:v>
                </c:pt>
                <c:pt idx="56">
                  <c:v>1984q1</c:v>
                </c:pt>
                <c:pt idx="57">
                  <c:v>1984q2</c:v>
                </c:pt>
                <c:pt idx="58">
                  <c:v>1984q3</c:v>
                </c:pt>
                <c:pt idx="59">
                  <c:v>1984q4</c:v>
                </c:pt>
                <c:pt idx="60">
                  <c:v>1985q1</c:v>
                </c:pt>
                <c:pt idx="61">
                  <c:v>1985q2</c:v>
                </c:pt>
                <c:pt idx="62">
                  <c:v>1985q3</c:v>
                </c:pt>
                <c:pt idx="63">
                  <c:v>1985q4</c:v>
                </c:pt>
                <c:pt idx="64">
                  <c:v>1986q1</c:v>
                </c:pt>
                <c:pt idx="65">
                  <c:v>1986q2</c:v>
                </c:pt>
                <c:pt idx="66">
                  <c:v>1986q3</c:v>
                </c:pt>
                <c:pt idx="67">
                  <c:v>1986q4</c:v>
                </c:pt>
                <c:pt idx="68">
                  <c:v>1987q1</c:v>
                </c:pt>
                <c:pt idx="69">
                  <c:v>1987q2</c:v>
                </c:pt>
                <c:pt idx="70">
                  <c:v>1987q3</c:v>
                </c:pt>
                <c:pt idx="71">
                  <c:v>1987q4</c:v>
                </c:pt>
                <c:pt idx="72">
                  <c:v>1988q1</c:v>
                </c:pt>
                <c:pt idx="73">
                  <c:v>1988q2</c:v>
                </c:pt>
                <c:pt idx="74">
                  <c:v>1988q3</c:v>
                </c:pt>
                <c:pt idx="75">
                  <c:v>1988q4</c:v>
                </c:pt>
                <c:pt idx="76">
                  <c:v>1989q1</c:v>
                </c:pt>
                <c:pt idx="77">
                  <c:v>1989q2</c:v>
                </c:pt>
                <c:pt idx="78">
                  <c:v>1989q3</c:v>
                </c:pt>
                <c:pt idx="79">
                  <c:v>1989q4</c:v>
                </c:pt>
                <c:pt idx="80">
                  <c:v>1990q1</c:v>
                </c:pt>
                <c:pt idx="81">
                  <c:v>1990q2</c:v>
                </c:pt>
                <c:pt idx="82">
                  <c:v>1990q3</c:v>
                </c:pt>
                <c:pt idx="83">
                  <c:v>1990q4</c:v>
                </c:pt>
                <c:pt idx="84">
                  <c:v>1991q1</c:v>
                </c:pt>
                <c:pt idx="85">
                  <c:v>1991q2</c:v>
                </c:pt>
                <c:pt idx="86">
                  <c:v>1991q3</c:v>
                </c:pt>
                <c:pt idx="87">
                  <c:v>1991q4</c:v>
                </c:pt>
                <c:pt idx="88">
                  <c:v>1992q1</c:v>
                </c:pt>
                <c:pt idx="89">
                  <c:v>1992q2</c:v>
                </c:pt>
                <c:pt idx="90">
                  <c:v>1992q3</c:v>
                </c:pt>
                <c:pt idx="91">
                  <c:v>1992q4</c:v>
                </c:pt>
                <c:pt idx="92">
                  <c:v>1993q1</c:v>
                </c:pt>
                <c:pt idx="93">
                  <c:v>1993q2</c:v>
                </c:pt>
                <c:pt idx="94">
                  <c:v>1993q3</c:v>
                </c:pt>
                <c:pt idx="95">
                  <c:v>1993q4</c:v>
                </c:pt>
                <c:pt idx="96">
                  <c:v>1994q1</c:v>
                </c:pt>
                <c:pt idx="97">
                  <c:v>1994q2</c:v>
                </c:pt>
                <c:pt idx="98">
                  <c:v>1994q3</c:v>
                </c:pt>
                <c:pt idx="99">
                  <c:v>1994q4</c:v>
                </c:pt>
                <c:pt idx="100">
                  <c:v>1995q1</c:v>
                </c:pt>
                <c:pt idx="101">
                  <c:v>1995q2</c:v>
                </c:pt>
                <c:pt idx="102">
                  <c:v>1995q3</c:v>
                </c:pt>
                <c:pt idx="103">
                  <c:v>1995q4</c:v>
                </c:pt>
                <c:pt idx="104">
                  <c:v>1996q1</c:v>
                </c:pt>
                <c:pt idx="105">
                  <c:v>1996q2</c:v>
                </c:pt>
                <c:pt idx="106">
                  <c:v>1996q3</c:v>
                </c:pt>
                <c:pt idx="107">
                  <c:v>1996q4</c:v>
                </c:pt>
                <c:pt idx="108">
                  <c:v>1997q1</c:v>
                </c:pt>
                <c:pt idx="109">
                  <c:v>1997q2</c:v>
                </c:pt>
                <c:pt idx="110">
                  <c:v>1997q3</c:v>
                </c:pt>
                <c:pt idx="111">
                  <c:v>1997q4</c:v>
                </c:pt>
                <c:pt idx="112">
                  <c:v>1998q1</c:v>
                </c:pt>
                <c:pt idx="113">
                  <c:v>1998q2</c:v>
                </c:pt>
                <c:pt idx="114">
                  <c:v>1998q3</c:v>
                </c:pt>
                <c:pt idx="115">
                  <c:v>1998q4</c:v>
                </c:pt>
                <c:pt idx="116">
                  <c:v>1999q1</c:v>
                </c:pt>
                <c:pt idx="117">
                  <c:v>1999q2</c:v>
                </c:pt>
                <c:pt idx="118">
                  <c:v>1999q3</c:v>
                </c:pt>
                <c:pt idx="119">
                  <c:v>1999q4</c:v>
                </c:pt>
                <c:pt idx="120">
                  <c:v>2000q1</c:v>
                </c:pt>
                <c:pt idx="121">
                  <c:v>2000q2</c:v>
                </c:pt>
                <c:pt idx="122">
                  <c:v>2000q3</c:v>
                </c:pt>
                <c:pt idx="123">
                  <c:v>2000q4</c:v>
                </c:pt>
                <c:pt idx="124">
                  <c:v>2001q1</c:v>
                </c:pt>
                <c:pt idx="125">
                  <c:v>2001q2</c:v>
                </c:pt>
                <c:pt idx="126">
                  <c:v>2001q3</c:v>
                </c:pt>
                <c:pt idx="127">
                  <c:v>2001q4</c:v>
                </c:pt>
                <c:pt idx="128">
                  <c:v>2002q1</c:v>
                </c:pt>
                <c:pt idx="129">
                  <c:v>2002q2</c:v>
                </c:pt>
                <c:pt idx="130">
                  <c:v>2002q3</c:v>
                </c:pt>
                <c:pt idx="131">
                  <c:v>2002q4</c:v>
                </c:pt>
                <c:pt idx="132">
                  <c:v>2003q1</c:v>
                </c:pt>
                <c:pt idx="133">
                  <c:v>2003q2</c:v>
                </c:pt>
                <c:pt idx="134">
                  <c:v>2003q3</c:v>
                </c:pt>
                <c:pt idx="135">
                  <c:v>2003q4</c:v>
                </c:pt>
                <c:pt idx="136">
                  <c:v>2004q1</c:v>
                </c:pt>
                <c:pt idx="137">
                  <c:v>2004q2</c:v>
                </c:pt>
                <c:pt idx="138">
                  <c:v>2004q3</c:v>
                </c:pt>
                <c:pt idx="139">
                  <c:v>2004q4</c:v>
                </c:pt>
                <c:pt idx="140">
                  <c:v>2005q1</c:v>
                </c:pt>
                <c:pt idx="141">
                  <c:v>2005q2</c:v>
                </c:pt>
                <c:pt idx="142">
                  <c:v>2005q3</c:v>
                </c:pt>
                <c:pt idx="143">
                  <c:v>2005q4</c:v>
                </c:pt>
                <c:pt idx="144">
                  <c:v>2006q1</c:v>
                </c:pt>
                <c:pt idx="145">
                  <c:v>2006q2</c:v>
                </c:pt>
                <c:pt idx="146">
                  <c:v>2006q3</c:v>
                </c:pt>
                <c:pt idx="147">
                  <c:v>2006q4</c:v>
                </c:pt>
                <c:pt idx="148">
                  <c:v>2007q1</c:v>
                </c:pt>
                <c:pt idx="149">
                  <c:v>2007q2</c:v>
                </c:pt>
                <c:pt idx="150">
                  <c:v>2007q3</c:v>
                </c:pt>
                <c:pt idx="151">
                  <c:v>2007q4</c:v>
                </c:pt>
                <c:pt idx="152">
                  <c:v>2008q1</c:v>
                </c:pt>
                <c:pt idx="153">
                  <c:v>2008q2</c:v>
                </c:pt>
                <c:pt idx="154">
                  <c:v>2008q3</c:v>
                </c:pt>
                <c:pt idx="155">
                  <c:v>2008q4</c:v>
                </c:pt>
                <c:pt idx="156">
                  <c:v>2009q1</c:v>
                </c:pt>
                <c:pt idx="157">
                  <c:v>2009q2</c:v>
                </c:pt>
                <c:pt idx="158">
                  <c:v>2009q3</c:v>
                </c:pt>
                <c:pt idx="159">
                  <c:v>2009q4</c:v>
                </c:pt>
                <c:pt idx="160">
                  <c:v>2010q1</c:v>
                </c:pt>
                <c:pt idx="161">
                  <c:v>2010q2</c:v>
                </c:pt>
                <c:pt idx="162">
                  <c:v>2010q3</c:v>
                </c:pt>
                <c:pt idx="163">
                  <c:v>2010q4</c:v>
                </c:pt>
                <c:pt idx="164">
                  <c:v>2011q1</c:v>
                </c:pt>
                <c:pt idx="165">
                  <c:v>2011q2</c:v>
                </c:pt>
                <c:pt idx="166">
                  <c:v>2011q3</c:v>
                </c:pt>
                <c:pt idx="167">
                  <c:v>2011q4</c:v>
                </c:pt>
                <c:pt idx="168">
                  <c:v>2012q1</c:v>
                </c:pt>
                <c:pt idx="169">
                  <c:v>2012q2</c:v>
                </c:pt>
                <c:pt idx="170">
                  <c:v>2012q3</c:v>
                </c:pt>
                <c:pt idx="171">
                  <c:v>2012q4</c:v>
                </c:pt>
                <c:pt idx="172">
                  <c:v>2013q1</c:v>
                </c:pt>
                <c:pt idx="173">
                  <c:v>2013q2</c:v>
                </c:pt>
                <c:pt idx="174">
                  <c:v>2013q3</c:v>
                </c:pt>
                <c:pt idx="175">
                  <c:v>2013q4</c:v>
                </c:pt>
                <c:pt idx="176">
                  <c:v>2014q1</c:v>
                </c:pt>
                <c:pt idx="177">
                  <c:v>2014q2</c:v>
                </c:pt>
                <c:pt idx="178">
                  <c:v>2014q3</c:v>
                </c:pt>
                <c:pt idx="179">
                  <c:v>2014q4</c:v>
                </c:pt>
                <c:pt idx="180">
                  <c:v>2015q1</c:v>
                </c:pt>
                <c:pt idx="181">
                  <c:v>2015q2</c:v>
                </c:pt>
                <c:pt idx="182">
                  <c:v>2015q3</c:v>
                </c:pt>
                <c:pt idx="183">
                  <c:v>2015q4</c:v>
                </c:pt>
                <c:pt idx="184">
                  <c:v>2016q1</c:v>
                </c:pt>
                <c:pt idx="185">
                  <c:v>2016q2</c:v>
                </c:pt>
                <c:pt idx="186">
                  <c:v>2016q3</c:v>
                </c:pt>
                <c:pt idx="187">
                  <c:v>2016q4</c:v>
                </c:pt>
                <c:pt idx="188">
                  <c:v>2017q1</c:v>
                </c:pt>
                <c:pt idx="189">
                  <c:v>2017q2</c:v>
                </c:pt>
                <c:pt idx="190">
                  <c:v>2017q3</c:v>
                </c:pt>
                <c:pt idx="191">
                  <c:v>2017q4</c:v>
                </c:pt>
                <c:pt idx="192">
                  <c:v>2018q1</c:v>
                </c:pt>
                <c:pt idx="193">
                  <c:v>2018q2</c:v>
                </c:pt>
                <c:pt idx="194">
                  <c:v>2018q3</c:v>
                </c:pt>
                <c:pt idx="195">
                  <c:v>2018q4</c:v>
                </c:pt>
                <c:pt idx="196">
                  <c:v>2019q1</c:v>
                </c:pt>
                <c:pt idx="197">
                  <c:v>2019q2</c:v>
                </c:pt>
                <c:pt idx="198">
                  <c:v>2019q3</c:v>
                </c:pt>
                <c:pt idx="199">
                  <c:v>2019q4</c:v>
                </c:pt>
                <c:pt idx="200">
                  <c:v>2020q1</c:v>
                </c:pt>
                <c:pt idx="201">
                  <c:v>2020q2</c:v>
                </c:pt>
                <c:pt idx="202">
                  <c:v>2020q3</c:v>
                </c:pt>
                <c:pt idx="203">
                  <c:v>2020q4</c:v>
                </c:pt>
                <c:pt idx="204">
                  <c:v>2021q1</c:v>
                </c:pt>
                <c:pt idx="205">
                  <c:v>2021q2</c:v>
                </c:pt>
                <c:pt idx="206">
                  <c:v>2021q3</c:v>
                </c:pt>
                <c:pt idx="207">
                  <c:v>2021q4</c:v>
                </c:pt>
                <c:pt idx="208">
                  <c:v>2022q1</c:v>
                </c:pt>
                <c:pt idx="209">
                  <c:v>2022q2</c:v>
                </c:pt>
                <c:pt idx="210">
                  <c:v>2022q3</c:v>
                </c:pt>
                <c:pt idx="211">
                  <c:v>2022q4</c:v>
                </c:pt>
                <c:pt idx="212">
                  <c:v>2023q1</c:v>
                </c:pt>
                <c:pt idx="213">
                  <c:v>2023q2</c:v>
                </c:pt>
                <c:pt idx="214">
                  <c:v>2023q3</c:v>
                </c:pt>
                <c:pt idx="215">
                  <c:v>2023q4</c:v>
                </c:pt>
                <c:pt idx="216">
                  <c:v>2024q1</c:v>
                </c:pt>
                <c:pt idx="217">
                  <c:v>2024q2</c:v>
                </c:pt>
                <c:pt idx="218">
                  <c:v>2024q3</c:v>
                </c:pt>
                <c:pt idx="219">
                  <c:v>2024q4</c:v>
                </c:pt>
                <c:pt idx="220">
                  <c:v>2025q1</c:v>
                </c:pt>
                <c:pt idx="221">
                  <c:v>2025q2</c:v>
                </c:pt>
              </c:strCache>
            </c:strRef>
          </c:cat>
          <c:val>
            <c:numRef>
              <c:f>spliced_housing_approvals!$D$2:$D$223</c:f>
              <c:numCache>
                <c:formatCode>General</c:formatCode>
                <c:ptCount val="222"/>
                <c:pt idx="0">
                  <c:v>212424.40884033879</c:v>
                </c:pt>
                <c:pt idx="1">
                  <c:v>188184.35176923938</c:v>
                </c:pt>
                <c:pt idx="2">
                  <c:v>216287.50479854702</c:v>
                </c:pt>
                <c:pt idx="3">
                  <c:v>194646.04681044654</c:v>
                </c:pt>
                <c:pt idx="4">
                  <c:v>205363.09286117402</c:v>
                </c:pt>
                <c:pt idx="5">
                  <c:v>216618.1301283036</c:v>
                </c:pt>
                <c:pt idx="6">
                  <c:v>222942.78967099322</c:v>
                </c:pt>
                <c:pt idx="7">
                  <c:v>263883.0511725375</c:v>
                </c:pt>
                <c:pt idx="8">
                  <c:v>302185.56059150642</c:v>
                </c:pt>
                <c:pt idx="9">
                  <c:v>371525.52284137241</c:v>
                </c:pt>
                <c:pt idx="10">
                  <c:v>435311.55959576642</c:v>
                </c:pt>
                <c:pt idx="11">
                  <c:v>452117.6221361772</c:v>
                </c:pt>
                <c:pt idx="12">
                  <c:v>501754.19987697626</c:v>
                </c:pt>
                <c:pt idx="13">
                  <c:v>446148.23981186631</c:v>
                </c:pt>
                <c:pt idx="14">
                  <c:v>377355.69450052269</c:v>
                </c:pt>
                <c:pt idx="15">
                  <c:v>310712.93888814439</c:v>
                </c:pt>
                <c:pt idx="16">
                  <c:v>217148.87078922859</c:v>
                </c:pt>
                <c:pt idx="17">
                  <c:v>167238.22205139449</c:v>
                </c:pt>
                <c:pt idx="18">
                  <c:v>130589.56433675608</c:v>
                </c:pt>
                <c:pt idx="19">
                  <c:v>126076.09355225042</c:v>
                </c:pt>
                <c:pt idx="20">
                  <c:v>115557.71272159598</c:v>
                </c:pt>
                <c:pt idx="21">
                  <c:v>110721.59221835856</c:v>
                </c:pt>
                <c:pt idx="22">
                  <c:v>111725.79415193935</c:v>
                </c:pt>
                <c:pt idx="23">
                  <c:v>118576.11896672001</c:v>
                </c:pt>
                <c:pt idx="24">
                  <c:v>138496.29508455278</c:v>
                </c:pt>
                <c:pt idx="25">
                  <c:v>176437.72684076123</c:v>
                </c:pt>
                <c:pt idx="26">
                  <c:v>181281.09789947578</c:v>
                </c:pt>
                <c:pt idx="27">
                  <c:v>180651.74968406197</c:v>
                </c:pt>
                <c:pt idx="28">
                  <c:v>157234.63065961539</c:v>
                </c:pt>
                <c:pt idx="29">
                  <c:v>146271.06572266592</c:v>
                </c:pt>
                <c:pt idx="30">
                  <c:v>155153.72123768265</c:v>
                </c:pt>
                <c:pt idx="31">
                  <c:v>187103.29394760117</c:v>
                </c:pt>
                <c:pt idx="32">
                  <c:v>221737.7473506963</c:v>
                </c:pt>
                <c:pt idx="33">
                  <c:v>257105.23191252802</c:v>
                </c:pt>
                <c:pt idx="34">
                  <c:v>286801.3319801584</c:v>
                </c:pt>
                <c:pt idx="35">
                  <c:v>316118.9530518832</c:v>
                </c:pt>
                <c:pt idx="36">
                  <c:v>334705.75201747409</c:v>
                </c:pt>
                <c:pt idx="37">
                  <c:v>353703.6574786175</c:v>
                </c:pt>
                <c:pt idx="38">
                  <c:v>324953.75490075094</c:v>
                </c:pt>
                <c:pt idx="39">
                  <c:v>305144.51228171808</c:v>
                </c:pt>
                <c:pt idx="40">
                  <c:v>294472.41967494879</c:v>
                </c:pt>
                <c:pt idx="41">
                  <c:v>244998.25437683711</c:v>
                </c:pt>
                <c:pt idx="42">
                  <c:v>248177.62295355316</c:v>
                </c:pt>
                <c:pt idx="43">
                  <c:v>212752.13394790451</c:v>
                </c:pt>
                <c:pt idx="44">
                  <c:v>185693.06090730178</c:v>
                </c:pt>
                <c:pt idx="45">
                  <c:v>183422.18693186858</c:v>
                </c:pt>
                <c:pt idx="46">
                  <c:v>168298.25326214905</c:v>
                </c:pt>
                <c:pt idx="47">
                  <c:v>151803.23955170665</c:v>
                </c:pt>
                <c:pt idx="48">
                  <c:v>144472.20290879306</c:v>
                </c:pt>
                <c:pt idx="49">
                  <c:v>163335.97309360982</c:v>
                </c:pt>
                <c:pt idx="50">
                  <c:v>177587.66493943208</c:v>
                </c:pt>
                <c:pt idx="51">
                  <c:v>205312.3389728342</c:v>
                </c:pt>
                <c:pt idx="52">
                  <c:v>249197.77610918361</c:v>
                </c:pt>
                <c:pt idx="53">
                  <c:v>255777.6552046678</c:v>
                </c:pt>
                <c:pt idx="54">
                  <c:v>266068.36859334074</c:v>
                </c:pt>
                <c:pt idx="55">
                  <c:v>262219.77374608675</c:v>
                </c:pt>
                <c:pt idx="56">
                  <c:v>248251.57861941977</c:v>
                </c:pt>
                <c:pt idx="57">
                  <c:v>242375.003405216</c:v>
                </c:pt>
                <c:pt idx="58">
                  <c:v>244294.95049555672</c:v>
                </c:pt>
                <c:pt idx="59">
                  <c:v>250150.49909887684</c:v>
                </c:pt>
                <c:pt idx="60">
                  <c:v>238329.91850453211</c:v>
                </c:pt>
                <c:pt idx="61">
                  <c:v>239020.89644150142</c:v>
                </c:pt>
                <c:pt idx="62">
                  <c:v>227966.699561088</c:v>
                </c:pt>
                <c:pt idx="63">
                  <c:v>243961.42494360931</c:v>
                </c:pt>
                <c:pt idx="64">
                  <c:v>264275.30622384959</c:v>
                </c:pt>
                <c:pt idx="65">
                  <c:v>279041.06245299947</c:v>
                </c:pt>
                <c:pt idx="66">
                  <c:v>295718.06510591757</c:v>
                </c:pt>
                <c:pt idx="67">
                  <c:v>291934.00020240992</c:v>
                </c:pt>
                <c:pt idx="68">
                  <c:v>296477.9233199195</c:v>
                </c:pt>
                <c:pt idx="69">
                  <c:v>298245.60874524072</c:v>
                </c:pt>
                <c:pt idx="70">
                  <c:v>304381.0287899776</c:v>
                </c:pt>
                <c:pt idx="71">
                  <c:v>327153.57343250845</c:v>
                </c:pt>
                <c:pt idx="72">
                  <c:v>339785.49118474266</c:v>
                </c:pt>
                <c:pt idx="73">
                  <c:v>346814.17966426036</c:v>
                </c:pt>
                <c:pt idx="74">
                  <c:v>408543.23382979608</c:v>
                </c:pt>
                <c:pt idx="75">
                  <c:v>408889.0853260546</c:v>
                </c:pt>
                <c:pt idx="76">
                  <c:v>385488.64257920545</c:v>
                </c:pt>
                <c:pt idx="77">
                  <c:v>361920.71200083481</c:v>
                </c:pt>
                <c:pt idx="78">
                  <c:v>288127.45857692318</c:v>
                </c:pt>
                <c:pt idx="79">
                  <c:v>223367.67222195232</c:v>
                </c:pt>
                <c:pt idx="80">
                  <c:v>191493.50528899583</c:v>
                </c:pt>
                <c:pt idx="81">
                  <c:v>155582.2290663803</c:v>
                </c:pt>
                <c:pt idx="82">
                  <c:v>139414.94046350359</c:v>
                </c:pt>
                <c:pt idx="83">
                  <c:v>140060.23990096705</c:v>
                </c:pt>
                <c:pt idx="84">
                  <c:v>150271.92223493941</c:v>
                </c:pt>
                <c:pt idx="85">
                  <c:v>144652.01668462559</c:v>
                </c:pt>
                <c:pt idx="86">
                  <c:v>149243.06841273644</c:v>
                </c:pt>
                <c:pt idx="87">
                  <c:v>159414.87269158463</c:v>
                </c:pt>
                <c:pt idx="88">
                  <c:v>157934.30926315725</c:v>
                </c:pt>
                <c:pt idx="89">
                  <c:v>160685.17001117562</c:v>
                </c:pt>
                <c:pt idx="90">
                  <c:v>157476.0741570034</c:v>
                </c:pt>
                <c:pt idx="91">
                  <c:v>140000.06029050698</c:v>
                </c:pt>
                <c:pt idx="92">
                  <c:v>156141.97194921377</c:v>
                </c:pt>
                <c:pt idx="93">
                  <c:v>259144</c:v>
                </c:pt>
                <c:pt idx="94">
                  <c:v>247303</c:v>
                </c:pt>
                <c:pt idx="95">
                  <c:v>243875</c:v>
                </c:pt>
                <c:pt idx="96">
                  <c:v>266887</c:v>
                </c:pt>
                <c:pt idx="97">
                  <c:v>258505</c:v>
                </c:pt>
                <c:pt idx="98">
                  <c:v>241860</c:v>
                </c:pt>
                <c:pt idx="99">
                  <c:v>249580</c:v>
                </c:pt>
                <c:pt idx="100">
                  <c:v>234373</c:v>
                </c:pt>
                <c:pt idx="101">
                  <c:v>214744</c:v>
                </c:pt>
                <c:pt idx="102">
                  <c:v>222949</c:v>
                </c:pt>
                <c:pt idx="103">
                  <c:v>244735</c:v>
                </c:pt>
                <c:pt idx="104">
                  <c:v>247838</c:v>
                </c:pt>
                <c:pt idx="105">
                  <c:v>254905</c:v>
                </c:pt>
                <c:pt idx="106">
                  <c:v>278021</c:v>
                </c:pt>
                <c:pt idx="107">
                  <c:v>303190</c:v>
                </c:pt>
                <c:pt idx="108">
                  <c:v>300066</c:v>
                </c:pt>
                <c:pt idx="109">
                  <c:v>310212</c:v>
                </c:pt>
                <c:pt idx="110">
                  <c:v>297125</c:v>
                </c:pt>
                <c:pt idx="111">
                  <c:v>256522</c:v>
                </c:pt>
                <c:pt idx="112">
                  <c:v>264204</c:v>
                </c:pt>
                <c:pt idx="113">
                  <c:v>261130</c:v>
                </c:pt>
                <c:pt idx="114">
                  <c:v>259321</c:v>
                </c:pt>
                <c:pt idx="115">
                  <c:v>250328</c:v>
                </c:pt>
                <c:pt idx="116">
                  <c:v>263131</c:v>
                </c:pt>
                <c:pt idx="117">
                  <c:v>291456</c:v>
                </c:pt>
                <c:pt idx="118">
                  <c:v>294619</c:v>
                </c:pt>
                <c:pt idx="119">
                  <c:v>286158</c:v>
                </c:pt>
                <c:pt idx="120">
                  <c:v>275007</c:v>
                </c:pt>
                <c:pt idx="121">
                  <c:v>284380</c:v>
                </c:pt>
                <c:pt idx="122">
                  <c:v>272094</c:v>
                </c:pt>
                <c:pt idx="123">
                  <c:v>290612</c:v>
                </c:pt>
                <c:pt idx="124">
                  <c:v>298518</c:v>
                </c:pt>
                <c:pt idx="125">
                  <c:v>320280</c:v>
                </c:pt>
                <c:pt idx="126">
                  <c:v>328540</c:v>
                </c:pt>
                <c:pt idx="127">
                  <c:v>309080</c:v>
                </c:pt>
                <c:pt idx="128">
                  <c:v>369166</c:v>
                </c:pt>
                <c:pt idx="129">
                  <c:v>357119</c:v>
                </c:pt>
                <c:pt idx="130">
                  <c:v>343150</c:v>
                </c:pt>
                <c:pt idx="131">
                  <c:v>352389</c:v>
                </c:pt>
                <c:pt idx="132">
                  <c:v>304369</c:v>
                </c:pt>
                <c:pt idx="133">
                  <c:v>307106</c:v>
                </c:pt>
                <c:pt idx="134">
                  <c:v>366273</c:v>
                </c:pt>
                <c:pt idx="135">
                  <c:v>393279</c:v>
                </c:pt>
                <c:pt idx="136">
                  <c:v>377534</c:v>
                </c:pt>
                <c:pt idx="137">
                  <c:v>352679</c:v>
                </c:pt>
                <c:pt idx="138">
                  <c:v>278713</c:v>
                </c:pt>
                <c:pt idx="139">
                  <c:v>243286</c:v>
                </c:pt>
                <c:pt idx="140">
                  <c:v>259619</c:v>
                </c:pt>
                <c:pt idx="141">
                  <c:v>287600</c:v>
                </c:pt>
                <c:pt idx="142">
                  <c:v>305394</c:v>
                </c:pt>
                <c:pt idx="143">
                  <c:v>344730</c:v>
                </c:pt>
                <c:pt idx="144">
                  <c:v>351308</c:v>
                </c:pt>
                <c:pt idx="145">
                  <c:v>344660</c:v>
                </c:pt>
                <c:pt idx="146">
                  <c:v>359382</c:v>
                </c:pt>
                <c:pt idx="147">
                  <c:v>373429</c:v>
                </c:pt>
                <c:pt idx="148">
                  <c:v>352178</c:v>
                </c:pt>
                <c:pt idx="149">
                  <c:v>337827</c:v>
                </c:pt>
                <c:pt idx="150">
                  <c:v>319826</c:v>
                </c:pt>
                <c:pt idx="151">
                  <c:v>239997</c:v>
                </c:pt>
                <c:pt idx="152">
                  <c:v>202894</c:v>
                </c:pt>
                <c:pt idx="153">
                  <c:v>133012</c:v>
                </c:pt>
                <c:pt idx="154">
                  <c:v>97965</c:v>
                </c:pt>
                <c:pt idx="155">
                  <c:v>89593</c:v>
                </c:pt>
                <c:pt idx="156">
                  <c:v>115313</c:v>
                </c:pt>
                <c:pt idx="157">
                  <c:v>143532</c:v>
                </c:pt>
                <c:pt idx="158">
                  <c:v>161606</c:v>
                </c:pt>
                <c:pt idx="159">
                  <c:v>171216</c:v>
                </c:pt>
                <c:pt idx="160">
                  <c:v>143571</c:v>
                </c:pt>
                <c:pt idx="161">
                  <c:v>149727</c:v>
                </c:pt>
                <c:pt idx="162">
                  <c:v>142785</c:v>
                </c:pt>
                <c:pt idx="163">
                  <c:v>134738</c:v>
                </c:pt>
                <c:pt idx="164">
                  <c:v>138742</c:v>
                </c:pt>
                <c:pt idx="165">
                  <c:v>142514</c:v>
                </c:pt>
                <c:pt idx="166">
                  <c:v>154697</c:v>
                </c:pt>
                <c:pt idx="167">
                  <c:v>155488</c:v>
                </c:pt>
                <c:pt idx="168">
                  <c:v>157217</c:v>
                </c:pt>
                <c:pt idx="169">
                  <c:v>149089</c:v>
                </c:pt>
                <c:pt idx="170">
                  <c:v>145693</c:v>
                </c:pt>
                <c:pt idx="171">
                  <c:v>159932</c:v>
                </c:pt>
                <c:pt idx="172">
                  <c:v>159340</c:v>
                </c:pt>
                <c:pt idx="173">
                  <c:v>174022</c:v>
                </c:pt>
                <c:pt idx="174">
                  <c:v>190774</c:v>
                </c:pt>
                <c:pt idx="175">
                  <c:v>210891</c:v>
                </c:pt>
                <c:pt idx="176">
                  <c:v>212330</c:v>
                </c:pt>
                <c:pt idx="177">
                  <c:v>195150</c:v>
                </c:pt>
                <c:pt idx="178">
                  <c:v>194316</c:v>
                </c:pt>
                <c:pt idx="179">
                  <c:v>180159</c:v>
                </c:pt>
                <c:pt idx="180">
                  <c:v>183169</c:v>
                </c:pt>
                <c:pt idx="181">
                  <c:v>202516</c:v>
                </c:pt>
                <c:pt idx="182">
                  <c:v>214218</c:v>
                </c:pt>
                <c:pt idx="183">
                  <c:v>211838</c:v>
                </c:pt>
                <c:pt idx="184">
                  <c:v>215040</c:v>
                </c:pt>
                <c:pt idx="185">
                  <c:v>202174</c:v>
                </c:pt>
                <c:pt idx="186">
                  <c:v>188296</c:v>
                </c:pt>
                <c:pt idx="187">
                  <c:v>204647</c:v>
                </c:pt>
                <c:pt idx="188">
                  <c:v>204113</c:v>
                </c:pt>
                <c:pt idx="189">
                  <c:v>198540</c:v>
                </c:pt>
                <c:pt idx="190">
                  <c:v>201799</c:v>
                </c:pt>
                <c:pt idx="191">
                  <c:v>193149</c:v>
                </c:pt>
                <c:pt idx="192">
                  <c:v>191862</c:v>
                </c:pt>
                <c:pt idx="193">
                  <c:v>194353</c:v>
                </c:pt>
                <c:pt idx="194">
                  <c:v>197621</c:v>
                </c:pt>
                <c:pt idx="195">
                  <c:v>197484</c:v>
                </c:pt>
                <c:pt idx="196">
                  <c:v>191381</c:v>
                </c:pt>
                <c:pt idx="197">
                  <c:v>198096</c:v>
                </c:pt>
                <c:pt idx="198">
                  <c:v>199581</c:v>
                </c:pt>
                <c:pt idx="199">
                  <c:v>200346</c:v>
                </c:pt>
                <c:pt idx="200">
                  <c:v>197168</c:v>
                </c:pt>
                <c:pt idx="201">
                  <c:v>65644</c:v>
                </c:pt>
                <c:pt idx="202">
                  <c:v>244595</c:v>
                </c:pt>
                <c:pt idx="203">
                  <c:v>311511</c:v>
                </c:pt>
                <c:pt idx="204">
                  <c:v>262330</c:v>
                </c:pt>
                <c:pt idx="205">
                  <c:v>250925</c:v>
                </c:pt>
                <c:pt idx="206">
                  <c:v>214135</c:v>
                </c:pt>
                <c:pt idx="207">
                  <c:v>209970</c:v>
                </c:pt>
                <c:pt idx="208">
                  <c:v>210732</c:v>
                </c:pt>
                <c:pt idx="209">
                  <c:v>195586</c:v>
                </c:pt>
                <c:pt idx="210">
                  <c:v>199694</c:v>
                </c:pt>
                <c:pt idx="211">
                  <c:v>145594</c:v>
                </c:pt>
                <c:pt idx="212">
                  <c:v>133600</c:v>
                </c:pt>
                <c:pt idx="213">
                  <c:v>154812</c:v>
                </c:pt>
                <c:pt idx="214">
                  <c:v>138423</c:v>
                </c:pt>
                <c:pt idx="215">
                  <c:v>150164</c:v>
                </c:pt>
                <c:pt idx="216">
                  <c:v>177092</c:v>
                </c:pt>
                <c:pt idx="217">
                  <c:v>184227</c:v>
                </c:pt>
                <c:pt idx="218">
                  <c:v>193107</c:v>
                </c:pt>
                <c:pt idx="219">
                  <c:v>200056</c:v>
                </c:pt>
                <c:pt idx="220">
                  <c:v>194998</c:v>
                </c:pt>
                <c:pt idx="221">
                  <c:v>188787</c:v>
                </c:pt>
              </c:numCache>
            </c:numRef>
          </c:val>
          <c:smooth val="0"/>
          <c:extLst>
            <c:ext xmlns:c16="http://schemas.microsoft.com/office/drawing/2014/chart" uri="{C3380CC4-5D6E-409C-BE32-E72D297353CC}">
              <c16:uniqueId val="{00000001-F8B4-4857-803B-64F974928A7E}"/>
            </c:ext>
          </c:extLst>
        </c:ser>
        <c:dLbls>
          <c:showLegendKey val="0"/>
          <c:showVal val="0"/>
          <c:showCatName val="0"/>
          <c:showSerName val="0"/>
          <c:showPercent val="0"/>
          <c:showBubbleSize val="0"/>
        </c:dLbls>
        <c:smooth val="0"/>
        <c:axId val="1650703680"/>
        <c:axId val="1650707520"/>
      </c:lineChart>
      <c:catAx>
        <c:axId val="16507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07520"/>
        <c:crosses val="autoZero"/>
        <c:auto val="1"/>
        <c:lblAlgn val="ctr"/>
        <c:lblOffset val="100"/>
        <c:noMultiLvlLbl val="0"/>
      </c:catAx>
      <c:valAx>
        <c:axId val="165070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70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spliced_house_appr_growth!$B$1</c:f>
              <c:strCache>
                <c:ptCount val="1"/>
                <c:pt idx="0">
                  <c:v>House_price</c:v>
                </c:pt>
              </c:strCache>
            </c:strRef>
          </c:tx>
          <c:spPr>
            <a:ln w="28575" cap="rnd">
              <a:solidFill>
                <a:schemeClr val="accent1"/>
              </a:solidFill>
              <a:round/>
            </a:ln>
            <a:effectLst/>
          </c:spPr>
          <c:marker>
            <c:symbol val="none"/>
          </c:marker>
          <c:val>
            <c:numRef>
              <c:f>spliced_house_appr_growth!$B$2:$B$223</c:f>
              <c:numCache>
                <c:formatCode>General</c:formatCode>
                <c:ptCount val="222"/>
                <c:pt idx="0">
                  <c:v>0.1497</c:v>
                </c:pt>
                <c:pt idx="1">
                  <c:v>-3.1934999999999998</c:v>
                </c:pt>
                <c:pt idx="2">
                  <c:v>0.6825</c:v>
                </c:pt>
                <c:pt idx="3">
                  <c:v>-2.3022999999999998</c:v>
                </c:pt>
                <c:pt idx="4">
                  <c:v>-0.82420000000000004</c:v>
                </c:pt>
                <c:pt idx="5">
                  <c:v>0.72809999999999997</c:v>
                </c:pt>
                <c:pt idx="6">
                  <c:v>1.6004</c:v>
                </c:pt>
                <c:pt idx="7">
                  <c:v>7.2469000000000001</c:v>
                </c:pt>
                <c:pt idx="8">
                  <c:v>12.5296</c:v>
                </c:pt>
                <c:pt idx="9">
                  <c:v>22.093</c:v>
                </c:pt>
                <c:pt idx="10">
                  <c:v>30.8904</c:v>
                </c:pt>
                <c:pt idx="11">
                  <c:v>33.208300000000001</c:v>
                </c:pt>
                <c:pt idx="12">
                  <c:v>40.054200000000002</c:v>
                </c:pt>
                <c:pt idx="13">
                  <c:v>32.384999999999998</c:v>
                </c:pt>
                <c:pt idx="14">
                  <c:v>22.897099999999998</c:v>
                </c:pt>
                <c:pt idx="15">
                  <c:v>13.7057</c:v>
                </c:pt>
                <c:pt idx="16">
                  <c:v>0.80130000000000001</c:v>
                </c:pt>
                <c:pt idx="17">
                  <c:v>-6.0823999999999998</c:v>
                </c:pt>
                <c:pt idx="18">
                  <c:v>-11.137</c:v>
                </c:pt>
                <c:pt idx="19">
                  <c:v>-11.759499999999999</c:v>
                </c:pt>
                <c:pt idx="20">
                  <c:v>-13.2102</c:v>
                </c:pt>
                <c:pt idx="21">
                  <c:v>-13.8772</c:v>
                </c:pt>
                <c:pt idx="22">
                  <c:v>-13.7387</c:v>
                </c:pt>
                <c:pt idx="23">
                  <c:v>-12.793900000000001</c:v>
                </c:pt>
                <c:pt idx="24">
                  <c:v>-10.0465</c:v>
                </c:pt>
                <c:pt idx="25">
                  <c:v>-4.8136000000000001</c:v>
                </c:pt>
                <c:pt idx="26">
                  <c:v>-4.1456</c:v>
                </c:pt>
                <c:pt idx="27">
                  <c:v>-4.2324000000000002</c:v>
                </c:pt>
                <c:pt idx="28">
                  <c:v>-7.4621000000000004</c:v>
                </c:pt>
                <c:pt idx="29">
                  <c:v>-8.9741999999999997</c:v>
                </c:pt>
                <c:pt idx="30">
                  <c:v>-7.7491000000000003</c:v>
                </c:pt>
                <c:pt idx="31">
                  <c:v>-3.3426</c:v>
                </c:pt>
                <c:pt idx="32">
                  <c:v>1.4341999999999999</c:v>
                </c:pt>
                <c:pt idx="33">
                  <c:v>6.3121</c:v>
                </c:pt>
                <c:pt idx="34">
                  <c:v>10.4078</c:v>
                </c:pt>
                <c:pt idx="35">
                  <c:v>14.4513</c:v>
                </c:pt>
                <c:pt idx="36">
                  <c:v>17.014800000000001</c:v>
                </c:pt>
                <c:pt idx="37">
                  <c:v>19.635000000000002</c:v>
                </c:pt>
                <c:pt idx="38">
                  <c:v>15.6698</c:v>
                </c:pt>
                <c:pt idx="39">
                  <c:v>12.9377</c:v>
                </c:pt>
                <c:pt idx="40">
                  <c:v>11.4658</c:v>
                </c:pt>
                <c:pt idx="41">
                  <c:v>4.6422999999999996</c:v>
                </c:pt>
                <c:pt idx="42">
                  <c:v>5.0808</c:v>
                </c:pt>
                <c:pt idx="43">
                  <c:v>0.19489999999999999</c:v>
                </c:pt>
                <c:pt idx="44">
                  <c:v>-3.5371000000000001</c:v>
                </c:pt>
                <c:pt idx="45">
                  <c:v>-3.8502999999999998</c:v>
                </c:pt>
                <c:pt idx="46">
                  <c:v>-5.9362000000000004</c:v>
                </c:pt>
                <c:pt idx="47">
                  <c:v>-8.2111999999999998</c:v>
                </c:pt>
                <c:pt idx="48">
                  <c:v>-9.2223000000000006</c:v>
                </c:pt>
                <c:pt idx="49">
                  <c:v>-6.6205999999999996</c:v>
                </c:pt>
                <c:pt idx="50">
                  <c:v>-4.6550000000000002</c:v>
                </c:pt>
                <c:pt idx="51">
                  <c:v>-0.83120000000000005</c:v>
                </c:pt>
                <c:pt idx="52">
                  <c:v>5.2214999999999998</c:v>
                </c:pt>
                <c:pt idx="53">
                  <c:v>6.1289999999999996</c:v>
                </c:pt>
                <c:pt idx="54">
                  <c:v>7.5483000000000002</c:v>
                </c:pt>
                <c:pt idx="55">
                  <c:v>7.0175000000000001</c:v>
                </c:pt>
                <c:pt idx="56">
                  <c:v>5.0910000000000002</c:v>
                </c:pt>
                <c:pt idx="57">
                  <c:v>4.2805</c:v>
                </c:pt>
                <c:pt idx="58">
                  <c:v>4.5453000000000001</c:v>
                </c:pt>
                <c:pt idx="59">
                  <c:v>5.3529</c:v>
                </c:pt>
                <c:pt idx="60">
                  <c:v>3.7225999999999999</c:v>
                </c:pt>
                <c:pt idx="61">
                  <c:v>3.8178999999999998</c:v>
                </c:pt>
                <c:pt idx="62">
                  <c:v>2.2932999999999999</c:v>
                </c:pt>
                <c:pt idx="63">
                  <c:v>4.4992999999999999</c:v>
                </c:pt>
                <c:pt idx="64">
                  <c:v>7.3010000000000002</c:v>
                </c:pt>
                <c:pt idx="65">
                  <c:v>9.3375000000000004</c:v>
                </c:pt>
                <c:pt idx="66">
                  <c:v>11.637600000000001</c:v>
                </c:pt>
                <c:pt idx="67">
                  <c:v>11.1157</c:v>
                </c:pt>
                <c:pt idx="68">
                  <c:v>11.7424</c:v>
                </c:pt>
                <c:pt idx="69">
                  <c:v>11.9862</c:v>
                </c:pt>
                <c:pt idx="70">
                  <c:v>12.8324</c:v>
                </c:pt>
                <c:pt idx="71">
                  <c:v>15.9732</c:v>
                </c:pt>
                <c:pt idx="72">
                  <c:v>17.715399999999999</c:v>
                </c:pt>
                <c:pt idx="73">
                  <c:v>18.684799999999999</c:v>
                </c:pt>
                <c:pt idx="74">
                  <c:v>27.198499999999999</c:v>
                </c:pt>
                <c:pt idx="75">
                  <c:v>27.246200000000002</c:v>
                </c:pt>
                <c:pt idx="76">
                  <c:v>24.018799999999999</c:v>
                </c:pt>
                <c:pt idx="77">
                  <c:v>20.7683</c:v>
                </c:pt>
                <c:pt idx="78">
                  <c:v>10.5907</c:v>
                </c:pt>
                <c:pt idx="79">
                  <c:v>1.659</c:v>
                </c:pt>
                <c:pt idx="80">
                  <c:v>-2.7370999999999999</c:v>
                </c:pt>
                <c:pt idx="81">
                  <c:v>-7.69</c:v>
                </c:pt>
                <c:pt idx="82">
                  <c:v>-9.9198000000000004</c:v>
                </c:pt>
                <c:pt idx="83">
                  <c:v>-9.8308</c:v>
                </c:pt>
                <c:pt idx="84">
                  <c:v>-8.4223999999999997</c:v>
                </c:pt>
                <c:pt idx="85">
                  <c:v>-9.1974999999999998</c:v>
                </c:pt>
                <c:pt idx="86">
                  <c:v>-8.5642999999999994</c:v>
                </c:pt>
                <c:pt idx="87">
                  <c:v>-7.1614000000000004</c:v>
                </c:pt>
                <c:pt idx="88">
                  <c:v>-7.3655999999999997</c:v>
                </c:pt>
                <c:pt idx="89">
                  <c:v>-6.9862000000000002</c:v>
                </c:pt>
                <c:pt idx="90">
                  <c:v>-7.4287999999999998</c:v>
                </c:pt>
                <c:pt idx="91">
                  <c:v>-9.8391000000000002</c:v>
                </c:pt>
                <c:pt idx="92">
                  <c:v>-7.6128</c:v>
                </c:pt>
                <c:pt idx="93">
                  <c:v>-4.6303000000000001</c:v>
                </c:pt>
                <c:pt idx="94">
                  <c:v>-3.2724000000000002</c:v>
                </c:pt>
                <c:pt idx="95">
                  <c:v>-0.88629999999999998</c:v>
                </c:pt>
                <c:pt idx="96">
                  <c:v>-0.38979999999999998</c:v>
                </c:pt>
                <c:pt idx="97">
                  <c:v>0.64800000000000002</c:v>
                </c:pt>
                <c:pt idx="98">
                  <c:v>0.62170000000000003</c:v>
                </c:pt>
                <c:pt idx="99">
                  <c:v>1.7744</c:v>
                </c:pt>
                <c:pt idx="100">
                  <c:v>-0.9153</c:v>
                </c:pt>
                <c:pt idx="101">
                  <c:v>-1.0790999999999999</c:v>
                </c:pt>
                <c:pt idx="102">
                  <c:v>-2.2715000000000001</c:v>
                </c:pt>
                <c:pt idx="103">
                  <c:v>-3.2057000000000002</c:v>
                </c:pt>
                <c:pt idx="104">
                  <c:v>-0.63900000000000001</c:v>
                </c:pt>
                <c:pt idx="105">
                  <c:v>-1.2655000000000001</c:v>
                </c:pt>
                <c:pt idx="106">
                  <c:v>1.7986</c:v>
                </c:pt>
                <c:pt idx="107">
                  <c:v>4.9112</c:v>
                </c:pt>
                <c:pt idx="108">
                  <c:v>5.3745000000000003</c:v>
                </c:pt>
                <c:pt idx="109">
                  <c:v>7.5163000000000002</c:v>
                </c:pt>
                <c:pt idx="110">
                  <c:v>8.3847000000000005</c:v>
                </c:pt>
                <c:pt idx="111">
                  <c:v>6.0034999999999998</c:v>
                </c:pt>
                <c:pt idx="112">
                  <c:v>7.4116999999999997</c:v>
                </c:pt>
                <c:pt idx="113">
                  <c:v>10.741199999999999</c:v>
                </c:pt>
                <c:pt idx="114">
                  <c:v>10.4556</c:v>
                </c:pt>
                <c:pt idx="115">
                  <c:v>10.485900000000001</c:v>
                </c:pt>
                <c:pt idx="116">
                  <c:v>8.3851999999999993</c:v>
                </c:pt>
                <c:pt idx="117">
                  <c:v>7.2850000000000001</c:v>
                </c:pt>
                <c:pt idx="118">
                  <c:v>9.0389999999999997</c:v>
                </c:pt>
                <c:pt idx="119">
                  <c:v>12.707800000000001</c:v>
                </c:pt>
                <c:pt idx="120">
                  <c:v>15.0928</c:v>
                </c:pt>
                <c:pt idx="121">
                  <c:v>16.690200000000001</c:v>
                </c:pt>
                <c:pt idx="122">
                  <c:v>12.2003</c:v>
                </c:pt>
                <c:pt idx="123">
                  <c:v>12.2217</c:v>
                </c:pt>
                <c:pt idx="124">
                  <c:v>9.2086000000000006</c:v>
                </c:pt>
                <c:pt idx="125">
                  <c:v>6.6006</c:v>
                </c:pt>
                <c:pt idx="126">
                  <c:v>8.1640999999999995</c:v>
                </c:pt>
                <c:pt idx="127">
                  <c:v>3.6101999999999999</c:v>
                </c:pt>
                <c:pt idx="128">
                  <c:v>6.9607000000000001</c:v>
                </c:pt>
                <c:pt idx="129">
                  <c:v>12.352</c:v>
                </c:pt>
                <c:pt idx="130">
                  <c:v>15.7537</c:v>
                </c:pt>
                <c:pt idx="131">
                  <c:v>23.370200000000001</c:v>
                </c:pt>
                <c:pt idx="132">
                  <c:v>21.535299999999999</c:v>
                </c:pt>
                <c:pt idx="133">
                  <c:v>16.106200000000001</c:v>
                </c:pt>
                <c:pt idx="134">
                  <c:v>11.6633</c:v>
                </c:pt>
                <c:pt idx="135">
                  <c:v>8.5701999999999998</c:v>
                </c:pt>
                <c:pt idx="136">
                  <c:v>7.6882000000000001</c:v>
                </c:pt>
                <c:pt idx="137">
                  <c:v>10.466900000000001</c:v>
                </c:pt>
                <c:pt idx="138">
                  <c:v>12.411199999999999</c:v>
                </c:pt>
                <c:pt idx="139">
                  <c:v>10.7403</c:v>
                </c:pt>
                <c:pt idx="140">
                  <c:v>7.2157999999999998</c:v>
                </c:pt>
                <c:pt idx="141">
                  <c:v>3.8675999999999999</c:v>
                </c:pt>
                <c:pt idx="142">
                  <c:v>1.5348999999999999</c:v>
                </c:pt>
                <c:pt idx="143">
                  <c:v>1.2666999999999999</c:v>
                </c:pt>
                <c:pt idx="144">
                  <c:v>4.3522999999999996</c:v>
                </c:pt>
                <c:pt idx="145">
                  <c:v>4.8789999999999996</c:v>
                </c:pt>
                <c:pt idx="146">
                  <c:v>5.2778</c:v>
                </c:pt>
                <c:pt idx="147">
                  <c:v>6.8745000000000003</c:v>
                </c:pt>
                <c:pt idx="148">
                  <c:v>7.4874999999999998</c:v>
                </c:pt>
                <c:pt idx="149">
                  <c:v>8.0073000000000008</c:v>
                </c:pt>
                <c:pt idx="150">
                  <c:v>8.4601000000000006</c:v>
                </c:pt>
                <c:pt idx="151">
                  <c:v>6.0244999999999997</c:v>
                </c:pt>
                <c:pt idx="152">
                  <c:v>1.2516</c:v>
                </c:pt>
                <c:pt idx="153">
                  <c:v>-4.0522999999999998</c:v>
                </c:pt>
                <c:pt idx="154">
                  <c:v>-11.4024</c:v>
                </c:pt>
                <c:pt idx="155">
                  <c:v>-16.472000000000001</c:v>
                </c:pt>
                <c:pt idx="156">
                  <c:v>-17.860700000000001</c:v>
                </c:pt>
                <c:pt idx="157">
                  <c:v>-15.540800000000001</c:v>
                </c:pt>
                <c:pt idx="158">
                  <c:v>-8.1575000000000006</c:v>
                </c:pt>
                <c:pt idx="159">
                  <c:v>-0.40560000000000002</c:v>
                </c:pt>
                <c:pt idx="160">
                  <c:v>4.2206000000000001</c:v>
                </c:pt>
                <c:pt idx="161">
                  <c:v>4.6242999999999999</c:v>
                </c:pt>
                <c:pt idx="162">
                  <c:v>2.5154999999999998</c:v>
                </c:pt>
                <c:pt idx="163">
                  <c:v>-1.7653000000000001</c:v>
                </c:pt>
                <c:pt idx="164">
                  <c:v>-4.5693000000000001</c:v>
                </c:pt>
                <c:pt idx="165">
                  <c:v>-5.9630999999999998</c:v>
                </c:pt>
                <c:pt idx="166">
                  <c:v>-6.3490000000000002</c:v>
                </c:pt>
                <c:pt idx="167">
                  <c:v>-5.7446000000000002</c:v>
                </c:pt>
                <c:pt idx="168">
                  <c:v>-3.8603000000000001</c:v>
                </c:pt>
                <c:pt idx="169">
                  <c:v>-1.9516</c:v>
                </c:pt>
                <c:pt idx="170">
                  <c:v>-1.9992000000000001</c:v>
                </c:pt>
                <c:pt idx="171">
                  <c:v>-1.6156999999999999</c:v>
                </c:pt>
                <c:pt idx="172">
                  <c:v>-1.3655999999999999</c:v>
                </c:pt>
                <c:pt idx="173">
                  <c:v>-1.1386000000000001</c:v>
                </c:pt>
                <c:pt idx="174">
                  <c:v>0.2422</c:v>
                </c:pt>
                <c:pt idx="175">
                  <c:v>2.2183000000000002</c:v>
                </c:pt>
                <c:pt idx="176">
                  <c:v>4.7182000000000004</c:v>
                </c:pt>
                <c:pt idx="177">
                  <c:v>6.2272999999999996</c:v>
                </c:pt>
                <c:pt idx="178">
                  <c:v>7.3125999999999998</c:v>
                </c:pt>
                <c:pt idx="179">
                  <c:v>7.5326000000000004</c:v>
                </c:pt>
                <c:pt idx="180">
                  <c:v>6.5384000000000002</c:v>
                </c:pt>
                <c:pt idx="181">
                  <c:v>5.3868</c:v>
                </c:pt>
                <c:pt idx="182">
                  <c:v>5.2983000000000002</c:v>
                </c:pt>
                <c:pt idx="183">
                  <c:v>6.4027000000000003</c:v>
                </c:pt>
                <c:pt idx="184">
                  <c:v>7.6512000000000002</c:v>
                </c:pt>
                <c:pt idx="185">
                  <c:v>7.6241000000000003</c:v>
                </c:pt>
                <c:pt idx="186">
                  <c:v>6.0102000000000002</c:v>
                </c:pt>
                <c:pt idx="187">
                  <c:v>4.1703999999999999</c:v>
                </c:pt>
                <c:pt idx="188">
                  <c:v>2.1781000000000001</c:v>
                </c:pt>
                <c:pt idx="189">
                  <c:v>1.6348</c:v>
                </c:pt>
                <c:pt idx="190">
                  <c:v>1.8813</c:v>
                </c:pt>
                <c:pt idx="191">
                  <c:v>1.5434000000000001</c:v>
                </c:pt>
                <c:pt idx="192">
                  <c:v>1.5867</c:v>
                </c:pt>
                <c:pt idx="193">
                  <c:v>0.77539999999999998</c:v>
                </c:pt>
                <c:pt idx="194">
                  <c:v>0.25369999999999998</c:v>
                </c:pt>
                <c:pt idx="195">
                  <c:v>0.1268</c:v>
                </c:pt>
                <c:pt idx="196">
                  <c:v>-0.44990000000000002</c:v>
                </c:pt>
                <c:pt idx="197">
                  <c:v>-1.0012000000000001</c:v>
                </c:pt>
                <c:pt idx="198">
                  <c:v>-1.0953999999999999</c:v>
                </c:pt>
                <c:pt idx="199">
                  <c:v>-0.53420000000000001</c:v>
                </c:pt>
                <c:pt idx="200">
                  <c:v>8.4199999999999997E-2</c:v>
                </c:pt>
                <c:pt idx="201">
                  <c:v>0.55059999999999998</c:v>
                </c:pt>
                <c:pt idx="202">
                  <c:v>1.9239999999999999</c:v>
                </c:pt>
                <c:pt idx="203">
                  <c:v>5.2389999999999999</c:v>
                </c:pt>
                <c:pt idx="204">
                  <c:v>7.0110999999999999</c:v>
                </c:pt>
                <c:pt idx="205">
                  <c:v>7.2168999999999999</c:v>
                </c:pt>
                <c:pt idx="206">
                  <c:v>5.3914</c:v>
                </c:pt>
                <c:pt idx="207">
                  <c:v>2.2576999999999998</c:v>
                </c:pt>
                <c:pt idx="208">
                  <c:v>1.8588</c:v>
                </c:pt>
                <c:pt idx="209">
                  <c:v>-0.21299999999999999</c:v>
                </c:pt>
                <c:pt idx="210">
                  <c:v>0.84989999999999999</c:v>
                </c:pt>
                <c:pt idx="211">
                  <c:v>-1.5612999999999999</c:v>
                </c:pt>
                <c:pt idx="212">
                  <c:v>-5.6189</c:v>
                </c:pt>
                <c:pt idx="213">
                  <c:v>-6.9328000000000003</c:v>
                </c:pt>
                <c:pt idx="214">
                  <c:v>-7.3078000000000003</c:v>
                </c:pt>
                <c:pt idx="215">
                  <c:v>-6.3556999999999997</c:v>
                </c:pt>
                <c:pt idx="216">
                  <c:v>-4.6943000000000001</c:v>
                </c:pt>
                <c:pt idx="217">
                  <c:v>-1.67</c:v>
                </c:pt>
                <c:pt idx="218">
                  <c:v>-1.0369999999999999</c:v>
                </c:pt>
                <c:pt idx="219">
                  <c:v>0.443</c:v>
                </c:pt>
                <c:pt idx="220">
                  <c:v>1.8540000000000001</c:v>
                </c:pt>
              </c:numCache>
            </c:numRef>
          </c:val>
          <c:smooth val="0"/>
          <c:extLst>
            <c:ext xmlns:c16="http://schemas.microsoft.com/office/drawing/2014/chart" uri="{C3380CC4-5D6E-409C-BE32-E72D297353CC}">
              <c16:uniqueId val="{00000000-0DDC-458D-9EE6-0FACB7D504F2}"/>
            </c:ext>
          </c:extLst>
        </c:ser>
        <c:dLbls>
          <c:showLegendKey val="0"/>
          <c:showVal val="0"/>
          <c:showCatName val="0"/>
          <c:showSerName val="0"/>
          <c:showPercent val="0"/>
          <c:showBubbleSize val="0"/>
        </c:dLbls>
        <c:marker val="1"/>
        <c:smooth val="0"/>
        <c:axId val="547726704"/>
        <c:axId val="334482464"/>
      </c:lineChart>
      <c:lineChart>
        <c:grouping val="standard"/>
        <c:varyColors val="0"/>
        <c:ser>
          <c:idx val="1"/>
          <c:order val="1"/>
          <c:tx>
            <c:strRef>
              <c:f>spliced_house_appr_growth!$C$1</c:f>
              <c:strCache>
                <c:ptCount val="1"/>
                <c:pt idx="0">
                  <c:v>Housing approvals</c:v>
                </c:pt>
              </c:strCache>
            </c:strRef>
          </c:tx>
          <c:spPr>
            <a:ln w="28575" cap="rnd">
              <a:solidFill>
                <a:schemeClr val="accent2"/>
              </a:solidFill>
              <a:round/>
            </a:ln>
            <a:effectLst/>
          </c:spPr>
          <c:marker>
            <c:symbol val="none"/>
          </c:marker>
          <c:val>
            <c:numRef>
              <c:f>spliced_house_appr_growth!$C$2:$C$223</c:f>
              <c:numCache>
                <c:formatCode>General</c:formatCode>
                <c:ptCount val="222"/>
                <c:pt idx="111">
                  <c:v>10530</c:v>
                </c:pt>
                <c:pt idx="112">
                  <c:v>10091</c:v>
                </c:pt>
                <c:pt idx="113">
                  <c:v>10449</c:v>
                </c:pt>
                <c:pt idx="114">
                  <c:v>10761</c:v>
                </c:pt>
                <c:pt idx="115">
                  <c:v>10853</c:v>
                </c:pt>
                <c:pt idx="116">
                  <c:v>12494</c:v>
                </c:pt>
                <c:pt idx="117">
                  <c:v>14387</c:v>
                </c:pt>
                <c:pt idx="118">
                  <c:v>15919</c:v>
                </c:pt>
                <c:pt idx="119">
                  <c:v>15832</c:v>
                </c:pt>
                <c:pt idx="120">
                  <c:v>14802</c:v>
                </c:pt>
                <c:pt idx="121">
                  <c:v>14232</c:v>
                </c:pt>
                <c:pt idx="122">
                  <c:v>13135</c:v>
                </c:pt>
                <c:pt idx="123">
                  <c:v>15018</c:v>
                </c:pt>
                <c:pt idx="124">
                  <c:v>22306</c:v>
                </c:pt>
                <c:pt idx="125">
                  <c:v>24271</c:v>
                </c:pt>
                <c:pt idx="126">
                  <c:v>25362</c:v>
                </c:pt>
                <c:pt idx="127">
                  <c:v>24130</c:v>
                </c:pt>
                <c:pt idx="128">
                  <c:v>30874</c:v>
                </c:pt>
                <c:pt idx="129">
                  <c:v>31483</c:v>
                </c:pt>
                <c:pt idx="130">
                  <c:v>30681</c:v>
                </c:pt>
                <c:pt idx="131">
                  <c:v>32092</c:v>
                </c:pt>
                <c:pt idx="132">
                  <c:v>27268</c:v>
                </c:pt>
                <c:pt idx="133">
                  <c:v>28961</c:v>
                </c:pt>
                <c:pt idx="134">
                  <c:v>38343</c:v>
                </c:pt>
                <c:pt idx="135">
                  <c:v>41960</c:v>
                </c:pt>
                <c:pt idx="136">
                  <c:v>40452</c:v>
                </c:pt>
                <c:pt idx="137">
                  <c:v>39565</c:v>
                </c:pt>
                <c:pt idx="138">
                  <c:v>31371</c:v>
                </c:pt>
                <c:pt idx="139">
                  <c:v>27938</c:v>
                </c:pt>
                <c:pt idx="140">
                  <c:v>30116</c:v>
                </c:pt>
                <c:pt idx="141">
                  <c:v>34647</c:v>
                </c:pt>
                <c:pt idx="142">
                  <c:v>37937</c:v>
                </c:pt>
                <c:pt idx="143">
                  <c:v>44420</c:v>
                </c:pt>
                <c:pt idx="144">
                  <c:v>45633</c:v>
                </c:pt>
                <c:pt idx="145">
                  <c:v>46053</c:v>
                </c:pt>
                <c:pt idx="146">
                  <c:v>48778</c:v>
                </c:pt>
                <c:pt idx="147">
                  <c:v>52408</c:v>
                </c:pt>
                <c:pt idx="148">
                  <c:v>50129</c:v>
                </c:pt>
                <c:pt idx="149">
                  <c:v>48878</c:v>
                </c:pt>
                <c:pt idx="150">
                  <c:v>46600</c:v>
                </c:pt>
                <c:pt idx="151">
                  <c:v>34689</c:v>
                </c:pt>
                <c:pt idx="152">
                  <c:v>29877</c:v>
                </c:pt>
                <c:pt idx="153">
                  <c:v>18775</c:v>
                </c:pt>
                <c:pt idx="154">
                  <c:v>12298</c:v>
                </c:pt>
                <c:pt idx="155">
                  <c:v>10516</c:v>
                </c:pt>
                <c:pt idx="156">
                  <c:v>14129</c:v>
                </c:pt>
                <c:pt idx="157">
                  <c:v>18262</c:v>
                </c:pt>
                <c:pt idx="158">
                  <c:v>21807</c:v>
                </c:pt>
                <c:pt idx="159">
                  <c:v>23421</c:v>
                </c:pt>
                <c:pt idx="160">
                  <c:v>19841</c:v>
                </c:pt>
                <c:pt idx="161">
                  <c:v>21177</c:v>
                </c:pt>
                <c:pt idx="162">
                  <c:v>20032</c:v>
                </c:pt>
                <c:pt idx="163">
                  <c:v>18966</c:v>
                </c:pt>
                <c:pt idx="164">
                  <c:v>18875</c:v>
                </c:pt>
                <c:pt idx="165">
                  <c:v>19670</c:v>
                </c:pt>
                <c:pt idx="166">
                  <c:v>21738</c:v>
                </c:pt>
                <c:pt idx="167">
                  <c:v>22008</c:v>
                </c:pt>
                <c:pt idx="168">
                  <c:v>23165</c:v>
                </c:pt>
                <c:pt idx="169">
                  <c:v>22299</c:v>
                </c:pt>
                <c:pt idx="170">
                  <c:v>21757</c:v>
                </c:pt>
                <c:pt idx="171">
                  <c:v>23461</c:v>
                </c:pt>
                <c:pt idx="172">
                  <c:v>23463</c:v>
                </c:pt>
                <c:pt idx="173">
                  <c:v>26383</c:v>
                </c:pt>
                <c:pt idx="174">
                  <c:v>28960</c:v>
                </c:pt>
                <c:pt idx="175">
                  <c:v>34072</c:v>
                </c:pt>
                <c:pt idx="176">
                  <c:v>33678</c:v>
                </c:pt>
                <c:pt idx="177">
                  <c:v>31668</c:v>
                </c:pt>
                <c:pt idx="178">
                  <c:v>31697</c:v>
                </c:pt>
                <c:pt idx="179">
                  <c:v>29727</c:v>
                </c:pt>
                <c:pt idx="180">
                  <c:v>30648</c:v>
                </c:pt>
                <c:pt idx="181">
                  <c:v>34185</c:v>
                </c:pt>
                <c:pt idx="182">
                  <c:v>37082</c:v>
                </c:pt>
                <c:pt idx="183">
                  <c:v>37224</c:v>
                </c:pt>
                <c:pt idx="184">
                  <c:v>38358</c:v>
                </c:pt>
                <c:pt idx="185">
                  <c:v>35478</c:v>
                </c:pt>
                <c:pt idx="186">
                  <c:v>32617</c:v>
                </c:pt>
                <c:pt idx="187">
                  <c:v>36741</c:v>
                </c:pt>
                <c:pt idx="188">
                  <c:v>36612</c:v>
                </c:pt>
                <c:pt idx="189">
                  <c:v>36009</c:v>
                </c:pt>
                <c:pt idx="190">
                  <c:v>36618</c:v>
                </c:pt>
                <c:pt idx="191">
                  <c:v>35893</c:v>
                </c:pt>
                <c:pt idx="192">
                  <c:v>35131</c:v>
                </c:pt>
                <c:pt idx="193">
                  <c:v>36019</c:v>
                </c:pt>
                <c:pt idx="194">
                  <c:v>37029</c:v>
                </c:pt>
                <c:pt idx="195">
                  <c:v>37086</c:v>
                </c:pt>
                <c:pt idx="196">
                  <c:v>36110</c:v>
                </c:pt>
                <c:pt idx="197">
                  <c:v>37940</c:v>
                </c:pt>
                <c:pt idx="198">
                  <c:v>39199</c:v>
                </c:pt>
                <c:pt idx="199">
                  <c:v>40152</c:v>
                </c:pt>
                <c:pt idx="200">
                  <c:v>40110</c:v>
                </c:pt>
                <c:pt idx="201">
                  <c:v>13284</c:v>
                </c:pt>
                <c:pt idx="202">
                  <c:v>52782</c:v>
                </c:pt>
                <c:pt idx="203">
                  <c:v>68255</c:v>
                </c:pt>
                <c:pt idx="204">
                  <c:v>56342</c:v>
                </c:pt>
                <c:pt idx="205">
                  <c:v>54037</c:v>
                </c:pt>
                <c:pt idx="206">
                  <c:v>46517</c:v>
                </c:pt>
                <c:pt idx="207">
                  <c:v>48202</c:v>
                </c:pt>
                <c:pt idx="208">
                  <c:v>49345</c:v>
                </c:pt>
                <c:pt idx="209">
                  <c:v>46176</c:v>
                </c:pt>
                <c:pt idx="210">
                  <c:v>47593</c:v>
                </c:pt>
                <c:pt idx="211">
                  <c:v>32084</c:v>
                </c:pt>
                <c:pt idx="212">
                  <c:v>28712</c:v>
                </c:pt>
                <c:pt idx="213">
                  <c:v>34286</c:v>
                </c:pt>
                <c:pt idx="214">
                  <c:v>30168</c:v>
                </c:pt>
                <c:pt idx="215">
                  <c:v>33310</c:v>
                </c:pt>
                <c:pt idx="216">
                  <c:v>40816</c:v>
                </c:pt>
                <c:pt idx="217">
                  <c:v>41994</c:v>
                </c:pt>
                <c:pt idx="218">
                  <c:v>45864</c:v>
                </c:pt>
                <c:pt idx="219">
                  <c:v>49416</c:v>
                </c:pt>
                <c:pt idx="220">
                  <c:v>47696</c:v>
                </c:pt>
                <c:pt idx="221">
                  <c:v>45897</c:v>
                </c:pt>
              </c:numCache>
            </c:numRef>
          </c:val>
          <c:smooth val="0"/>
          <c:extLst>
            <c:ext xmlns:c16="http://schemas.microsoft.com/office/drawing/2014/chart" uri="{C3380CC4-5D6E-409C-BE32-E72D297353CC}">
              <c16:uniqueId val="{00000001-0DDC-458D-9EE6-0FACB7D504F2}"/>
            </c:ext>
          </c:extLst>
        </c:ser>
        <c:dLbls>
          <c:showLegendKey val="0"/>
          <c:showVal val="0"/>
          <c:showCatName val="0"/>
          <c:showSerName val="0"/>
          <c:showPercent val="0"/>
          <c:showBubbleSize val="0"/>
        </c:dLbls>
        <c:marker val="1"/>
        <c:smooth val="0"/>
        <c:axId val="734538896"/>
        <c:axId val="734542736"/>
      </c:lineChart>
      <c:catAx>
        <c:axId val="5477267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82464"/>
        <c:crosses val="autoZero"/>
        <c:auto val="1"/>
        <c:lblAlgn val="ctr"/>
        <c:lblOffset val="100"/>
        <c:noMultiLvlLbl val="0"/>
      </c:catAx>
      <c:valAx>
        <c:axId val="33448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726704"/>
        <c:crosses val="autoZero"/>
        <c:crossBetween val="between"/>
      </c:valAx>
      <c:valAx>
        <c:axId val="7345427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38896"/>
        <c:crosses val="max"/>
        <c:crossBetween val="between"/>
      </c:valAx>
      <c:catAx>
        <c:axId val="734538896"/>
        <c:scaling>
          <c:orientation val="minMax"/>
        </c:scaling>
        <c:delete val="1"/>
        <c:axPos val="b"/>
        <c:majorTickMark val="out"/>
        <c:minorTickMark val="none"/>
        <c:tickLblPos val="nextTo"/>
        <c:crossAx val="734542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spliced_house_appr_growth!$D$1</c:f>
              <c:strCache>
                <c:ptCount val="1"/>
              </c:strCache>
            </c:strRef>
          </c:tx>
          <c:spPr>
            <a:ln w="28575" cap="rnd">
              <a:solidFill>
                <a:schemeClr val="accent1"/>
              </a:solidFill>
              <a:round/>
            </a:ln>
            <a:effectLst/>
          </c:spPr>
          <c:marker>
            <c:symbol val="none"/>
          </c:marker>
          <c:val>
            <c:numRef>
              <c:f>spliced_house_appr_growth!$D$2:$D$223</c:f>
              <c:numCache>
                <c:formatCode>General</c:formatCode>
                <c:ptCount val="222"/>
                <c:pt idx="0">
                  <c:v>30940.520538414054</c:v>
                </c:pt>
                <c:pt idx="1">
                  <c:v>30561.586018478851</c:v>
                </c:pt>
                <c:pt idx="2">
                  <c:v>31000.910677269483</c:v>
                </c:pt>
                <c:pt idx="3">
                  <c:v>30662.598953441237</c:v>
                </c:pt>
                <c:pt idx="4">
                  <c:v>30830.133983925869</c:v>
                </c:pt>
                <c:pt idx="5">
                  <c:v>31006.079202667021</c:v>
                </c:pt>
                <c:pt idx="6">
                  <c:v>31104.949919865958</c:v>
                </c:pt>
                <c:pt idx="7">
                  <c:v>31744.951644804376</c:v>
                </c:pt>
                <c:pt idx="8">
                  <c:v>32343.718511417712</c:v>
                </c:pt>
                <c:pt idx="9">
                  <c:v>33427.68069972482</c:v>
                </c:pt>
                <c:pt idx="10">
                  <c:v>34424.820728941726</c:v>
                </c:pt>
                <c:pt idx="11">
                  <c:v>34687.542768830994</c:v>
                </c:pt>
                <c:pt idx="12">
                  <c:v>35463.490313107257</c:v>
                </c:pt>
                <c:pt idx="13">
                  <c:v>34594.225949537307</c:v>
                </c:pt>
                <c:pt idx="14">
                  <c:v>33518.821297798488</c:v>
                </c:pt>
                <c:pt idx="15">
                  <c:v>32477.023395629181</c:v>
                </c:pt>
                <c:pt idx="16">
                  <c:v>31014.37604606833</c:v>
                </c:pt>
                <c:pt idx="17">
                  <c:v>30234.144066265162</c:v>
                </c:pt>
                <c:pt idx="18">
                  <c:v>29661.231161125033</c:v>
                </c:pt>
                <c:pt idx="19">
                  <c:v>29590.673988757342</c:v>
                </c:pt>
                <c:pt idx="20">
                  <c:v>29426.244607305438</c:v>
                </c:pt>
                <c:pt idx="21">
                  <c:v>29350.643588880943</c:v>
                </c:pt>
                <c:pt idx="22">
                  <c:v>29366.341851327408</c:v>
                </c:pt>
                <c:pt idx="23">
                  <c:v>29473.430070529004</c:v>
                </c:pt>
                <c:pt idx="24">
                  <c:v>29784.833725730601</c:v>
                </c:pt>
                <c:pt idx="25">
                  <c:v>30377.95601855452</c:v>
                </c:pt>
                <c:pt idx="26">
                  <c:v>30453.670381834228</c:v>
                </c:pt>
                <c:pt idx="27">
                  <c:v>30443.832048402073</c:v>
                </c:pt>
                <c:pt idx="28">
                  <c:v>30077.762169533107</c:v>
                </c:pt>
                <c:pt idx="29">
                  <c:v>29906.373413971363</c:v>
                </c:pt>
                <c:pt idx="30">
                  <c:v>30045.232196088084</c:v>
                </c:pt>
                <c:pt idx="31">
                  <c:v>30544.686300567169</c:v>
                </c:pt>
                <c:pt idx="32">
                  <c:v>31086.112004930197</c:v>
                </c:pt>
                <c:pt idx="33">
                  <c:v>31638.996874154869</c:v>
                </c:pt>
                <c:pt idx="34">
                  <c:v>32103.223397634953</c:v>
                </c:pt>
                <c:pt idx="35">
                  <c:v>32561.533319673119</c:v>
                </c:pt>
                <c:pt idx="36">
                  <c:v>32852.092856001756</c:v>
                </c:pt>
                <c:pt idx="37">
                  <c:v>33149.079045620747</c:v>
                </c:pt>
                <c:pt idx="38">
                  <c:v>32699.644025745456</c:v>
                </c:pt>
                <c:pt idx="39">
                  <c:v>32389.974546828562</c:v>
                </c:pt>
                <c:pt idx="40">
                  <c:v>32223.142254446226</c:v>
                </c:pt>
                <c:pt idx="41">
                  <c:v>31449.733634926644</c:v>
                </c:pt>
                <c:pt idx="42">
                  <c:v>31499.435353935853</c:v>
                </c:pt>
                <c:pt idx="43">
                  <c:v>30945.643725869508</c:v>
                </c:pt>
                <c:pt idx="44">
                  <c:v>30522.64072622899</c:v>
                </c:pt>
                <c:pt idx="45">
                  <c:v>30487.141117577485</c:v>
                </c:pt>
                <c:pt idx="46">
                  <c:v>30250.715084096737</c:v>
                </c:pt>
                <c:pt idx="47">
                  <c:v>29992.85553849594</c:v>
                </c:pt>
                <c:pt idx="48">
                  <c:v>29878.252555393978</c:v>
                </c:pt>
                <c:pt idx="49">
                  <c:v>30173.141865191599</c:v>
                </c:pt>
                <c:pt idx="50">
                  <c:v>30395.932512590691</c:v>
                </c:pt>
                <c:pt idx="51">
                  <c:v>30829.340569939406</c:v>
                </c:pt>
                <c:pt idx="52">
                  <c:v>31515.382975063781</c:v>
                </c:pt>
                <c:pt idx="53">
                  <c:v>31618.243431166076</c:v>
                </c:pt>
                <c:pt idx="54">
                  <c:v>31779.113784164412</c:v>
                </c:pt>
                <c:pt idx="55">
                  <c:v>31718.950335019399</c:v>
                </c:pt>
                <c:pt idx="56">
                  <c:v>31500.591471458985</c:v>
                </c:pt>
                <c:pt idx="57">
                  <c:v>31408.725466311978</c:v>
                </c:pt>
                <c:pt idx="58">
                  <c:v>31438.73918397136</c:v>
                </c:pt>
                <c:pt idx="59">
                  <c:v>31530.27648903826</c:v>
                </c:pt>
                <c:pt idx="60">
                  <c:v>31345.490371590797</c:v>
                </c:pt>
                <c:pt idx="61">
                  <c:v>31356.292136292228</c:v>
                </c:pt>
                <c:pt idx="62">
                  <c:v>31183.486570040372</c:v>
                </c:pt>
                <c:pt idx="63">
                  <c:v>31433.525320631739</c:v>
                </c:pt>
                <c:pt idx="64">
                  <c:v>31751.083601471189</c:v>
                </c:pt>
                <c:pt idx="65">
                  <c:v>31981.910399104607</c:v>
                </c:pt>
                <c:pt idx="66">
                  <c:v>32242.614900571156</c:v>
                </c:pt>
                <c:pt idx="67">
                  <c:v>32183.460220637506</c:v>
                </c:pt>
                <c:pt idx="68">
                  <c:v>32254.493441397073</c:v>
                </c:pt>
                <c:pt idx="69">
                  <c:v>32282.126917097063</c:v>
                </c:pt>
                <c:pt idx="70">
                  <c:v>32378.039333575038</c:v>
                </c:pt>
                <c:pt idx="71">
                  <c:v>32734.032854815912</c:v>
                </c:pt>
                <c:pt idx="72">
                  <c:v>32931.502261561276</c:v>
                </c:pt>
                <c:pt idx="73">
                  <c:v>33041.378764201021</c:v>
                </c:pt>
                <c:pt idx="74">
                  <c:v>34006.362857995089</c:v>
                </c:pt>
                <c:pt idx="75">
                  <c:v>34011.769407588567</c:v>
                </c:pt>
                <c:pt idx="76">
                  <c:v>33645.960221886584</c:v>
                </c:pt>
                <c:pt idx="77">
                  <c:v>33277.532770029269</c:v>
                </c:pt>
                <c:pt idx="78">
                  <c:v>32123.954171652706</c:v>
                </c:pt>
                <c:pt idx="79">
                  <c:v>31111.591928381211</c:v>
                </c:pt>
                <c:pt idx="80">
                  <c:v>30613.316610396305</c:v>
                </c:pt>
                <c:pt idx="81">
                  <c:v>30051.930877030944</c:v>
                </c:pt>
                <c:pt idx="82">
                  <c:v>29799.194518885601</c:v>
                </c:pt>
                <c:pt idx="83">
                  <c:v>29809.282210999212</c:v>
                </c:pt>
                <c:pt idx="84">
                  <c:v>29968.917105075769</c:v>
                </c:pt>
                <c:pt idx="85">
                  <c:v>29881.063507803163</c:v>
                </c:pt>
                <c:pt idx="86">
                  <c:v>29952.83347012159</c:v>
                </c:pt>
                <c:pt idx="87">
                  <c:v>30111.844967494497</c:v>
                </c:pt>
                <c:pt idx="88">
                  <c:v>30088.699948060788</c:v>
                </c:pt>
                <c:pt idx="89">
                  <c:v>30131.702986127137</c:v>
                </c:pt>
                <c:pt idx="90">
                  <c:v>30081.536553211572</c:v>
                </c:pt>
                <c:pt idx="91">
                  <c:v>29808.341448700976</c:v>
                </c:pt>
                <c:pt idx="92">
                  <c:v>30060.681099853089</c:v>
                </c:pt>
                <c:pt idx="93">
                  <c:v>30398.732130514356</c:v>
                </c:pt>
                <c:pt idx="94">
                  <c:v>30552.643109402848</c:v>
                </c:pt>
                <c:pt idx="95">
                  <c:v>30823.095268417383</c:v>
                </c:pt>
                <c:pt idx="96">
                  <c:v>30879.370989028721</c:v>
                </c:pt>
                <c:pt idx="97">
                  <c:v>30997.000279764768</c:v>
                </c:pt>
                <c:pt idx="98">
                  <c:v>30994.01931007277</c:v>
                </c:pt>
                <c:pt idx="99">
                  <c:v>31124.671924672348</c:v>
                </c:pt>
                <c:pt idx="100">
                  <c:v>30819.808267616318</c:v>
                </c:pt>
                <c:pt idx="101">
                  <c:v>30801.24238033306</c:v>
                </c:pt>
                <c:pt idx="102">
                  <c:v>30666.089974981678</c:v>
                </c:pt>
                <c:pt idx="103">
                  <c:v>30560.203211245298</c:v>
                </c:pt>
                <c:pt idx="104">
                  <c:v>30851.125451110605</c:v>
                </c:pt>
                <c:pt idx="105">
                  <c:v>30780.114899322078</c:v>
                </c:pt>
                <c:pt idx="106">
                  <c:v>31127.41487016841</c:v>
                </c:pt>
                <c:pt idx="107">
                  <c:v>31480.212066492382</c:v>
                </c:pt>
                <c:pt idx="108">
                  <c:v>31532.724737910779</c:v>
                </c:pt>
                <c:pt idx="109">
                  <c:v>31775.486748797717</c:v>
                </c:pt>
                <c:pt idx="110">
                  <c:v>31873.915421061338</c:v>
                </c:pt>
                <c:pt idx="111">
                  <c:v>10530</c:v>
                </c:pt>
                <c:pt idx="112">
                  <c:v>10091</c:v>
                </c:pt>
                <c:pt idx="113">
                  <c:v>10449</c:v>
                </c:pt>
                <c:pt idx="114">
                  <c:v>10761</c:v>
                </c:pt>
                <c:pt idx="115">
                  <c:v>10853</c:v>
                </c:pt>
                <c:pt idx="116">
                  <c:v>12494</c:v>
                </c:pt>
                <c:pt idx="117">
                  <c:v>14387</c:v>
                </c:pt>
                <c:pt idx="118">
                  <c:v>15919</c:v>
                </c:pt>
                <c:pt idx="119">
                  <c:v>15832</c:v>
                </c:pt>
                <c:pt idx="120">
                  <c:v>14802</c:v>
                </c:pt>
                <c:pt idx="121">
                  <c:v>14232</c:v>
                </c:pt>
                <c:pt idx="122">
                  <c:v>13135</c:v>
                </c:pt>
                <c:pt idx="123">
                  <c:v>15018</c:v>
                </c:pt>
                <c:pt idx="124">
                  <c:v>22306</c:v>
                </c:pt>
                <c:pt idx="125">
                  <c:v>24271</c:v>
                </c:pt>
                <c:pt idx="126">
                  <c:v>25362</c:v>
                </c:pt>
                <c:pt idx="127">
                  <c:v>24130</c:v>
                </c:pt>
                <c:pt idx="128">
                  <c:v>30874</c:v>
                </c:pt>
                <c:pt idx="129">
                  <c:v>31483</c:v>
                </c:pt>
                <c:pt idx="130">
                  <c:v>30681</c:v>
                </c:pt>
                <c:pt idx="131">
                  <c:v>32092</c:v>
                </c:pt>
                <c:pt idx="132">
                  <c:v>27268</c:v>
                </c:pt>
                <c:pt idx="133">
                  <c:v>28961</c:v>
                </c:pt>
                <c:pt idx="134">
                  <c:v>38343</c:v>
                </c:pt>
                <c:pt idx="135">
                  <c:v>41960</c:v>
                </c:pt>
                <c:pt idx="136">
                  <c:v>40452</c:v>
                </c:pt>
                <c:pt idx="137">
                  <c:v>39565</c:v>
                </c:pt>
                <c:pt idx="138">
                  <c:v>31371</c:v>
                </c:pt>
                <c:pt idx="139">
                  <c:v>27938</c:v>
                </c:pt>
                <c:pt idx="140">
                  <c:v>30116</c:v>
                </c:pt>
                <c:pt idx="141">
                  <c:v>34647</c:v>
                </c:pt>
                <c:pt idx="142">
                  <c:v>37937</c:v>
                </c:pt>
                <c:pt idx="143">
                  <c:v>44420</c:v>
                </c:pt>
                <c:pt idx="144">
                  <c:v>45633</c:v>
                </c:pt>
                <c:pt idx="145">
                  <c:v>46053</c:v>
                </c:pt>
                <c:pt idx="146">
                  <c:v>48778</c:v>
                </c:pt>
                <c:pt idx="147">
                  <c:v>52408</c:v>
                </c:pt>
                <c:pt idx="148">
                  <c:v>50129</c:v>
                </c:pt>
                <c:pt idx="149">
                  <c:v>48878</c:v>
                </c:pt>
                <c:pt idx="150">
                  <c:v>46600</c:v>
                </c:pt>
                <c:pt idx="151">
                  <c:v>34689</c:v>
                </c:pt>
                <c:pt idx="152">
                  <c:v>29877</c:v>
                </c:pt>
                <c:pt idx="153">
                  <c:v>18775</c:v>
                </c:pt>
                <c:pt idx="154">
                  <c:v>12298</c:v>
                </c:pt>
                <c:pt idx="155">
                  <c:v>10516</c:v>
                </c:pt>
                <c:pt idx="156">
                  <c:v>14129</c:v>
                </c:pt>
                <c:pt idx="157">
                  <c:v>18262</c:v>
                </c:pt>
                <c:pt idx="158">
                  <c:v>21807</c:v>
                </c:pt>
                <c:pt idx="159">
                  <c:v>23421</c:v>
                </c:pt>
                <c:pt idx="160">
                  <c:v>19841</c:v>
                </c:pt>
                <c:pt idx="161">
                  <c:v>21177</c:v>
                </c:pt>
                <c:pt idx="162">
                  <c:v>20032</c:v>
                </c:pt>
                <c:pt idx="163">
                  <c:v>18966</c:v>
                </c:pt>
                <c:pt idx="164">
                  <c:v>18875</c:v>
                </c:pt>
                <c:pt idx="165">
                  <c:v>19670</c:v>
                </c:pt>
                <c:pt idx="166">
                  <c:v>21738</c:v>
                </c:pt>
                <c:pt idx="167">
                  <c:v>22008</c:v>
                </c:pt>
                <c:pt idx="168">
                  <c:v>23165</c:v>
                </c:pt>
                <c:pt idx="169">
                  <c:v>22299</c:v>
                </c:pt>
                <c:pt idx="170">
                  <c:v>21757</c:v>
                </c:pt>
                <c:pt idx="171">
                  <c:v>23461</c:v>
                </c:pt>
                <c:pt idx="172">
                  <c:v>23463</c:v>
                </c:pt>
                <c:pt idx="173">
                  <c:v>26383</c:v>
                </c:pt>
                <c:pt idx="174">
                  <c:v>28960</c:v>
                </c:pt>
                <c:pt idx="175">
                  <c:v>34072</c:v>
                </c:pt>
                <c:pt idx="176">
                  <c:v>33678</c:v>
                </c:pt>
                <c:pt idx="177">
                  <c:v>31668</c:v>
                </c:pt>
                <c:pt idx="178">
                  <c:v>31697</c:v>
                </c:pt>
                <c:pt idx="179">
                  <c:v>29727</c:v>
                </c:pt>
                <c:pt idx="180">
                  <c:v>30648</c:v>
                </c:pt>
                <c:pt idx="181">
                  <c:v>34185</c:v>
                </c:pt>
                <c:pt idx="182">
                  <c:v>37082</c:v>
                </c:pt>
                <c:pt idx="183">
                  <c:v>37224</c:v>
                </c:pt>
                <c:pt idx="184">
                  <c:v>38358</c:v>
                </c:pt>
                <c:pt idx="185">
                  <c:v>35478</c:v>
                </c:pt>
                <c:pt idx="186">
                  <c:v>32617</c:v>
                </c:pt>
                <c:pt idx="187">
                  <c:v>36741</c:v>
                </c:pt>
                <c:pt idx="188">
                  <c:v>36612</c:v>
                </c:pt>
                <c:pt idx="189">
                  <c:v>36009</c:v>
                </c:pt>
                <c:pt idx="190">
                  <c:v>36618</c:v>
                </c:pt>
                <c:pt idx="191">
                  <c:v>35893</c:v>
                </c:pt>
                <c:pt idx="192">
                  <c:v>35131</c:v>
                </c:pt>
                <c:pt idx="193">
                  <c:v>36019</c:v>
                </c:pt>
                <c:pt idx="194">
                  <c:v>37029</c:v>
                </c:pt>
                <c:pt idx="195">
                  <c:v>37086</c:v>
                </c:pt>
                <c:pt idx="196">
                  <c:v>36110</c:v>
                </c:pt>
                <c:pt idx="197">
                  <c:v>37940</c:v>
                </c:pt>
                <c:pt idx="198">
                  <c:v>39199</c:v>
                </c:pt>
                <c:pt idx="199">
                  <c:v>40152</c:v>
                </c:pt>
                <c:pt idx="200">
                  <c:v>40110</c:v>
                </c:pt>
                <c:pt idx="201">
                  <c:v>13284</c:v>
                </c:pt>
                <c:pt idx="202">
                  <c:v>52782</c:v>
                </c:pt>
                <c:pt idx="203">
                  <c:v>68255</c:v>
                </c:pt>
                <c:pt idx="204">
                  <c:v>56342</c:v>
                </c:pt>
                <c:pt idx="205">
                  <c:v>54037</c:v>
                </c:pt>
                <c:pt idx="206">
                  <c:v>46517</c:v>
                </c:pt>
                <c:pt idx="207">
                  <c:v>48202</c:v>
                </c:pt>
                <c:pt idx="208">
                  <c:v>49345</c:v>
                </c:pt>
                <c:pt idx="209">
                  <c:v>46176</c:v>
                </c:pt>
                <c:pt idx="210">
                  <c:v>47593</c:v>
                </c:pt>
                <c:pt idx="211">
                  <c:v>32084</c:v>
                </c:pt>
                <c:pt idx="212">
                  <c:v>28712</c:v>
                </c:pt>
                <c:pt idx="213">
                  <c:v>34286</c:v>
                </c:pt>
                <c:pt idx="214">
                  <c:v>30168</c:v>
                </c:pt>
                <c:pt idx="215">
                  <c:v>33310</c:v>
                </c:pt>
                <c:pt idx="216">
                  <c:v>40816</c:v>
                </c:pt>
                <c:pt idx="217">
                  <c:v>41994</c:v>
                </c:pt>
                <c:pt idx="218">
                  <c:v>45864</c:v>
                </c:pt>
                <c:pt idx="219">
                  <c:v>49416</c:v>
                </c:pt>
                <c:pt idx="220">
                  <c:v>47696</c:v>
                </c:pt>
                <c:pt idx="221">
                  <c:v>45897</c:v>
                </c:pt>
              </c:numCache>
            </c:numRef>
          </c:val>
          <c:smooth val="0"/>
          <c:extLst>
            <c:ext xmlns:c16="http://schemas.microsoft.com/office/drawing/2014/chart" uri="{C3380CC4-5D6E-409C-BE32-E72D297353CC}">
              <c16:uniqueId val="{00000000-DB84-4730-AE7F-444D928757D7}"/>
            </c:ext>
          </c:extLst>
        </c:ser>
        <c:dLbls>
          <c:showLegendKey val="0"/>
          <c:showVal val="0"/>
          <c:showCatName val="0"/>
          <c:showSerName val="0"/>
          <c:showPercent val="0"/>
          <c:showBubbleSize val="0"/>
        </c:dLbls>
        <c:smooth val="0"/>
        <c:axId val="1646086896"/>
        <c:axId val="1646080656"/>
      </c:lineChart>
      <c:catAx>
        <c:axId val="16460868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0656"/>
        <c:crosses val="autoZero"/>
        <c:auto val="1"/>
        <c:lblAlgn val="ctr"/>
        <c:lblOffset val="100"/>
        <c:noMultiLvlLbl val="0"/>
      </c:catAx>
      <c:valAx>
        <c:axId val="164608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08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247650</xdr:colOff>
      <xdr:row>0</xdr:row>
      <xdr:rowOff>0</xdr:rowOff>
    </xdr:from>
    <xdr:to>
      <xdr:col>22</xdr:col>
      <xdr:colOff>419100</xdr:colOff>
      <xdr:row>36</xdr:row>
      <xdr:rowOff>69849</xdr:rowOff>
    </xdr:to>
    <xdr:graphicFrame macro="">
      <xdr:nvGraphicFramePr>
        <xdr:cNvPr id="3" name="Chart 2">
          <a:extLst>
            <a:ext uri="{FF2B5EF4-FFF2-40B4-BE49-F238E27FC236}">
              <a16:creationId xmlns:a16="http://schemas.microsoft.com/office/drawing/2014/main" id="{6D0B5C82-373C-B943-44B4-1D90EBDE0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986117</xdr:colOff>
      <xdr:row>82</xdr:row>
      <xdr:rowOff>118783</xdr:rowOff>
    </xdr:from>
    <xdr:to>
      <xdr:col>16</xdr:col>
      <xdr:colOff>0</xdr:colOff>
      <xdr:row>97</xdr:row>
      <xdr:rowOff>172571</xdr:rowOff>
    </xdr:to>
    <xdr:graphicFrame macro="">
      <xdr:nvGraphicFramePr>
        <xdr:cNvPr id="2" name="Chart 1">
          <a:extLst>
            <a:ext uri="{FF2B5EF4-FFF2-40B4-BE49-F238E27FC236}">
              <a16:creationId xmlns:a16="http://schemas.microsoft.com/office/drawing/2014/main" id="{91141B04-4A94-061B-75AE-E0A2B42B0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323850</xdr:colOff>
      <xdr:row>198</xdr:row>
      <xdr:rowOff>52387</xdr:rowOff>
    </xdr:from>
    <xdr:to>
      <xdr:col>18</xdr:col>
      <xdr:colOff>19050</xdr:colOff>
      <xdr:row>212</xdr:row>
      <xdr:rowOff>128587</xdr:rowOff>
    </xdr:to>
    <xdr:graphicFrame macro="">
      <xdr:nvGraphicFramePr>
        <xdr:cNvPr id="2" name="Chart 1">
          <a:extLst>
            <a:ext uri="{FF2B5EF4-FFF2-40B4-BE49-F238E27FC236}">
              <a16:creationId xmlns:a16="http://schemas.microsoft.com/office/drawing/2014/main" id="{DAF22CB1-125D-3813-3320-5BB782B9A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196102</xdr:colOff>
      <xdr:row>25</xdr:row>
      <xdr:rowOff>135590</xdr:rowOff>
    </xdr:from>
    <xdr:to>
      <xdr:col>21</xdr:col>
      <xdr:colOff>532278</xdr:colOff>
      <xdr:row>40</xdr:row>
      <xdr:rowOff>21290</xdr:rowOff>
    </xdr:to>
    <xdr:graphicFrame macro="">
      <xdr:nvGraphicFramePr>
        <xdr:cNvPr id="10" name="Chart 9">
          <a:extLst>
            <a:ext uri="{FF2B5EF4-FFF2-40B4-BE49-F238E27FC236}">
              <a16:creationId xmlns:a16="http://schemas.microsoft.com/office/drawing/2014/main" id="{9810D65A-7341-CA58-D32D-35D83D670D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252131</xdr:colOff>
      <xdr:row>3</xdr:row>
      <xdr:rowOff>101973</xdr:rowOff>
    </xdr:from>
    <xdr:to>
      <xdr:col>25</xdr:col>
      <xdr:colOff>212911</xdr:colOff>
      <xdr:row>20</xdr:row>
      <xdr:rowOff>123266</xdr:rowOff>
    </xdr:to>
    <xdr:graphicFrame macro="">
      <xdr:nvGraphicFramePr>
        <xdr:cNvPr id="12" name="Chart 11">
          <a:extLst>
            <a:ext uri="{FF2B5EF4-FFF2-40B4-BE49-F238E27FC236}">
              <a16:creationId xmlns:a16="http://schemas.microsoft.com/office/drawing/2014/main" id="{5261A40B-8170-1FBF-4FED-6AEEB9700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352985</xdr:colOff>
      <xdr:row>8</xdr:row>
      <xdr:rowOff>146796</xdr:rowOff>
    </xdr:from>
    <xdr:to>
      <xdr:col>21</xdr:col>
      <xdr:colOff>84043</xdr:colOff>
      <xdr:row>23</xdr:row>
      <xdr:rowOff>32496</xdr:rowOff>
    </xdr:to>
    <xdr:graphicFrame macro="">
      <xdr:nvGraphicFramePr>
        <xdr:cNvPr id="6" name="Chart 5">
          <a:extLst>
            <a:ext uri="{FF2B5EF4-FFF2-40B4-BE49-F238E27FC236}">
              <a16:creationId xmlns:a16="http://schemas.microsoft.com/office/drawing/2014/main" id="{E87CD73E-27DC-7C2B-4952-21D8A213F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207307</xdr:colOff>
      <xdr:row>7</xdr:row>
      <xdr:rowOff>180413</xdr:rowOff>
    </xdr:from>
    <xdr:to>
      <xdr:col>28</xdr:col>
      <xdr:colOff>543484</xdr:colOff>
      <xdr:row>22</xdr:row>
      <xdr:rowOff>21290</xdr:rowOff>
    </xdr:to>
    <xdr:graphicFrame macro="">
      <xdr:nvGraphicFramePr>
        <xdr:cNvPr id="7" name="Chart 6">
          <a:extLst>
            <a:ext uri="{FF2B5EF4-FFF2-40B4-BE49-F238E27FC236}">
              <a16:creationId xmlns:a16="http://schemas.microsoft.com/office/drawing/2014/main" id="{E5B7D8D9-BDA9-BAFC-A6E5-10E8CA3B3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red.stlouisfed.org/graph/?g=k5Pf" TargetMode="External"/><Relationship Id="rId13" Type="http://schemas.openxmlformats.org/officeDocument/2006/relationships/hyperlink" Target="https://www.policyuncertainty.com/uk_monthly.html" TargetMode="External"/><Relationship Id="rId3" Type="http://schemas.openxmlformats.org/officeDocument/2006/relationships/hyperlink" Target="https://data.bis.org/topics/TOTAL_CREDIT/BIS,WS_TC,2.0/Q.GB.P.B.M.770.A" TargetMode="External"/><Relationship Id="rId7" Type="http://schemas.openxmlformats.org/officeDocument/2006/relationships/hyperlink" Target="https://data.imf.org/en/Data-Explorer?datasetUrn=IMF.STA:CPI(4.0.0)%20%20%20%20%20(uk%20-%20cpi%20-%20all%20items%20-%20period%20avg%20(yoy)%20-%20quarterly%20-%20all" TargetMode="External"/><Relationship Id="rId12" Type="http://schemas.openxmlformats.org/officeDocument/2006/relationships/hyperlink" Target="https://data-explorer.oecd.org/vis?df%5bds%5d=DisseminateFinalDMZ&amp;df%5bid%5d=DSD_NAMAIN1%40DF_QNA_EXPENDITURE_GROWTH_OECD&amp;df%5bag%5d=OECD.SDD.NAD&amp;dq=Q..OECD.S1..B1GQ......GY.&amp;pd=1962-Q1%2C&amp;to%5bTIME_PERIOD%5d=false&amp;vw=tb%20||%20growrh%20over%201%20year%20||%20a%20note:%20formerly%20this%20variable%20relates%20to%20G7%20countries.%20We%20have%20extended%20to%20full%20OECD" TargetMode="External"/><Relationship Id="rId2" Type="http://schemas.openxmlformats.org/officeDocument/2006/relationships/hyperlink" Target="https://www.ons.gov.uk/economy/inflationandpriceindices/timeseries/l55o/mm23" TargetMode="External"/><Relationship Id="rId1" Type="http://schemas.openxmlformats.org/officeDocument/2006/relationships/hyperlink" Target="https://www.ons.gov.uk/economy/grossdomesticproductgdp/timeseries/abmi/pn2" TargetMode="External"/><Relationship Id="rId6" Type="http://schemas.openxmlformats.org/officeDocument/2006/relationships/hyperlink" Target="https://fred.stlouisfed.org/series/MCOILBRENTEU" TargetMode="External"/><Relationship Id="rId11" Type="http://schemas.openxmlformats.org/officeDocument/2006/relationships/hyperlink" Target="https://www.ons.gov.uk/economy/grossdomesticproductgdp/datasets/gdpmonthlyestimateuktimeseriesdataset%20|%20Note:%20we%20compute%20this%20measure%20for%20a%20given%20quarter%20t%20as%20the%20growth%20rate%20between%20the%20average%20monhtly%20GPD%20of%20the%20first%20two%20months%20of%20the%20quarter%20and%20the%20average%20monthly%20GDP%20of%20the%20three%20months%20in%20the%20same%20quarter%20the%20previous%20year.%20ONS%20series%20is%20available%20from%201997q1%20onward%20(hence%20the%20y-o-y%20growth%20from%201998q1).For%20the%20period%20before%20that%20we%20spliced%20the%20series%20with%20y-o-y%20gdp%20growth%20(see%20spliced_mgdp).%20Final%20note:%20we%20shift%20the%20period%20one%20quarter%20FORWARD%20to%20mimic%20the%20info%20set%20of%20the%20BOE.%20For%20a%20given%20quarter%20I%20already%20know%20the%20GDP%20for%20the%20first%20two%20months%20of%20the%20following%20one" TargetMode="External"/><Relationship Id="rId5" Type="http://schemas.openxmlformats.org/officeDocument/2006/relationships/hyperlink" Target="https://fred.stlouisfed.org/series/VIXCLS" TargetMode="External"/><Relationship Id="rId15" Type="http://schemas.openxmlformats.org/officeDocument/2006/relationships/hyperlink" Target="https://data.bis.org/topics/RPP/BIS,WS_SPP,1.0/Q.GB.R.771" TargetMode="External"/><Relationship Id="rId10" Type="http://schemas.openxmlformats.org/officeDocument/2006/relationships/hyperlink" Target="https://www.bankofengland.co.uk/statistics/yield-curves%20Archive%20yield%20curve%20data%20Daily%20|%20Data%20are%20available%20in%20multiple%20vintages%20at%20the%20daily%20level%20-%20we%20generate%20quarterly%20data%20as%20the%20average%20of%20the%20average%20value%20for%20the%20days%20in%20the%20quarter%20(see%20other_series.do).%20We%20did%20not%20use%20monthly%20data%20as%20they%20referer%20to%20the%20last%20day%20in%20the%20month" TargetMode="External"/><Relationship Id="rId4" Type="http://schemas.openxmlformats.org/officeDocument/2006/relationships/hyperlink" Target="https://data.bis.org/topics/TOTAL_CREDIT/BIS,WS_TC,2.0/Q.GB.P.A.M.770.A" TargetMode="External"/><Relationship Id="rId9" Type="http://schemas.openxmlformats.org/officeDocument/2006/relationships/hyperlink" Target="https://data.bis.org/topics/TOTAL_CREDIT/BIS,WS_TC,2.0/Q.GB.P.B.M.770.A" TargetMode="External"/><Relationship Id="rId14" Type="http://schemas.openxmlformats.org/officeDocument/2006/relationships/hyperlink" Target="https://beta.bankofengland.co.uk/boeapps/database/fromshowcolumns.asp?Travel=NIxAZxSUx&amp;FromSeries=1&amp;ToSeries=50&amp;DAT=RNG&amp;FD=1&amp;FM=Jan&amp;FY=1975&amp;TD=31&amp;TM=Dec&amp;TY=2024&amp;FNY=Y&amp;CSVF=TT&amp;html.x=66&amp;html.y=26&amp;SeriesCodes=LPMVTVX&amp;UsingCodes=Y&amp;Filter=N&amp;title=LPMVTVX&amp;VPD=Y"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38"/>
  <sheetViews>
    <sheetView topLeftCell="A7" zoomScale="80" zoomScaleNormal="80" workbookViewId="0">
      <selection activeCell="C21" sqref="C21"/>
    </sheetView>
  </sheetViews>
  <sheetFormatPr defaultRowHeight="14.25" x14ac:dyDescent="0.45"/>
  <cols>
    <col min="1" max="1" width="13.73046875" customWidth="1"/>
    <col min="2" max="2" width="29.796875" customWidth="1"/>
    <col min="3" max="3" width="88.796875" customWidth="1"/>
    <col min="4" max="4" width="34.46484375" customWidth="1"/>
    <col min="5" max="5" width="14.265625" bestFit="1" customWidth="1"/>
    <col min="6" max="6" width="77.53125" bestFit="1" customWidth="1"/>
  </cols>
  <sheetData>
    <row r="3" spans="1:6" x14ac:dyDescent="0.45">
      <c r="A3" s="3" t="s">
        <v>0</v>
      </c>
      <c r="B3" s="1" t="s">
        <v>1</v>
      </c>
      <c r="C3" s="1" t="s">
        <v>2</v>
      </c>
      <c r="D3" s="1" t="s">
        <v>3</v>
      </c>
      <c r="E3" s="1" t="s">
        <v>4</v>
      </c>
      <c r="F3" s="1" t="s">
        <v>5</v>
      </c>
    </row>
    <row r="4" spans="1:6" x14ac:dyDescent="0.45">
      <c r="A4" s="34" t="s">
        <v>6</v>
      </c>
      <c r="B4" s="2" t="s">
        <v>7</v>
      </c>
      <c r="C4" t="s">
        <v>8</v>
      </c>
      <c r="D4" t="s">
        <v>9</v>
      </c>
      <c r="E4" t="s">
        <v>10</v>
      </c>
      <c r="F4" s="5" t="s">
        <v>11</v>
      </c>
    </row>
    <row r="5" spans="1:6" x14ac:dyDescent="0.45">
      <c r="A5" s="34" t="s">
        <v>6</v>
      </c>
      <c r="B5" s="2" t="s">
        <v>12</v>
      </c>
      <c r="C5" t="s">
        <v>13</v>
      </c>
      <c r="D5" t="s">
        <v>14</v>
      </c>
      <c r="E5" t="s">
        <v>15</v>
      </c>
      <c r="F5" s="5"/>
    </row>
    <row r="6" spans="1:6" x14ac:dyDescent="0.45">
      <c r="A6" s="34" t="s">
        <v>6</v>
      </c>
      <c r="B6" t="s">
        <v>16</v>
      </c>
      <c r="C6" t="s">
        <v>17</v>
      </c>
      <c r="D6" t="s">
        <v>14</v>
      </c>
      <c r="E6" t="s">
        <v>18</v>
      </c>
    </row>
    <row r="7" spans="1:6" x14ac:dyDescent="0.45">
      <c r="A7" s="34" t="s">
        <v>6</v>
      </c>
      <c r="B7" t="s">
        <v>19</v>
      </c>
      <c r="C7" t="s">
        <v>20</v>
      </c>
      <c r="D7" t="s">
        <v>21</v>
      </c>
      <c r="E7" t="s">
        <v>10</v>
      </c>
      <c r="F7" s="5" t="s">
        <v>22</v>
      </c>
    </row>
    <row r="8" spans="1:6" x14ac:dyDescent="0.45">
      <c r="A8" s="34" t="s">
        <v>6</v>
      </c>
      <c r="B8" t="s">
        <v>23</v>
      </c>
      <c r="C8" t="s">
        <v>24</v>
      </c>
      <c r="D8" t="s">
        <v>9</v>
      </c>
      <c r="E8" t="s">
        <v>25</v>
      </c>
      <c r="F8" s="5" t="s">
        <v>26</v>
      </c>
    </row>
    <row r="9" spans="1:6" x14ac:dyDescent="0.45">
      <c r="A9" s="34" t="s">
        <v>6</v>
      </c>
      <c r="B9" t="s">
        <v>27</v>
      </c>
      <c r="C9" t="s">
        <v>28</v>
      </c>
      <c r="D9" t="s">
        <v>29</v>
      </c>
      <c r="E9" t="s">
        <v>30</v>
      </c>
      <c r="F9" s="35" t="s">
        <v>31</v>
      </c>
    </row>
    <row r="10" spans="1:6" x14ac:dyDescent="0.45">
      <c r="A10" s="34" t="s">
        <v>6</v>
      </c>
      <c r="B10" t="s">
        <v>32</v>
      </c>
      <c r="C10" s="8" t="s">
        <v>33</v>
      </c>
      <c r="D10" t="s">
        <v>29</v>
      </c>
      <c r="E10" t="s">
        <v>30</v>
      </c>
      <c r="F10" s="7" t="s">
        <v>34</v>
      </c>
    </row>
    <row r="11" spans="1:6" x14ac:dyDescent="0.45">
      <c r="A11" s="34" t="s">
        <v>6</v>
      </c>
      <c r="B11" t="s">
        <v>35</v>
      </c>
      <c r="C11" s="8" t="s">
        <v>36</v>
      </c>
      <c r="D11" t="s">
        <v>14</v>
      </c>
      <c r="E11" t="s">
        <v>37</v>
      </c>
    </row>
    <row r="12" spans="1:6" x14ac:dyDescent="0.45">
      <c r="A12" s="34" t="s">
        <v>38</v>
      </c>
      <c r="B12" t="s">
        <v>39</v>
      </c>
      <c r="C12" t="s">
        <v>40</v>
      </c>
      <c r="D12" t="s">
        <v>41</v>
      </c>
      <c r="E12" t="s">
        <v>42</v>
      </c>
      <c r="F12" s="9" t="s">
        <v>43</v>
      </c>
    </row>
    <row r="13" spans="1:6" x14ac:dyDescent="0.45">
      <c r="A13" s="34" t="s">
        <v>6</v>
      </c>
      <c r="B13" t="s">
        <v>44</v>
      </c>
      <c r="C13" t="s">
        <v>45</v>
      </c>
      <c r="D13" t="s">
        <v>46</v>
      </c>
      <c r="E13" t="s">
        <v>47</v>
      </c>
      <c r="F13" t="s">
        <v>48</v>
      </c>
    </row>
    <row r="14" spans="1:6" s="31" customFormat="1" x14ac:dyDescent="0.45">
      <c r="A14" s="31" t="s">
        <v>6</v>
      </c>
      <c r="B14" s="31" t="s">
        <v>49</v>
      </c>
      <c r="C14" s="31" t="s">
        <v>50</v>
      </c>
      <c r="D14" s="31" t="s">
        <v>51</v>
      </c>
      <c r="E14" s="31" t="s">
        <v>52</v>
      </c>
      <c r="F14" s="31" t="s">
        <v>53</v>
      </c>
    </row>
    <row r="15" spans="1:6" s="31" customFormat="1" x14ac:dyDescent="0.45">
      <c r="A15" s="31" t="s">
        <v>38</v>
      </c>
      <c r="B15" s="31" t="s">
        <v>54</v>
      </c>
      <c r="C15" s="31" t="s">
        <v>55</v>
      </c>
      <c r="D15" s="31" t="s">
        <v>51</v>
      </c>
      <c r="E15" s="31" t="s">
        <v>52</v>
      </c>
      <c r="F15" s="31" t="s">
        <v>53</v>
      </c>
    </row>
    <row r="16" spans="1:6" x14ac:dyDescent="0.45">
      <c r="A16" s="34" t="s">
        <v>38</v>
      </c>
      <c r="B16" t="s">
        <v>56</v>
      </c>
      <c r="C16" t="s">
        <v>57</v>
      </c>
      <c r="D16" t="s">
        <v>41</v>
      </c>
      <c r="E16" t="s">
        <v>58</v>
      </c>
      <c r="F16" s="5" t="s">
        <v>59</v>
      </c>
    </row>
    <row r="17" spans="1:6" x14ac:dyDescent="0.45">
      <c r="A17" s="34" t="s">
        <v>38</v>
      </c>
      <c r="B17" t="s">
        <v>60</v>
      </c>
      <c r="C17" t="s">
        <v>61</v>
      </c>
      <c r="D17" t="s">
        <v>41</v>
      </c>
      <c r="E17" t="s">
        <v>62</v>
      </c>
      <c r="F17" t="s">
        <v>63</v>
      </c>
    </row>
    <row r="18" spans="1:6" x14ac:dyDescent="0.45">
      <c r="A18" s="34" t="s">
        <v>38</v>
      </c>
      <c r="B18" t="s">
        <v>64</v>
      </c>
      <c r="C18" t="s">
        <v>57</v>
      </c>
      <c r="D18" t="s">
        <v>14</v>
      </c>
      <c r="E18" t="s">
        <v>65</v>
      </c>
      <c r="F18" s="5"/>
    </row>
    <row r="19" spans="1:6" x14ac:dyDescent="0.45">
      <c r="A19" s="34" t="s">
        <v>38</v>
      </c>
      <c r="B19" t="s">
        <v>66</v>
      </c>
      <c r="C19" t="s">
        <v>67</v>
      </c>
      <c r="D19" t="s">
        <v>41</v>
      </c>
      <c r="E19" t="s">
        <v>68</v>
      </c>
      <c r="F19" s="5" t="s">
        <v>69</v>
      </c>
    </row>
    <row r="20" spans="1:6" x14ac:dyDescent="0.45">
      <c r="A20" s="34" t="s">
        <v>38</v>
      </c>
      <c r="B20" t="s">
        <v>70</v>
      </c>
      <c r="C20" t="s">
        <v>71</v>
      </c>
      <c r="D20" t="s">
        <v>72</v>
      </c>
      <c r="E20" t="s">
        <v>10</v>
      </c>
      <c r="F20" s="9" t="s">
        <v>73</v>
      </c>
    </row>
    <row r="21" spans="1:6" x14ac:dyDescent="0.45">
      <c r="A21" s="34" t="s">
        <v>6</v>
      </c>
      <c r="B21" s="2" t="s">
        <v>74</v>
      </c>
      <c r="C21" t="s">
        <v>75</v>
      </c>
      <c r="D21" t="s">
        <v>14</v>
      </c>
      <c r="E21" t="s">
        <v>37</v>
      </c>
      <c r="F21" s="5"/>
    </row>
    <row r="22" spans="1:6" x14ac:dyDescent="0.45">
      <c r="A22" s="34" t="s">
        <v>6</v>
      </c>
      <c r="B22" t="s">
        <v>76</v>
      </c>
      <c r="C22" t="s">
        <v>77</v>
      </c>
      <c r="D22" t="s">
        <v>78</v>
      </c>
      <c r="E22" t="s">
        <v>79</v>
      </c>
      <c r="F22" s="42" t="s">
        <v>80</v>
      </c>
    </row>
    <row r="23" spans="1:6" x14ac:dyDescent="0.45">
      <c r="A23" s="34" t="s">
        <v>6</v>
      </c>
      <c r="B23" t="s">
        <v>81</v>
      </c>
      <c r="C23" t="s">
        <v>82</v>
      </c>
      <c r="D23" t="s">
        <v>78</v>
      </c>
      <c r="E23" t="s">
        <v>79</v>
      </c>
      <c r="F23" s="42" t="s">
        <v>83</v>
      </c>
    </row>
    <row r="24" spans="1:6" x14ac:dyDescent="0.45">
      <c r="A24" s="34" t="s">
        <v>6</v>
      </c>
      <c r="B24" s="2" t="s">
        <v>84</v>
      </c>
      <c r="C24" t="s">
        <v>85</v>
      </c>
      <c r="D24" t="s">
        <v>86</v>
      </c>
      <c r="E24" t="s">
        <v>87</v>
      </c>
      <c r="F24" s="24" t="s">
        <v>88</v>
      </c>
    </row>
    <row r="25" spans="1:6" x14ac:dyDescent="0.45">
      <c r="A25" s="34" t="s">
        <v>6</v>
      </c>
      <c r="B25" t="s">
        <v>89</v>
      </c>
      <c r="C25" t="s">
        <v>90</v>
      </c>
      <c r="D25" t="s">
        <v>91</v>
      </c>
      <c r="E25" t="s">
        <v>92</v>
      </c>
      <c r="F25" s="35" t="s">
        <v>93</v>
      </c>
    </row>
    <row r="26" spans="1:6" x14ac:dyDescent="0.45">
      <c r="A26" s="34" t="s">
        <v>6</v>
      </c>
      <c r="B26" t="s">
        <v>94</v>
      </c>
      <c r="C26" t="s">
        <v>95</v>
      </c>
      <c r="D26" t="s">
        <v>96</v>
      </c>
      <c r="E26" t="s">
        <v>47</v>
      </c>
      <c r="F26" s="27" t="s">
        <v>97</v>
      </c>
    </row>
    <row r="27" spans="1:6" x14ac:dyDescent="0.45">
      <c r="A27" s="34" t="s">
        <v>6</v>
      </c>
      <c r="B27" t="s">
        <v>98</v>
      </c>
      <c r="C27" t="s">
        <v>99</v>
      </c>
      <c r="D27" t="s">
        <v>9</v>
      </c>
      <c r="E27" t="s">
        <v>100</v>
      </c>
      <c r="F27" s="37" t="s">
        <v>101</v>
      </c>
    </row>
    <row r="28" spans="1:6" x14ac:dyDescent="0.45">
      <c r="A28" s="34" t="s">
        <v>6</v>
      </c>
      <c r="B28" s="2" t="s">
        <v>102</v>
      </c>
      <c r="C28" t="s">
        <v>103</v>
      </c>
      <c r="D28" t="s">
        <v>14</v>
      </c>
      <c r="E28" t="s">
        <v>100</v>
      </c>
      <c r="F28" s="37" t="s">
        <v>104</v>
      </c>
    </row>
    <row r="29" spans="1:6" ht="15.7" customHeight="1" x14ac:dyDescent="0.45">
      <c r="A29" s="34" t="s">
        <v>6</v>
      </c>
      <c r="B29" s="2" t="s">
        <v>105</v>
      </c>
      <c r="C29" t="s">
        <v>106</v>
      </c>
      <c r="D29" t="s">
        <v>72</v>
      </c>
      <c r="E29" t="s">
        <v>107</v>
      </c>
      <c r="F29" s="41" t="s">
        <v>108</v>
      </c>
    </row>
    <row r="30" spans="1:6" x14ac:dyDescent="0.45">
      <c r="A30" s="38" t="s">
        <v>6</v>
      </c>
      <c r="B30" t="s">
        <v>109</v>
      </c>
      <c r="C30" t="s">
        <v>110</v>
      </c>
      <c r="D30" t="s">
        <v>111</v>
      </c>
      <c r="E30" t="s">
        <v>47</v>
      </c>
      <c r="F30" s="9" t="s">
        <v>112</v>
      </c>
    </row>
    <row r="31" spans="1:6" x14ac:dyDescent="0.45">
      <c r="A31" s="34" t="s">
        <v>6</v>
      </c>
      <c r="B31" t="s">
        <v>113</v>
      </c>
      <c r="C31" t="s">
        <v>114</v>
      </c>
      <c r="D31" t="s">
        <v>29</v>
      </c>
      <c r="E31" t="s">
        <v>10</v>
      </c>
      <c r="F31" s="5" t="s">
        <v>115</v>
      </c>
    </row>
    <row r="32" spans="1:6" x14ac:dyDescent="0.45">
      <c r="A32" s="34" t="s">
        <v>6</v>
      </c>
      <c r="B32" t="s">
        <v>116</v>
      </c>
      <c r="C32" t="s">
        <v>117</v>
      </c>
      <c r="D32" t="s">
        <v>91</v>
      </c>
      <c r="E32" t="s">
        <v>10</v>
      </c>
      <c r="F32" s="9" t="s">
        <v>118</v>
      </c>
    </row>
    <row r="33" spans="1:6" x14ac:dyDescent="0.45">
      <c r="F33" s="5"/>
    </row>
    <row r="34" spans="1:6" x14ac:dyDescent="0.45">
      <c r="A34" s="34" t="s">
        <v>6</v>
      </c>
      <c r="B34" t="s">
        <v>119</v>
      </c>
      <c r="C34" t="s">
        <v>120</v>
      </c>
      <c r="D34" t="s">
        <v>78</v>
      </c>
      <c r="E34" t="s">
        <v>47</v>
      </c>
      <c r="F34" t="s">
        <v>121</v>
      </c>
    </row>
    <row r="35" spans="1:6" ht="42.75" x14ac:dyDescent="0.45">
      <c r="A35" s="34" t="s">
        <v>38</v>
      </c>
      <c r="B35" t="s">
        <v>122</v>
      </c>
      <c r="C35" s="33" t="s">
        <v>123</v>
      </c>
      <c r="D35" t="s">
        <v>29</v>
      </c>
      <c r="E35" t="s">
        <v>30</v>
      </c>
      <c r="F35" s="7" t="s">
        <v>31</v>
      </c>
    </row>
    <row r="36" spans="1:6" x14ac:dyDescent="0.45">
      <c r="A36" s="34" t="s">
        <v>38</v>
      </c>
      <c r="B36" t="s">
        <v>124</v>
      </c>
      <c r="C36" s="8" t="s">
        <v>125</v>
      </c>
      <c r="D36" t="s">
        <v>14</v>
      </c>
      <c r="E36" t="s">
        <v>37</v>
      </c>
    </row>
    <row r="37" spans="1:6" x14ac:dyDescent="0.45">
      <c r="A37" s="34" t="s">
        <v>6</v>
      </c>
      <c r="B37" t="s">
        <v>126</v>
      </c>
      <c r="C37" t="s">
        <v>127</v>
      </c>
      <c r="D37" t="s">
        <v>78</v>
      </c>
      <c r="E37" t="s">
        <v>128</v>
      </c>
      <c r="F37" t="s">
        <v>129</v>
      </c>
    </row>
    <row r="38" spans="1:6" s="31" customFormat="1" x14ac:dyDescent="0.45">
      <c r="A38" s="31" t="s">
        <v>6</v>
      </c>
      <c r="B38" s="31" t="s">
        <v>130</v>
      </c>
      <c r="C38" s="31" t="s">
        <v>131</v>
      </c>
      <c r="D38" s="31" t="s">
        <v>78</v>
      </c>
      <c r="E38" s="31" t="s">
        <v>132</v>
      </c>
      <c r="F38" s="31" t="s">
        <v>129</v>
      </c>
    </row>
  </sheetData>
  <phoneticPr fontId="3" type="noConversion"/>
  <hyperlinks>
    <hyperlink ref="F4" r:id="rId1" xr:uid="{D99EB7CF-928E-4C85-B3E8-DD9832FDB250}"/>
    <hyperlink ref="F8" r:id="rId2" xr:uid="{7DEA9824-A2F5-4B56-A24F-95A6ABE925BD}"/>
    <hyperlink ref="F9" r:id="rId3" xr:uid="{674F6086-E8CB-4605-9A22-FB01453C6E58}"/>
    <hyperlink ref="F10" r:id="rId4" xr:uid="{AD48F409-597D-40FB-B497-002E8E343455}"/>
    <hyperlink ref="F12" r:id="rId5" location="      || the series is spliced with S&amp;P mrkt vol pre 1990q1" xr:uid="{7CB9C29B-F7A5-431F-9345-4117E743C4EE}"/>
    <hyperlink ref="F16" r:id="rId6" xr:uid="{DF53E758-15CF-44A2-B8E7-2F31A6FCD7B3}"/>
    <hyperlink ref="F7" r:id="rId7" xr:uid="{DBE5CEA1-CB58-4E0C-8E41-3BA4E6BA1C23}"/>
    <hyperlink ref="F19" r:id="rId8" xr:uid="{32E3F2B9-F956-4E7D-8999-0607386C0AA4}"/>
    <hyperlink ref="F35" r:id="rId9" xr:uid="{7B4E5B2D-16BD-4C11-9741-9BF90B7BB16F}"/>
    <hyperlink ref="F25" r:id="rId10" display="https://www.bankofengland.co.uk/statistics/yield-curves Archive yield curve data Daily | Data are available in multiple vintages at the daily level - we generate quarterly data as the average of the average value for the days in the quarter (see other_series.do). We did not use monthly data as they referer to the last day in the month" xr:uid="{8C66053E-EA0B-475D-8ECC-F22DA842AAC1}"/>
    <hyperlink ref="F29" r:id="rId11" display="https://www.ons.gov.uk/economy/grossdomesticproductgdp/datasets/gdpmonthlyestimateuktimeseriesdataset | Note: we compute this measure for a given quarter t as the growth rate between the average monhtly GPD of the first two months of the quarter and the average monthly GDP of the three months in the same quarter the previous year. ONS series is available from 1997q1 onward (hence the y-o-y growth from 1998q1).For the period before that we spliced the series with y-o-y gdp growth (see spliced_mgdp). _x000a_Final note: we shift the period one quarter FORWARD to mimic the info set of the BOE. For a given quarter I already know the GDP for the first two months of the following one " xr:uid="{16D9750B-F9F9-4AC7-9A13-03B4D7116908}"/>
    <hyperlink ref="F20" r:id="rId12" display="https://data-explorer.oecd.org/vis?df[ds]=DisseminateFinalDMZ&amp;df[id]=DSD_NAMAIN1%40DF_QNA_EXPENDITURE_GROWTH_OECD&amp;df[ag]=OECD.SDD.NAD&amp;dq=Q..OECD.S1..B1GQ......GY.&amp;pd=1962-Q1%2C&amp;to[TIME_PERIOD]=false&amp;vw=tb || growrh over 1 year || a note: formerly this variable relates to G7 countries. We have extended to full OECD" xr:uid="{162BC5B8-2274-4064-B9C0-532ABA93C409}"/>
    <hyperlink ref="F30" r:id="rId13" display="https://www.policyuncertainty.com/uk_monthly.html" xr:uid="{5F990997-3C2A-49A6-AE31-C91CDC5A319A}"/>
    <hyperlink ref="F32" r:id="rId14" display="https://beta.bankofengland.co.uk/boeapps/database/fromshowcolumns.asp?Travel=NIxAZxSUx&amp;FromSeries=1&amp;ToSeries=50&amp;DAT=RNG&amp;FD=1&amp;FM=Jan&amp;FY=1975&amp;TD=31&amp;TM=Dec&amp;TY=2024&amp;FNY=Y&amp;CSVF=TT&amp;html.x=66&amp;html.y=26&amp;SeriesCodes=LPMVTVX&amp;UsingCodes=Y&amp;Filter=N&amp;title=LPMVTVX&amp;VPD=Y" xr:uid="{CD92A09C-8D9D-436A-8367-E1584EFE1DF0}"/>
    <hyperlink ref="F31" r:id="rId15" xr:uid="{BC1EEA18-00CE-4C70-9B66-36EE6FCFAC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5680-92F3-41C8-B96D-9ED77E8999FA}">
  <sheetPr>
    <tabColor theme="9" tint="0.79998168889431442"/>
  </sheetPr>
  <dimension ref="A1:D226"/>
  <sheetViews>
    <sheetView topLeftCell="A217" workbookViewId="0">
      <selection activeCell="C230" sqref="C230"/>
    </sheetView>
  </sheetViews>
  <sheetFormatPr defaultRowHeight="14.25" x14ac:dyDescent="0.45"/>
  <cols>
    <col min="2" max="2" width="8.796875" bestFit="1" customWidth="1"/>
    <col min="3" max="4" width="9.796875" bestFit="1" customWidth="1"/>
  </cols>
  <sheetData>
    <row r="1" spans="1:4" x14ac:dyDescent="0.45">
      <c r="B1" t="s">
        <v>6</v>
      </c>
      <c r="C1" t="s">
        <v>133</v>
      </c>
      <c r="D1" t="s">
        <v>134</v>
      </c>
    </row>
    <row r="2" spans="1:4" x14ac:dyDescent="0.45">
      <c r="A2" t="s">
        <v>135</v>
      </c>
      <c r="B2">
        <v>225223</v>
      </c>
      <c r="C2" s="2">
        <v>123456789</v>
      </c>
      <c r="D2" s="2">
        <v>123456789</v>
      </c>
    </row>
    <row r="3" spans="1:4" x14ac:dyDescent="0.45">
      <c r="A3" t="s">
        <v>136</v>
      </c>
      <c r="B3">
        <v>230605</v>
      </c>
      <c r="C3" s="2">
        <v>123456789</v>
      </c>
      <c r="D3" s="2">
        <v>123456789</v>
      </c>
    </row>
    <row r="4" spans="1:4" x14ac:dyDescent="0.45">
      <c r="A4" t="s">
        <v>137</v>
      </c>
      <c r="B4">
        <v>232800</v>
      </c>
      <c r="C4" s="2">
        <v>123456789</v>
      </c>
      <c r="D4" s="2">
        <v>123456789</v>
      </c>
    </row>
    <row r="5" spans="1:4" x14ac:dyDescent="0.45">
      <c r="A5" t="s">
        <v>138</v>
      </c>
      <c r="B5">
        <v>234954</v>
      </c>
      <c r="C5" s="2">
        <v>123456789</v>
      </c>
      <c r="D5" s="2">
        <v>123456789</v>
      </c>
    </row>
    <row r="6" spans="1:4" x14ac:dyDescent="0.45">
      <c r="A6" t="s">
        <v>139</v>
      </c>
      <c r="B6">
        <v>233843</v>
      </c>
      <c r="C6" s="2">
        <v>123456789</v>
      </c>
      <c r="D6" s="2">
        <v>123456789</v>
      </c>
    </row>
    <row r="7" spans="1:4" x14ac:dyDescent="0.45">
      <c r="A7" t="s">
        <v>140</v>
      </c>
      <c r="B7">
        <v>238030</v>
      </c>
      <c r="C7" s="2">
        <v>123456789</v>
      </c>
      <c r="D7" s="2">
        <v>123456789</v>
      </c>
    </row>
    <row r="8" spans="1:4" x14ac:dyDescent="0.45">
      <c r="A8" t="s">
        <v>141</v>
      </c>
      <c r="B8">
        <v>242078</v>
      </c>
      <c r="C8" s="2">
        <v>123456789</v>
      </c>
      <c r="D8" s="2">
        <v>123456789</v>
      </c>
    </row>
    <row r="9" spans="1:4" x14ac:dyDescent="0.45">
      <c r="A9" t="s">
        <v>142</v>
      </c>
      <c r="B9">
        <v>243009</v>
      </c>
      <c r="C9" s="2">
        <v>123456789</v>
      </c>
      <c r="D9" s="2">
        <v>123456789</v>
      </c>
    </row>
    <row r="10" spans="1:4" x14ac:dyDescent="0.45">
      <c r="A10" t="s">
        <v>143</v>
      </c>
      <c r="B10">
        <v>243540</v>
      </c>
      <c r="C10" s="2">
        <v>123456789</v>
      </c>
      <c r="D10" s="2">
        <v>123456789</v>
      </c>
    </row>
    <row r="11" spans="1:4" x14ac:dyDescent="0.45">
      <c r="A11" t="s">
        <v>144</v>
      </c>
      <c r="B11">
        <v>249966</v>
      </c>
      <c r="C11" s="2">
        <v>123456789</v>
      </c>
      <c r="D11" s="2">
        <v>123456789</v>
      </c>
    </row>
    <row r="12" spans="1:4" x14ac:dyDescent="0.45">
      <c r="A12" t="s">
        <v>145</v>
      </c>
      <c r="B12">
        <v>250633</v>
      </c>
      <c r="C12" s="2">
        <v>123456789</v>
      </c>
      <c r="D12" s="2">
        <v>123456789</v>
      </c>
    </row>
    <row r="13" spans="1:4" x14ac:dyDescent="0.45">
      <c r="A13" t="s">
        <v>146</v>
      </c>
      <c r="B13">
        <v>254524</v>
      </c>
      <c r="C13" s="2">
        <v>123456789</v>
      </c>
      <c r="D13" s="2">
        <v>123456789</v>
      </c>
    </row>
    <row r="14" spans="1:4" x14ac:dyDescent="0.45">
      <c r="A14" t="s">
        <v>147</v>
      </c>
      <c r="B14">
        <v>267015</v>
      </c>
      <c r="C14" s="2">
        <v>123456789</v>
      </c>
      <c r="D14" s="2">
        <v>123456789</v>
      </c>
    </row>
    <row r="15" spans="1:4" x14ac:dyDescent="0.45">
      <c r="A15" t="s">
        <v>148</v>
      </c>
      <c r="B15">
        <v>267521</v>
      </c>
      <c r="C15" s="2">
        <v>123456789</v>
      </c>
      <c r="D15" s="2">
        <v>123456789</v>
      </c>
    </row>
    <row r="16" spans="1:4" x14ac:dyDescent="0.45">
      <c r="A16" t="s">
        <v>149</v>
      </c>
      <c r="B16">
        <v>265025</v>
      </c>
      <c r="C16" s="2">
        <v>123456789</v>
      </c>
      <c r="D16" s="2">
        <v>123456789</v>
      </c>
    </row>
    <row r="17" spans="1:4" x14ac:dyDescent="0.45">
      <c r="A17" t="s">
        <v>150</v>
      </c>
      <c r="B17">
        <v>263989</v>
      </c>
      <c r="C17" s="2">
        <v>123456789</v>
      </c>
      <c r="D17" s="2">
        <v>123456789</v>
      </c>
    </row>
    <row r="18" spans="1:4" x14ac:dyDescent="0.45">
      <c r="A18" t="s">
        <v>151</v>
      </c>
      <c r="B18">
        <v>256670</v>
      </c>
      <c r="C18" s="2">
        <v>123456789</v>
      </c>
      <c r="D18" s="2">
        <v>123456789</v>
      </c>
    </row>
    <row r="19" spans="1:4" x14ac:dyDescent="0.45">
      <c r="A19" t="s">
        <v>152</v>
      </c>
      <c r="B19">
        <v>260347</v>
      </c>
      <c r="C19" s="2">
        <v>123456789</v>
      </c>
      <c r="D19" s="2">
        <v>123456789</v>
      </c>
    </row>
    <row r="20" spans="1:4" x14ac:dyDescent="0.45">
      <c r="A20" t="s">
        <v>153</v>
      </c>
      <c r="B20">
        <v>261890</v>
      </c>
      <c r="C20" s="2">
        <v>123456789</v>
      </c>
      <c r="D20" s="2">
        <v>123456789</v>
      </c>
    </row>
    <row r="21" spans="1:4" x14ac:dyDescent="0.45">
      <c r="A21" t="s">
        <v>154</v>
      </c>
      <c r="B21">
        <v>258066</v>
      </c>
      <c r="C21" s="2">
        <v>123456789</v>
      </c>
      <c r="D21" s="2">
        <v>123456789</v>
      </c>
    </row>
    <row r="22" spans="1:4" x14ac:dyDescent="0.45">
      <c r="A22" t="s">
        <v>155</v>
      </c>
      <c r="B22">
        <v>258116</v>
      </c>
      <c r="C22" s="2">
        <v>123456789</v>
      </c>
      <c r="D22" s="2">
        <v>123456789</v>
      </c>
    </row>
    <row r="23" spans="1:4" x14ac:dyDescent="0.45">
      <c r="A23" t="s">
        <v>156</v>
      </c>
      <c r="B23">
        <v>253935</v>
      </c>
      <c r="C23" s="2">
        <v>123456789</v>
      </c>
      <c r="D23" s="2">
        <v>123456789</v>
      </c>
    </row>
    <row r="24" spans="1:4" x14ac:dyDescent="0.45">
      <c r="A24" t="s">
        <v>157</v>
      </c>
      <c r="B24">
        <v>253168</v>
      </c>
      <c r="C24" s="2">
        <v>123456789</v>
      </c>
      <c r="D24" s="2">
        <v>123456789</v>
      </c>
    </row>
    <row r="25" spans="1:4" x14ac:dyDescent="0.45">
      <c r="A25" t="s">
        <v>158</v>
      </c>
      <c r="B25">
        <v>255985</v>
      </c>
      <c r="C25" s="2">
        <v>123456789</v>
      </c>
      <c r="D25" s="2">
        <v>123456789</v>
      </c>
    </row>
    <row r="26" spans="1:4" x14ac:dyDescent="0.45">
      <c r="A26" t="s">
        <v>159</v>
      </c>
      <c r="B26">
        <v>260268</v>
      </c>
      <c r="C26" s="2">
        <v>123456789</v>
      </c>
      <c r="D26" s="2">
        <v>123456789</v>
      </c>
    </row>
    <row r="27" spans="1:4" x14ac:dyDescent="0.45">
      <c r="A27" t="s">
        <v>160</v>
      </c>
      <c r="B27">
        <v>259911</v>
      </c>
      <c r="C27" s="2">
        <v>123456789</v>
      </c>
      <c r="D27" s="2">
        <v>123456789</v>
      </c>
    </row>
    <row r="28" spans="1:4" x14ac:dyDescent="0.45">
      <c r="A28" t="s">
        <v>161</v>
      </c>
      <c r="B28">
        <v>263132</v>
      </c>
      <c r="C28" s="2">
        <v>123456789</v>
      </c>
      <c r="D28" s="2">
        <v>123456789</v>
      </c>
    </row>
    <row r="29" spans="1:4" x14ac:dyDescent="0.45">
      <c r="A29" t="s">
        <v>162</v>
      </c>
      <c r="B29">
        <v>268662</v>
      </c>
      <c r="C29" s="2">
        <v>123456789</v>
      </c>
      <c r="D29" s="2">
        <v>123456789</v>
      </c>
    </row>
    <row r="30" spans="1:4" x14ac:dyDescent="0.45">
      <c r="A30" t="s">
        <v>163</v>
      </c>
      <c r="B30">
        <v>268833</v>
      </c>
      <c r="C30" s="2">
        <v>123456789</v>
      </c>
      <c r="D30" s="2">
        <v>123456789</v>
      </c>
    </row>
    <row r="31" spans="1:4" x14ac:dyDescent="0.45">
      <c r="A31" t="s">
        <v>164</v>
      </c>
      <c r="B31">
        <v>266987</v>
      </c>
      <c r="C31" s="2">
        <v>123456789</v>
      </c>
      <c r="D31" s="2">
        <v>123456789</v>
      </c>
    </row>
    <row r="32" spans="1:4" x14ac:dyDescent="0.45">
      <c r="A32" t="s">
        <v>165</v>
      </c>
      <c r="B32">
        <v>268717</v>
      </c>
      <c r="C32" s="2">
        <v>123456789</v>
      </c>
      <c r="D32" s="2">
        <v>123456789</v>
      </c>
    </row>
    <row r="33" spans="1:4" x14ac:dyDescent="0.45">
      <c r="A33" t="s">
        <v>166</v>
      </c>
      <c r="B33">
        <v>273279</v>
      </c>
      <c r="C33" s="2">
        <v>123456789</v>
      </c>
      <c r="D33" s="2">
        <v>123456789</v>
      </c>
    </row>
    <row r="34" spans="1:4" x14ac:dyDescent="0.45">
      <c r="A34" t="s">
        <v>167</v>
      </c>
      <c r="B34">
        <v>275841</v>
      </c>
      <c r="C34" s="2">
        <v>123456789</v>
      </c>
      <c r="D34" s="2">
        <v>123456789</v>
      </c>
    </row>
    <row r="35" spans="1:4" x14ac:dyDescent="0.45">
      <c r="A35" t="s">
        <v>168</v>
      </c>
      <c r="B35">
        <v>279001</v>
      </c>
      <c r="C35" s="2">
        <v>123456789</v>
      </c>
      <c r="D35" s="2">
        <v>123456789</v>
      </c>
    </row>
    <row r="36" spans="1:4" x14ac:dyDescent="0.45">
      <c r="A36" t="s">
        <v>169</v>
      </c>
      <c r="B36">
        <v>282797</v>
      </c>
      <c r="C36" s="2">
        <v>123456789</v>
      </c>
      <c r="D36" s="2">
        <v>123456789</v>
      </c>
    </row>
    <row r="37" spans="1:4" x14ac:dyDescent="0.45">
      <c r="A37" t="s">
        <v>170</v>
      </c>
      <c r="B37">
        <v>285314</v>
      </c>
      <c r="C37" s="2">
        <v>123456789</v>
      </c>
      <c r="D37" s="2">
        <v>123456789</v>
      </c>
    </row>
    <row r="38" spans="1:4" x14ac:dyDescent="0.45">
      <c r="A38" t="s">
        <v>171</v>
      </c>
      <c r="B38">
        <v>284457</v>
      </c>
      <c r="C38" s="2">
        <v>123456789</v>
      </c>
      <c r="D38" s="2">
        <v>123456789</v>
      </c>
    </row>
    <row r="39" spans="1:4" x14ac:dyDescent="0.45">
      <c r="A39" t="s">
        <v>172</v>
      </c>
      <c r="B39">
        <v>296841</v>
      </c>
      <c r="C39" s="2">
        <v>123456789</v>
      </c>
      <c r="D39" s="2">
        <v>123456789</v>
      </c>
    </row>
    <row r="40" spans="1:4" x14ac:dyDescent="0.45">
      <c r="A40" t="s">
        <v>173</v>
      </c>
      <c r="B40">
        <v>290297</v>
      </c>
      <c r="C40" s="2">
        <v>123456789</v>
      </c>
      <c r="D40" s="2">
        <v>123456789</v>
      </c>
    </row>
    <row r="41" spans="1:4" x14ac:dyDescent="0.45">
      <c r="A41" t="s">
        <v>174</v>
      </c>
      <c r="B41">
        <v>293265</v>
      </c>
      <c r="C41" s="2">
        <v>123456789</v>
      </c>
      <c r="D41" s="2">
        <v>123456789</v>
      </c>
    </row>
    <row r="42" spans="1:4" x14ac:dyDescent="0.45">
      <c r="A42" t="s">
        <v>175</v>
      </c>
      <c r="B42">
        <v>290378</v>
      </c>
      <c r="C42" s="2">
        <v>123456789</v>
      </c>
      <c r="D42" s="2">
        <v>123456789</v>
      </c>
    </row>
    <row r="43" spans="1:4" x14ac:dyDescent="0.45">
      <c r="A43" t="s">
        <v>176</v>
      </c>
      <c r="B43">
        <v>284713</v>
      </c>
      <c r="C43" s="2">
        <v>123456789</v>
      </c>
      <c r="D43" s="2">
        <v>123456789</v>
      </c>
    </row>
    <row r="44" spans="1:4" x14ac:dyDescent="0.45">
      <c r="A44" t="s">
        <v>177</v>
      </c>
      <c r="B44">
        <v>284402</v>
      </c>
      <c r="C44" s="2">
        <v>123456789</v>
      </c>
      <c r="D44" s="2">
        <v>123456789</v>
      </c>
    </row>
    <row r="45" spans="1:4" x14ac:dyDescent="0.45">
      <c r="A45" t="s">
        <v>178</v>
      </c>
      <c r="B45">
        <v>281496</v>
      </c>
      <c r="C45" s="2">
        <v>123456789</v>
      </c>
      <c r="D45" s="2">
        <v>123456789</v>
      </c>
    </row>
    <row r="46" spans="1:4" x14ac:dyDescent="0.45">
      <c r="A46" t="s">
        <v>179</v>
      </c>
      <c r="B46">
        <v>281257</v>
      </c>
      <c r="C46" s="2">
        <v>123456789</v>
      </c>
      <c r="D46" s="2">
        <v>123456789</v>
      </c>
    </row>
    <row r="47" spans="1:4" x14ac:dyDescent="0.45">
      <c r="A47" t="s">
        <v>180</v>
      </c>
      <c r="B47">
        <v>282155</v>
      </c>
      <c r="C47" s="2">
        <v>123456789</v>
      </c>
      <c r="D47" s="2">
        <v>123456789</v>
      </c>
    </row>
    <row r="48" spans="1:4" x14ac:dyDescent="0.45">
      <c r="A48" t="s">
        <v>181</v>
      </c>
      <c r="B48">
        <v>285437</v>
      </c>
      <c r="C48" s="2">
        <v>123456789</v>
      </c>
      <c r="D48" s="2">
        <v>123456789</v>
      </c>
    </row>
    <row r="49" spans="1:4" x14ac:dyDescent="0.45">
      <c r="A49" t="s">
        <v>182</v>
      </c>
      <c r="B49">
        <v>285814</v>
      </c>
      <c r="C49" s="2">
        <v>123456789</v>
      </c>
      <c r="D49" s="2">
        <v>123456789</v>
      </c>
    </row>
    <row r="50" spans="1:4" x14ac:dyDescent="0.45">
      <c r="A50" t="s">
        <v>183</v>
      </c>
      <c r="B50">
        <v>286275</v>
      </c>
      <c r="C50" s="2">
        <v>123456789</v>
      </c>
      <c r="D50" s="2">
        <v>123456789</v>
      </c>
    </row>
    <row r="51" spans="1:4" x14ac:dyDescent="0.45">
      <c r="A51" t="s">
        <v>184</v>
      </c>
      <c r="B51">
        <v>289232</v>
      </c>
      <c r="C51" s="2">
        <v>123456789</v>
      </c>
      <c r="D51" s="2">
        <v>123456789</v>
      </c>
    </row>
    <row r="52" spans="1:4" x14ac:dyDescent="0.45">
      <c r="A52" t="s">
        <v>185</v>
      </c>
      <c r="B52">
        <v>289852</v>
      </c>
      <c r="C52" s="2">
        <v>123456789</v>
      </c>
      <c r="D52" s="2">
        <v>123456789</v>
      </c>
    </row>
    <row r="53" spans="1:4" x14ac:dyDescent="0.45">
      <c r="A53" t="s">
        <v>186</v>
      </c>
      <c r="B53">
        <v>291832</v>
      </c>
      <c r="C53" s="2">
        <v>123456789</v>
      </c>
      <c r="D53" s="2">
        <v>123456789</v>
      </c>
    </row>
    <row r="54" spans="1:4" x14ac:dyDescent="0.45">
      <c r="A54" t="s">
        <v>187</v>
      </c>
      <c r="B54">
        <v>297563</v>
      </c>
      <c r="C54" s="2">
        <v>123456789</v>
      </c>
      <c r="D54" s="2">
        <v>123456789</v>
      </c>
    </row>
    <row r="55" spans="1:4" x14ac:dyDescent="0.45">
      <c r="A55" t="s">
        <v>188</v>
      </c>
      <c r="B55">
        <v>299623</v>
      </c>
      <c r="C55" s="2">
        <v>123456789</v>
      </c>
      <c r="D55" s="2">
        <v>123456789</v>
      </c>
    </row>
    <row r="56" spans="1:4" x14ac:dyDescent="0.45">
      <c r="A56" t="s">
        <v>189</v>
      </c>
      <c r="B56">
        <v>303085</v>
      </c>
      <c r="C56" s="2">
        <v>123456789</v>
      </c>
      <c r="D56" s="2">
        <v>123456789</v>
      </c>
    </row>
    <row r="57" spans="1:4" x14ac:dyDescent="0.45">
      <c r="A57" t="s">
        <v>190</v>
      </c>
      <c r="B57">
        <v>305361</v>
      </c>
      <c r="C57" s="2">
        <v>123456789</v>
      </c>
      <c r="D57" s="2">
        <v>123456789</v>
      </c>
    </row>
    <row r="58" spans="1:4" x14ac:dyDescent="0.45">
      <c r="A58" t="s">
        <v>191</v>
      </c>
      <c r="B58">
        <v>307964</v>
      </c>
      <c r="C58" s="2">
        <v>123456789</v>
      </c>
      <c r="D58" s="2">
        <v>123456789</v>
      </c>
    </row>
    <row r="59" spans="1:4" x14ac:dyDescent="0.45">
      <c r="A59" t="s">
        <v>192</v>
      </c>
      <c r="B59">
        <v>304892</v>
      </c>
      <c r="C59" s="2">
        <v>123456789</v>
      </c>
      <c r="D59" s="2">
        <v>123456789</v>
      </c>
    </row>
    <row r="60" spans="1:4" x14ac:dyDescent="0.45">
      <c r="A60" t="s">
        <v>193</v>
      </c>
      <c r="B60">
        <v>307122</v>
      </c>
      <c r="C60" s="2">
        <v>123456789</v>
      </c>
      <c r="D60" s="2">
        <v>123456789</v>
      </c>
    </row>
    <row r="61" spans="1:4" x14ac:dyDescent="0.45">
      <c r="A61" t="s">
        <v>194</v>
      </c>
      <c r="B61">
        <v>312697</v>
      </c>
      <c r="C61" s="2">
        <v>123456789</v>
      </c>
      <c r="D61" s="2">
        <v>123456789</v>
      </c>
    </row>
    <row r="62" spans="1:4" x14ac:dyDescent="0.45">
      <c r="A62" t="s">
        <v>195</v>
      </c>
      <c r="B62">
        <v>315753</v>
      </c>
      <c r="C62" s="2">
        <v>123456789</v>
      </c>
      <c r="D62" s="2">
        <v>123456789</v>
      </c>
    </row>
    <row r="63" spans="1:4" x14ac:dyDescent="0.45">
      <c r="A63" t="s">
        <v>196</v>
      </c>
      <c r="B63">
        <v>322451</v>
      </c>
      <c r="C63" s="2">
        <v>123456789</v>
      </c>
      <c r="D63" s="2">
        <v>123456789</v>
      </c>
    </row>
    <row r="64" spans="1:4" x14ac:dyDescent="0.45">
      <c r="A64" t="s">
        <v>197</v>
      </c>
      <c r="B64">
        <v>322392</v>
      </c>
      <c r="C64" s="2">
        <v>123456789</v>
      </c>
      <c r="D64" s="2">
        <v>123456789</v>
      </c>
    </row>
    <row r="65" spans="1:4" x14ac:dyDescent="0.45">
      <c r="A65" t="s">
        <v>198</v>
      </c>
      <c r="B65">
        <v>322604</v>
      </c>
      <c r="C65" s="2">
        <v>123456789</v>
      </c>
      <c r="D65" s="2">
        <v>123456789</v>
      </c>
    </row>
    <row r="66" spans="1:4" x14ac:dyDescent="0.45">
      <c r="A66" t="s">
        <v>199</v>
      </c>
      <c r="B66">
        <v>325968</v>
      </c>
      <c r="C66" s="2">
        <v>123456789</v>
      </c>
      <c r="D66" s="2">
        <v>123456789</v>
      </c>
    </row>
    <row r="67" spans="1:4" x14ac:dyDescent="0.45">
      <c r="A67" t="s">
        <v>200</v>
      </c>
      <c r="B67">
        <v>328872</v>
      </c>
      <c r="C67" s="2">
        <v>123456789</v>
      </c>
      <c r="D67" s="2">
        <v>123456789</v>
      </c>
    </row>
    <row r="68" spans="1:4" x14ac:dyDescent="0.45">
      <c r="A68" t="s">
        <v>201</v>
      </c>
      <c r="B68">
        <v>330966</v>
      </c>
      <c r="C68" s="2">
        <v>123456789</v>
      </c>
      <c r="D68" s="2">
        <v>123456789</v>
      </c>
    </row>
    <row r="69" spans="1:4" x14ac:dyDescent="0.45">
      <c r="A69" t="s">
        <v>202</v>
      </c>
      <c r="B69">
        <v>337367</v>
      </c>
      <c r="C69" s="2">
        <v>123456789</v>
      </c>
      <c r="D69" s="2">
        <v>123456789</v>
      </c>
    </row>
    <row r="70" spans="1:4" x14ac:dyDescent="0.45">
      <c r="A70" t="s">
        <v>203</v>
      </c>
      <c r="B70">
        <v>339754</v>
      </c>
      <c r="C70" s="2">
        <v>123456789</v>
      </c>
      <c r="D70" s="2">
        <v>123456789</v>
      </c>
    </row>
    <row r="71" spans="1:4" x14ac:dyDescent="0.45">
      <c r="A71" t="s">
        <v>204</v>
      </c>
      <c r="B71">
        <v>344795</v>
      </c>
      <c r="C71" s="2">
        <v>123456789</v>
      </c>
      <c r="D71" s="2">
        <v>123456789</v>
      </c>
    </row>
    <row r="72" spans="1:4" x14ac:dyDescent="0.45">
      <c r="A72" t="s">
        <v>205</v>
      </c>
      <c r="B72">
        <v>353365</v>
      </c>
      <c r="C72" s="2">
        <v>123456789</v>
      </c>
      <c r="D72" s="2">
        <v>123456789</v>
      </c>
    </row>
    <row r="73" spans="1:4" x14ac:dyDescent="0.45">
      <c r="A73" t="s">
        <v>206</v>
      </c>
      <c r="B73">
        <v>357439</v>
      </c>
      <c r="C73" s="2">
        <v>123456789</v>
      </c>
      <c r="D73" s="2">
        <v>123456789</v>
      </c>
    </row>
    <row r="74" spans="1:4" x14ac:dyDescent="0.45">
      <c r="A74" t="s">
        <v>207</v>
      </c>
      <c r="B74">
        <v>363267</v>
      </c>
      <c r="C74" s="2">
        <v>123456789</v>
      </c>
      <c r="D74" s="2">
        <v>123456789</v>
      </c>
    </row>
    <row r="75" spans="1:4" x14ac:dyDescent="0.45">
      <c r="A75" t="s">
        <v>208</v>
      </c>
      <c r="B75">
        <v>365209</v>
      </c>
      <c r="C75" s="2">
        <v>123456789</v>
      </c>
      <c r="D75" s="2">
        <v>123456789</v>
      </c>
    </row>
    <row r="76" spans="1:4" x14ac:dyDescent="0.45">
      <c r="A76" t="s">
        <v>209</v>
      </c>
      <c r="B76">
        <v>369774</v>
      </c>
      <c r="C76" s="2">
        <v>123456789</v>
      </c>
      <c r="D76" s="2">
        <v>123456789</v>
      </c>
    </row>
    <row r="77" spans="1:4" x14ac:dyDescent="0.45">
      <c r="A77" t="s">
        <v>210</v>
      </c>
      <c r="B77">
        <v>372752</v>
      </c>
      <c r="C77" s="2">
        <v>123456789</v>
      </c>
      <c r="D77" s="2">
        <v>123456789</v>
      </c>
    </row>
    <row r="78" spans="1:4" x14ac:dyDescent="0.45">
      <c r="A78" t="s">
        <v>211</v>
      </c>
      <c r="B78">
        <v>374612</v>
      </c>
      <c r="C78" s="2">
        <v>123456789</v>
      </c>
      <c r="D78" s="2">
        <v>123456789</v>
      </c>
    </row>
    <row r="79" spans="1:4" x14ac:dyDescent="0.45">
      <c r="A79" t="s">
        <v>212</v>
      </c>
      <c r="B79">
        <v>376951</v>
      </c>
      <c r="C79" s="2">
        <v>123456789</v>
      </c>
      <c r="D79" s="2">
        <v>123456789</v>
      </c>
    </row>
    <row r="80" spans="1:4" x14ac:dyDescent="0.45">
      <c r="A80" t="s">
        <v>213</v>
      </c>
      <c r="B80">
        <v>377573</v>
      </c>
      <c r="C80" s="2">
        <v>123456789</v>
      </c>
      <c r="D80" s="2">
        <v>123456789</v>
      </c>
    </row>
    <row r="81" spans="1:4" x14ac:dyDescent="0.45">
      <c r="A81" t="s">
        <v>214</v>
      </c>
      <c r="B81">
        <v>377508</v>
      </c>
      <c r="C81" s="2">
        <v>123456789</v>
      </c>
      <c r="D81" s="2">
        <v>123456789</v>
      </c>
    </row>
    <row r="82" spans="1:4" x14ac:dyDescent="0.45">
      <c r="A82" t="s">
        <v>215</v>
      </c>
      <c r="B82">
        <v>379458</v>
      </c>
      <c r="C82" s="2">
        <v>123456789</v>
      </c>
      <c r="D82" s="2">
        <v>123456789</v>
      </c>
    </row>
    <row r="83" spans="1:4" x14ac:dyDescent="0.45">
      <c r="A83" t="s">
        <v>216</v>
      </c>
      <c r="B83">
        <v>381997</v>
      </c>
      <c r="C83" s="2">
        <v>123456789</v>
      </c>
      <c r="D83" s="2">
        <v>123456789</v>
      </c>
    </row>
    <row r="84" spans="1:4" x14ac:dyDescent="0.45">
      <c r="A84" t="s">
        <v>217</v>
      </c>
      <c r="B84">
        <v>377831</v>
      </c>
      <c r="C84" s="2">
        <v>123456789</v>
      </c>
      <c r="D84" s="2">
        <v>123456789</v>
      </c>
    </row>
    <row r="85" spans="1:4" x14ac:dyDescent="0.45">
      <c r="A85" t="s">
        <v>218</v>
      </c>
      <c r="B85">
        <v>375916</v>
      </c>
      <c r="C85" s="2">
        <v>123456789</v>
      </c>
      <c r="D85" s="2">
        <v>123456789</v>
      </c>
    </row>
    <row r="86" spans="1:4" x14ac:dyDescent="0.45">
      <c r="A86" t="s">
        <v>219</v>
      </c>
      <c r="B86">
        <v>374060</v>
      </c>
      <c r="C86" s="2">
        <v>123456789</v>
      </c>
      <c r="D86" s="2">
        <v>123456789</v>
      </c>
    </row>
    <row r="87" spans="1:4" x14ac:dyDescent="0.45">
      <c r="A87" t="s">
        <v>220</v>
      </c>
      <c r="B87">
        <v>373608</v>
      </c>
      <c r="C87" s="2">
        <v>123456789</v>
      </c>
      <c r="D87" s="2">
        <v>123456789</v>
      </c>
    </row>
    <row r="88" spans="1:4" x14ac:dyDescent="0.45">
      <c r="A88" t="s">
        <v>221</v>
      </c>
      <c r="B88">
        <v>372878</v>
      </c>
      <c r="C88" s="2">
        <v>123456789</v>
      </c>
      <c r="D88" s="2">
        <v>123456789</v>
      </c>
    </row>
    <row r="89" spans="1:4" x14ac:dyDescent="0.45">
      <c r="A89" t="s">
        <v>222</v>
      </c>
      <c r="B89">
        <v>373357</v>
      </c>
      <c r="C89" s="2">
        <v>123456789</v>
      </c>
      <c r="D89" s="2">
        <v>123456789</v>
      </c>
    </row>
    <row r="90" spans="1:4" x14ac:dyDescent="0.45">
      <c r="A90" t="s">
        <v>223</v>
      </c>
      <c r="B90">
        <v>373317</v>
      </c>
      <c r="C90" s="2">
        <v>123456789</v>
      </c>
      <c r="D90" s="2">
        <v>123456789</v>
      </c>
    </row>
    <row r="91" spans="1:4" x14ac:dyDescent="0.45">
      <c r="A91" t="s">
        <v>224</v>
      </c>
      <c r="B91">
        <v>372751</v>
      </c>
      <c r="C91" s="2">
        <v>123456789</v>
      </c>
      <c r="D91" s="2">
        <v>123456789</v>
      </c>
    </row>
    <row r="92" spans="1:4" x14ac:dyDescent="0.45">
      <c r="A92" t="s">
        <v>225</v>
      </c>
      <c r="B92">
        <v>374537</v>
      </c>
      <c r="C92" s="2">
        <v>123456789</v>
      </c>
      <c r="D92" s="2">
        <v>123456789</v>
      </c>
    </row>
    <row r="93" spans="1:4" x14ac:dyDescent="0.45">
      <c r="A93" t="s">
        <v>226</v>
      </c>
      <c r="B93">
        <v>377418</v>
      </c>
      <c r="C93" s="2">
        <v>123456789</v>
      </c>
      <c r="D93" s="2">
        <v>123456789</v>
      </c>
    </row>
    <row r="94" spans="1:4" x14ac:dyDescent="0.45">
      <c r="A94" t="s">
        <v>227</v>
      </c>
      <c r="B94">
        <v>379370</v>
      </c>
      <c r="C94" s="2">
        <v>123456789</v>
      </c>
      <c r="D94" s="2">
        <v>123456789</v>
      </c>
    </row>
    <row r="95" spans="1:4" x14ac:dyDescent="0.45">
      <c r="A95" t="s">
        <v>228</v>
      </c>
      <c r="B95">
        <v>381045</v>
      </c>
      <c r="C95" s="2">
        <v>123456789</v>
      </c>
      <c r="D95" s="2">
        <v>123456789</v>
      </c>
    </row>
    <row r="96" spans="1:4" x14ac:dyDescent="0.45">
      <c r="A96" t="s">
        <v>229</v>
      </c>
      <c r="B96">
        <v>384524</v>
      </c>
      <c r="C96" s="2">
        <v>123456789</v>
      </c>
      <c r="D96" s="2">
        <v>123456789</v>
      </c>
    </row>
    <row r="97" spans="1:4" x14ac:dyDescent="0.45">
      <c r="A97" t="s">
        <v>230</v>
      </c>
      <c r="B97">
        <v>387143</v>
      </c>
      <c r="C97" s="2">
        <v>123456789</v>
      </c>
      <c r="D97" s="2">
        <v>123456789</v>
      </c>
    </row>
    <row r="98" spans="1:4" x14ac:dyDescent="0.45">
      <c r="A98" t="s">
        <v>231</v>
      </c>
      <c r="B98">
        <v>391026</v>
      </c>
      <c r="C98" s="2">
        <v>123456789</v>
      </c>
      <c r="D98" s="2">
        <v>123456789</v>
      </c>
    </row>
    <row r="99" spans="1:4" x14ac:dyDescent="0.45">
      <c r="A99" t="s">
        <v>232</v>
      </c>
      <c r="B99">
        <v>394588</v>
      </c>
      <c r="C99" s="2">
        <v>123456789</v>
      </c>
      <c r="D99" s="2">
        <v>123456789</v>
      </c>
    </row>
    <row r="100" spans="1:4" x14ac:dyDescent="0.45">
      <c r="A100" t="s">
        <v>233</v>
      </c>
      <c r="B100">
        <v>398566</v>
      </c>
      <c r="C100" s="2">
        <v>123456789</v>
      </c>
      <c r="D100" s="2">
        <v>123456789</v>
      </c>
    </row>
    <row r="101" spans="1:4" x14ac:dyDescent="0.45">
      <c r="A101" t="s">
        <v>234</v>
      </c>
      <c r="B101">
        <v>400279</v>
      </c>
      <c r="C101" s="2">
        <v>123456789</v>
      </c>
      <c r="D101" s="2">
        <v>123456789</v>
      </c>
    </row>
    <row r="102" spans="1:4" x14ac:dyDescent="0.45">
      <c r="A102" t="s">
        <v>235</v>
      </c>
      <c r="B102">
        <v>402390</v>
      </c>
      <c r="C102" s="2">
        <v>123456789</v>
      </c>
      <c r="D102" s="2">
        <v>123456789</v>
      </c>
    </row>
    <row r="103" spans="1:4" x14ac:dyDescent="0.45">
      <c r="A103" t="s">
        <v>236</v>
      </c>
      <c r="B103">
        <v>403259</v>
      </c>
      <c r="C103" s="2">
        <v>123456789</v>
      </c>
      <c r="D103" s="2">
        <v>123456789</v>
      </c>
    </row>
    <row r="104" spans="1:4" x14ac:dyDescent="0.45">
      <c r="A104" t="s">
        <v>237</v>
      </c>
      <c r="B104">
        <v>407795</v>
      </c>
      <c r="C104" s="2">
        <v>123456789</v>
      </c>
      <c r="D104" s="2">
        <v>123456789</v>
      </c>
    </row>
    <row r="105" spans="1:4" x14ac:dyDescent="0.45">
      <c r="A105" t="s">
        <v>238</v>
      </c>
      <c r="B105">
        <v>409132</v>
      </c>
      <c r="C105" s="2">
        <v>123456789</v>
      </c>
      <c r="D105" s="2">
        <v>123456789</v>
      </c>
    </row>
    <row r="106" spans="1:4" x14ac:dyDescent="0.45">
      <c r="A106" t="s">
        <v>239</v>
      </c>
      <c r="B106">
        <v>412022</v>
      </c>
      <c r="C106" s="2">
        <v>123456789</v>
      </c>
      <c r="D106" s="2">
        <v>123456789</v>
      </c>
    </row>
    <row r="107" spans="1:4" x14ac:dyDescent="0.45">
      <c r="A107" t="s">
        <v>240</v>
      </c>
      <c r="B107">
        <v>413325</v>
      </c>
      <c r="C107" s="2">
        <v>123456789</v>
      </c>
      <c r="D107" s="2">
        <v>123456789</v>
      </c>
    </row>
    <row r="108" spans="1:4" x14ac:dyDescent="0.45">
      <c r="A108" t="s">
        <v>241</v>
      </c>
      <c r="B108">
        <v>417019</v>
      </c>
      <c r="C108" s="2">
        <v>123456789</v>
      </c>
      <c r="D108" s="2">
        <v>123456789</v>
      </c>
    </row>
    <row r="109" spans="1:4" x14ac:dyDescent="0.45">
      <c r="A109" t="s">
        <v>242</v>
      </c>
      <c r="B109">
        <v>422639</v>
      </c>
      <c r="C109" s="2">
        <v>123456789</v>
      </c>
      <c r="D109" s="2">
        <v>123456789</v>
      </c>
    </row>
    <row r="110" spans="1:4" x14ac:dyDescent="0.45">
      <c r="A110" t="s">
        <v>243</v>
      </c>
      <c r="B110">
        <v>429418</v>
      </c>
      <c r="C110" s="2">
        <v>123456789</v>
      </c>
      <c r="D110" s="2">
        <v>123456789</v>
      </c>
    </row>
    <row r="111" spans="1:4" x14ac:dyDescent="0.45">
      <c r="A111" t="s">
        <v>244</v>
      </c>
      <c r="B111">
        <v>434199</v>
      </c>
      <c r="C111" s="2">
        <v>123456789</v>
      </c>
      <c r="D111" s="2">
        <v>123456789</v>
      </c>
    </row>
    <row r="112" spans="1:4" x14ac:dyDescent="0.45">
      <c r="A112" t="s">
        <v>245</v>
      </c>
      <c r="B112">
        <v>438100</v>
      </c>
      <c r="C112" s="2">
        <v>123456789</v>
      </c>
      <c r="D112" s="2">
        <v>123456789</v>
      </c>
    </row>
    <row r="113" spans="1:4" x14ac:dyDescent="0.45">
      <c r="A113" t="s">
        <v>246</v>
      </c>
      <c r="B113">
        <v>444540</v>
      </c>
      <c r="C113" s="2">
        <v>123456789</v>
      </c>
      <c r="D113" s="2">
        <v>123456789</v>
      </c>
    </row>
    <row r="114" spans="1:4" x14ac:dyDescent="0.45">
      <c r="A114" t="s">
        <v>247</v>
      </c>
      <c r="B114">
        <v>447712</v>
      </c>
      <c r="C114" s="2">
        <v>123456789</v>
      </c>
      <c r="D114" s="2">
        <v>123456789</v>
      </c>
    </row>
    <row r="115" spans="1:4" x14ac:dyDescent="0.45">
      <c r="A115" t="s">
        <v>248</v>
      </c>
      <c r="B115">
        <v>450292</v>
      </c>
      <c r="C115" s="2">
        <v>123456789</v>
      </c>
      <c r="D115" s="2">
        <v>123456789</v>
      </c>
    </row>
    <row r="116" spans="1:4" x14ac:dyDescent="0.45">
      <c r="A116" t="s">
        <v>249</v>
      </c>
      <c r="B116">
        <v>451005</v>
      </c>
      <c r="C116" s="2">
        <v>123456789</v>
      </c>
      <c r="D116" s="2">
        <v>123456789</v>
      </c>
    </row>
    <row r="117" spans="1:4" x14ac:dyDescent="0.45">
      <c r="A117" t="s">
        <v>250</v>
      </c>
      <c r="B117">
        <v>453937</v>
      </c>
      <c r="C117" s="2">
        <v>123456789</v>
      </c>
      <c r="D117" s="2">
        <v>123456789</v>
      </c>
    </row>
    <row r="118" spans="1:4" x14ac:dyDescent="0.45">
      <c r="A118" t="s">
        <v>251</v>
      </c>
      <c r="B118">
        <v>457044</v>
      </c>
      <c r="C118" s="2">
        <v>123456789</v>
      </c>
      <c r="D118" s="2">
        <v>123456789</v>
      </c>
    </row>
    <row r="119" spans="1:4" x14ac:dyDescent="0.45">
      <c r="A119" t="s">
        <v>252</v>
      </c>
      <c r="B119">
        <v>458710</v>
      </c>
      <c r="C119" s="2">
        <v>123456789</v>
      </c>
      <c r="D119" s="2">
        <v>123456789</v>
      </c>
    </row>
    <row r="120" spans="1:4" x14ac:dyDescent="0.45">
      <c r="A120" t="s">
        <v>253</v>
      </c>
      <c r="B120">
        <v>466387</v>
      </c>
      <c r="C120" s="2">
        <v>123456789</v>
      </c>
      <c r="D120" s="2">
        <v>123456789</v>
      </c>
    </row>
    <row r="121" spans="1:4" x14ac:dyDescent="0.45">
      <c r="A121" t="s">
        <v>254</v>
      </c>
      <c r="B121">
        <v>473892</v>
      </c>
      <c r="C121" s="2">
        <v>123456789</v>
      </c>
      <c r="D121" s="2">
        <v>123456789</v>
      </c>
    </row>
    <row r="122" spans="1:4" x14ac:dyDescent="0.45">
      <c r="A122" t="s">
        <v>255</v>
      </c>
      <c r="B122">
        <v>480212</v>
      </c>
      <c r="C122" s="2">
        <v>123456789</v>
      </c>
      <c r="D122" s="2">
        <v>123456789</v>
      </c>
    </row>
    <row r="123" spans="1:4" x14ac:dyDescent="0.45">
      <c r="A123" t="s">
        <v>256</v>
      </c>
      <c r="B123">
        <v>483672</v>
      </c>
      <c r="C123" s="2">
        <v>123456789</v>
      </c>
      <c r="D123" s="2">
        <v>123456789</v>
      </c>
    </row>
    <row r="124" spans="1:4" x14ac:dyDescent="0.45">
      <c r="A124" t="s">
        <v>257</v>
      </c>
      <c r="B124">
        <v>486617</v>
      </c>
      <c r="C124" s="2">
        <v>123456789</v>
      </c>
      <c r="D124" s="2">
        <v>123456789</v>
      </c>
    </row>
    <row r="125" spans="1:4" x14ac:dyDescent="0.45">
      <c r="A125" t="s">
        <v>258</v>
      </c>
      <c r="B125">
        <v>489506</v>
      </c>
      <c r="C125" s="2">
        <v>123456789</v>
      </c>
      <c r="D125" s="2">
        <v>123456789</v>
      </c>
    </row>
    <row r="126" spans="1:4" x14ac:dyDescent="0.45">
      <c r="A126" t="s">
        <v>259</v>
      </c>
      <c r="B126">
        <v>493575</v>
      </c>
      <c r="C126" s="2">
        <v>123456789</v>
      </c>
      <c r="D126" s="2">
        <v>123456789</v>
      </c>
    </row>
    <row r="127" spans="1:4" x14ac:dyDescent="0.45">
      <c r="A127" t="s">
        <v>260</v>
      </c>
      <c r="B127">
        <v>495602</v>
      </c>
      <c r="C127" s="2">
        <v>123456789</v>
      </c>
      <c r="D127" s="2">
        <v>123456789</v>
      </c>
    </row>
    <row r="128" spans="1:4" x14ac:dyDescent="0.45">
      <c r="A128" t="s">
        <v>261</v>
      </c>
      <c r="B128">
        <v>497938</v>
      </c>
      <c r="C128" s="2">
        <v>123456789</v>
      </c>
      <c r="D128" s="2">
        <v>123456789</v>
      </c>
    </row>
    <row r="129" spans="1:4" x14ac:dyDescent="0.45">
      <c r="A129" t="s">
        <v>262</v>
      </c>
      <c r="B129">
        <v>499278</v>
      </c>
      <c r="C129" s="2">
        <v>123456789</v>
      </c>
      <c r="D129" s="2">
        <v>123456789</v>
      </c>
    </row>
    <row r="130" spans="1:4" x14ac:dyDescent="0.45">
      <c r="A130" t="s">
        <v>263</v>
      </c>
      <c r="B130">
        <v>500794</v>
      </c>
      <c r="C130" s="2">
        <v>123456789</v>
      </c>
      <c r="D130" s="2">
        <v>123456789</v>
      </c>
    </row>
    <row r="131" spans="1:4" x14ac:dyDescent="0.45">
      <c r="A131" t="s">
        <v>264</v>
      </c>
      <c r="B131">
        <v>503433</v>
      </c>
      <c r="C131" s="2">
        <v>123456789</v>
      </c>
      <c r="D131" s="2">
        <v>123456789</v>
      </c>
    </row>
    <row r="132" spans="1:4" x14ac:dyDescent="0.45">
      <c r="A132" t="s">
        <v>265</v>
      </c>
      <c r="B132">
        <v>506386</v>
      </c>
      <c r="C132" s="2">
        <v>123456789</v>
      </c>
      <c r="D132" s="2">
        <v>123456789</v>
      </c>
    </row>
    <row r="133" spans="1:4" x14ac:dyDescent="0.45">
      <c r="A133" t="s">
        <v>266</v>
      </c>
      <c r="B133">
        <v>509728</v>
      </c>
      <c r="C133" s="2">
        <v>123456789</v>
      </c>
      <c r="D133" s="2">
        <v>123456789</v>
      </c>
    </row>
    <row r="134" spans="1:4" x14ac:dyDescent="0.45">
      <c r="A134" t="s">
        <v>267</v>
      </c>
      <c r="B134">
        <v>514031</v>
      </c>
      <c r="C134" s="2">
        <v>123456789</v>
      </c>
      <c r="D134" s="2">
        <v>123456789</v>
      </c>
    </row>
    <row r="135" spans="1:4" x14ac:dyDescent="0.45">
      <c r="A135" t="s">
        <v>268</v>
      </c>
      <c r="B135">
        <v>518802</v>
      </c>
      <c r="C135" s="2">
        <v>123456789</v>
      </c>
      <c r="D135" s="2">
        <v>123456789</v>
      </c>
    </row>
    <row r="136" spans="1:4" x14ac:dyDescent="0.45">
      <c r="A136" t="s">
        <v>269</v>
      </c>
      <c r="B136">
        <v>524213</v>
      </c>
      <c r="C136" s="2">
        <v>123456789</v>
      </c>
      <c r="D136" s="2">
        <v>123456789</v>
      </c>
    </row>
    <row r="137" spans="1:4" x14ac:dyDescent="0.45">
      <c r="A137" t="s">
        <v>270</v>
      </c>
      <c r="B137">
        <v>528320</v>
      </c>
      <c r="C137" s="2">
        <v>123456789</v>
      </c>
      <c r="D137" s="2">
        <v>123456789</v>
      </c>
    </row>
    <row r="138" spans="1:4" x14ac:dyDescent="0.45">
      <c r="A138" t="s">
        <v>271</v>
      </c>
      <c r="B138">
        <v>529996</v>
      </c>
      <c r="C138" s="2">
        <v>123456789</v>
      </c>
      <c r="D138" s="2">
        <v>123456789</v>
      </c>
    </row>
    <row r="139" spans="1:4" x14ac:dyDescent="0.45">
      <c r="A139" t="s">
        <v>272</v>
      </c>
      <c r="B139">
        <v>532543</v>
      </c>
      <c r="C139" s="2">
        <v>123456789</v>
      </c>
      <c r="D139" s="2">
        <v>123456789</v>
      </c>
    </row>
    <row r="140" spans="1:4" x14ac:dyDescent="0.45">
      <c r="A140" t="s">
        <v>273</v>
      </c>
      <c r="B140">
        <v>534447</v>
      </c>
      <c r="C140" s="2">
        <v>123456789</v>
      </c>
      <c r="D140" s="2">
        <v>123456789</v>
      </c>
    </row>
    <row r="141" spans="1:4" x14ac:dyDescent="0.45">
      <c r="A141" t="s">
        <v>274</v>
      </c>
      <c r="B141">
        <v>536886</v>
      </c>
      <c r="C141" s="2">
        <v>123456789</v>
      </c>
      <c r="D141" s="2">
        <v>123456789</v>
      </c>
    </row>
    <row r="142" spans="1:4" x14ac:dyDescent="0.45">
      <c r="A142" t="s">
        <v>275</v>
      </c>
      <c r="B142">
        <v>541028</v>
      </c>
      <c r="C142" s="2">
        <v>123456789</v>
      </c>
      <c r="D142" s="2">
        <v>123456789</v>
      </c>
    </row>
    <row r="143" spans="1:4" x14ac:dyDescent="0.45">
      <c r="A143" t="s">
        <v>276</v>
      </c>
      <c r="B143">
        <v>545530</v>
      </c>
      <c r="C143" s="2">
        <v>123456789</v>
      </c>
      <c r="D143" s="2">
        <v>123456789</v>
      </c>
    </row>
    <row r="144" spans="1:4" x14ac:dyDescent="0.45">
      <c r="A144" t="s">
        <v>277</v>
      </c>
      <c r="B144">
        <v>550552</v>
      </c>
      <c r="C144" s="2">
        <v>123456789</v>
      </c>
      <c r="D144" s="2">
        <v>123456789</v>
      </c>
    </row>
    <row r="145" spans="1:4" x14ac:dyDescent="0.45">
      <c r="A145" t="s">
        <v>278</v>
      </c>
      <c r="B145">
        <v>556311</v>
      </c>
      <c r="C145" s="2">
        <v>123456789</v>
      </c>
      <c r="D145" s="2">
        <v>123456789</v>
      </c>
    </row>
    <row r="146" spans="1:4" x14ac:dyDescent="0.45">
      <c r="A146" t="s">
        <v>279</v>
      </c>
      <c r="B146">
        <v>558314</v>
      </c>
      <c r="C146" s="2">
        <v>123456789</v>
      </c>
      <c r="D146" s="2">
        <v>123456789</v>
      </c>
    </row>
    <row r="147" spans="1:4" x14ac:dyDescent="0.45">
      <c r="A147" t="s">
        <v>280</v>
      </c>
      <c r="B147">
        <v>559795</v>
      </c>
      <c r="C147" s="2">
        <v>123456789</v>
      </c>
      <c r="D147" s="2">
        <v>123456789</v>
      </c>
    </row>
    <row r="148" spans="1:4" x14ac:dyDescent="0.45">
      <c r="A148" t="s">
        <v>281</v>
      </c>
      <c r="B148">
        <v>560675</v>
      </c>
      <c r="C148" s="2">
        <v>123456789</v>
      </c>
      <c r="D148" s="2">
        <v>123456789</v>
      </c>
    </row>
    <row r="149" spans="1:4" x14ac:dyDescent="0.45">
      <c r="A149" t="s">
        <v>282</v>
      </c>
      <c r="B149">
        <v>562669</v>
      </c>
      <c r="C149" s="2">
        <v>123456789</v>
      </c>
      <c r="D149" s="2">
        <v>123456789</v>
      </c>
    </row>
    <row r="150" spans="1:4" x14ac:dyDescent="0.45">
      <c r="A150" t="s">
        <v>283</v>
      </c>
      <c r="B150">
        <v>568845</v>
      </c>
      <c r="C150" s="2">
        <v>123456789</v>
      </c>
      <c r="D150" s="2">
        <v>123456789</v>
      </c>
    </row>
    <row r="151" spans="1:4" x14ac:dyDescent="0.45">
      <c r="A151" t="s">
        <v>284</v>
      </c>
      <c r="B151">
        <v>574194</v>
      </c>
      <c r="C151" s="2">
        <v>123456789</v>
      </c>
      <c r="D151" s="2">
        <v>123456789</v>
      </c>
    </row>
    <row r="152" spans="1:4" x14ac:dyDescent="0.45">
      <c r="A152" t="s">
        <v>285</v>
      </c>
      <c r="B152">
        <v>579605</v>
      </c>
      <c r="C152" s="2">
        <v>123456789</v>
      </c>
      <c r="D152" s="2">
        <v>123456789</v>
      </c>
    </row>
    <row r="153" spans="1:4" x14ac:dyDescent="0.45">
      <c r="A153" t="s">
        <v>286</v>
      </c>
      <c r="B153">
        <v>584504</v>
      </c>
      <c r="C153" s="2">
        <v>123456789</v>
      </c>
      <c r="D153" s="2">
        <v>123456789</v>
      </c>
    </row>
    <row r="154" spans="1:4" x14ac:dyDescent="0.45">
      <c r="A154" t="s">
        <v>287</v>
      </c>
      <c r="B154">
        <v>586690</v>
      </c>
      <c r="C154" s="2">
        <v>123456789</v>
      </c>
      <c r="D154" s="2">
        <v>123456789</v>
      </c>
    </row>
    <row r="155" spans="1:4" x14ac:dyDescent="0.45">
      <c r="A155" t="s">
        <v>288</v>
      </c>
      <c r="B155">
        <v>583541</v>
      </c>
      <c r="C155" s="2">
        <v>123456789</v>
      </c>
      <c r="D155" s="2">
        <v>123456789</v>
      </c>
    </row>
    <row r="156" spans="1:4" x14ac:dyDescent="0.45">
      <c r="A156" t="s">
        <v>289</v>
      </c>
      <c r="B156">
        <v>573961</v>
      </c>
      <c r="C156" s="2">
        <v>123456789</v>
      </c>
      <c r="D156" s="2">
        <v>123456789</v>
      </c>
    </row>
    <row r="157" spans="1:4" x14ac:dyDescent="0.45">
      <c r="A157" t="s">
        <v>290</v>
      </c>
      <c r="B157">
        <v>561816</v>
      </c>
      <c r="C157" s="2">
        <v>123456789</v>
      </c>
      <c r="D157" s="2">
        <v>123456789</v>
      </c>
    </row>
    <row r="158" spans="1:4" x14ac:dyDescent="0.45">
      <c r="A158" t="s">
        <v>291</v>
      </c>
      <c r="B158">
        <v>550451</v>
      </c>
      <c r="C158" s="2">
        <v>123456789</v>
      </c>
      <c r="D158" s="2">
        <v>123456789</v>
      </c>
    </row>
    <row r="159" spans="1:4" x14ac:dyDescent="0.45">
      <c r="A159" t="s">
        <v>292</v>
      </c>
      <c r="B159">
        <v>548859</v>
      </c>
      <c r="C159" s="2">
        <v>123456789</v>
      </c>
      <c r="D159" s="2">
        <v>123456789</v>
      </c>
    </row>
    <row r="160" spans="1:4" x14ac:dyDescent="0.45">
      <c r="A160" t="s">
        <v>293</v>
      </c>
      <c r="B160">
        <v>549540</v>
      </c>
      <c r="C160" s="2">
        <v>123456789</v>
      </c>
      <c r="D160" s="2">
        <v>123456789</v>
      </c>
    </row>
    <row r="161" spans="1:4" x14ac:dyDescent="0.45">
      <c r="A161" t="s">
        <v>294</v>
      </c>
      <c r="B161">
        <v>551372</v>
      </c>
      <c r="C161" s="2">
        <v>123456789</v>
      </c>
      <c r="D161" s="2">
        <v>123456789</v>
      </c>
    </row>
    <row r="162" spans="1:4" x14ac:dyDescent="0.45">
      <c r="A162" t="s">
        <v>295</v>
      </c>
      <c r="B162">
        <v>556002</v>
      </c>
      <c r="C162" s="2">
        <v>123456789</v>
      </c>
      <c r="D162" s="2">
        <v>123456789</v>
      </c>
    </row>
    <row r="163" spans="1:4" x14ac:dyDescent="0.45">
      <c r="A163" t="s">
        <v>296</v>
      </c>
      <c r="B163">
        <v>562353</v>
      </c>
      <c r="C163" s="2">
        <v>123456789</v>
      </c>
      <c r="D163" s="2">
        <v>123456789</v>
      </c>
    </row>
    <row r="164" spans="1:4" x14ac:dyDescent="0.45">
      <c r="A164" t="s">
        <v>297</v>
      </c>
      <c r="B164">
        <v>565659</v>
      </c>
      <c r="C164" s="2">
        <v>123456789</v>
      </c>
      <c r="D164" s="2">
        <v>123456789</v>
      </c>
    </row>
    <row r="165" spans="1:4" x14ac:dyDescent="0.45">
      <c r="A165" t="s">
        <v>298</v>
      </c>
      <c r="B165">
        <v>565945</v>
      </c>
      <c r="C165" s="2">
        <v>123456789</v>
      </c>
      <c r="D165" s="2">
        <v>123456789</v>
      </c>
    </row>
    <row r="166" spans="1:4" x14ac:dyDescent="0.45">
      <c r="A166" t="s">
        <v>299</v>
      </c>
      <c r="B166">
        <v>566873</v>
      </c>
      <c r="C166" s="2">
        <v>123456789</v>
      </c>
      <c r="D166" s="2">
        <v>123456789</v>
      </c>
    </row>
    <row r="167" spans="1:4" x14ac:dyDescent="0.45">
      <c r="A167" t="s">
        <v>300</v>
      </c>
      <c r="B167">
        <v>566601</v>
      </c>
      <c r="C167" s="2">
        <v>123456789</v>
      </c>
      <c r="D167" s="2">
        <v>123456789</v>
      </c>
    </row>
    <row r="168" spans="1:4" x14ac:dyDescent="0.45">
      <c r="A168" t="s">
        <v>301</v>
      </c>
      <c r="B168">
        <v>567586</v>
      </c>
      <c r="C168" s="2">
        <v>123456789</v>
      </c>
      <c r="D168" s="2">
        <v>123456789</v>
      </c>
    </row>
    <row r="169" spans="1:4" x14ac:dyDescent="0.45">
      <c r="A169" t="s">
        <v>302</v>
      </c>
      <c r="B169">
        <v>568056</v>
      </c>
      <c r="C169" s="2">
        <v>123456789</v>
      </c>
      <c r="D169" s="2">
        <v>123456789</v>
      </c>
    </row>
    <row r="170" spans="1:4" x14ac:dyDescent="0.45">
      <c r="A170" t="s">
        <v>303</v>
      </c>
      <c r="B170">
        <v>573416</v>
      </c>
      <c r="C170" s="2">
        <v>123456789</v>
      </c>
      <c r="D170" s="2">
        <v>123456789</v>
      </c>
    </row>
    <row r="171" spans="1:4" x14ac:dyDescent="0.45">
      <c r="A171" t="s">
        <v>304</v>
      </c>
      <c r="B171">
        <v>573112</v>
      </c>
      <c r="C171" s="2">
        <v>123456789</v>
      </c>
      <c r="D171" s="2">
        <v>123456789</v>
      </c>
    </row>
    <row r="172" spans="1:4" x14ac:dyDescent="0.45">
      <c r="A172" t="s">
        <v>305</v>
      </c>
      <c r="B172">
        <v>579051</v>
      </c>
      <c r="C172" s="2">
        <v>123456789</v>
      </c>
      <c r="D172" s="2">
        <v>123456789</v>
      </c>
    </row>
    <row r="173" spans="1:4" x14ac:dyDescent="0.45">
      <c r="A173" t="s">
        <v>306</v>
      </c>
      <c r="B173">
        <v>578215</v>
      </c>
      <c r="C173" s="2">
        <v>123456789</v>
      </c>
      <c r="D173" s="2">
        <v>123456789</v>
      </c>
    </row>
    <row r="174" spans="1:4" x14ac:dyDescent="0.45">
      <c r="A174" t="s">
        <v>307</v>
      </c>
      <c r="B174">
        <v>579749</v>
      </c>
      <c r="C174" s="2">
        <v>123456789</v>
      </c>
      <c r="D174" s="2">
        <v>123456789</v>
      </c>
    </row>
    <row r="175" spans="1:4" x14ac:dyDescent="0.45">
      <c r="A175" t="s">
        <v>308</v>
      </c>
      <c r="B175">
        <v>583605</v>
      </c>
      <c r="C175" s="2">
        <v>123456789</v>
      </c>
      <c r="D175" s="2">
        <v>123456789</v>
      </c>
    </row>
    <row r="176" spans="1:4" x14ac:dyDescent="0.45">
      <c r="A176" t="s">
        <v>309</v>
      </c>
      <c r="B176">
        <v>588076</v>
      </c>
      <c r="C176" s="2">
        <v>123456789</v>
      </c>
      <c r="D176" s="2">
        <v>123456789</v>
      </c>
    </row>
    <row r="177" spans="1:4" x14ac:dyDescent="0.45">
      <c r="A177" t="s">
        <v>310</v>
      </c>
      <c r="B177">
        <v>591954</v>
      </c>
      <c r="C177" s="2">
        <v>123456789</v>
      </c>
      <c r="D177" s="2">
        <v>123456789</v>
      </c>
    </row>
    <row r="178" spans="1:4" x14ac:dyDescent="0.45">
      <c r="A178" t="s">
        <v>311</v>
      </c>
      <c r="B178">
        <v>596696</v>
      </c>
      <c r="C178" s="2">
        <v>123456789</v>
      </c>
      <c r="D178" s="2">
        <v>123456789</v>
      </c>
    </row>
    <row r="179" spans="1:4" x14ac:dyDescent="0.45">
      <c r="A179" t="s">
        <v>312</v>
      </c>
      <c r="B179">
        <v>602310</v>
      </c>
      <c r="C179" s="2">
        <v>123456789</v>
      </c>
      <c r="D179" s="2">
        <v>123456789</v>
      </c>
    </row>
    <row r="180" spans="1:4" x14ac:dyDescent="0.45">
      <c r="A180" t="s">
        <v>313</v>
      </c>
      <c r="B180">
        <v>607213</v>
      </c>
      <c r="C180" s="2">
        <v>123456789</v>
      </c>
      <c r="D180" s="2">
        <v>123456789</v>
      </c>
    </row>
    <row r="181" spans="1:4" x14ac:dyDescent="0.45">
      <c r="A181" t="s">
        <v>314</v>
      </c>
      <c r="B181">
        <v>611220</v>
      </c>
      <c r="C181" s="2">
        <v>123456789</v>
      </c>
      <c r="D181" s="2">
        <v>123456789</v>
      </c>
    </row>
    <row r="182" spans="1:4" x14ac:dyDescent="0.45">
      <c r="A182" t="s">
        <v>315</v>
      </c>
      <c r="B182">
        <v>613076</v>
      </c>
      <c r="C182" s="2">
        <v>123456789</v>
      </c>
      <c r="D182" s="2">
        <v>123456789</v>
      </c>
    </row>
    <row r="183" spans="1:4" x14ac:dyDescent="0.45">
      <c r="A183" t="s">
        <v>316</v>
      </c>
      <c r="B183">
        <v>615875</v>
      </c>
      <c r="C183" s="2">
        <v>123456789</v>
      </c>
      <c r="D183" s="2">
        <v>123456789</v>
      </c>
    </row>
    <row r="184" spans="1:4" x14ac:dyDescent="0.45">
      <c r="A184" t="s">
        <v>317</v>
      </c>
      <c r="B184">
        <v>618263</v>
      </c>
      <c r="C184" s="2">
        <v>123456789</v>
      </c>
      <c r="D184" s="2">
        <v>123456789</v>
      </c>
    </row>
    <row r="185" spans="1:4" x14ac:dyDescent="0.45">
      <c r="A185" t="s">
        <v>318</v>
      </c>
      <c r="B185">
        <v>621968</v>
      </c>
      <c r="C185" s="2">
        <v>123456789</v>
      </c>
      <c r="D185" s="2">
        <v>123456789</v>
      </c>
    </row>
    <row r="186" spans="1:4" x14ac:dyDescent="0.45">
      <c r="A186" t="s">
        <v>319</v>
      </c>
      <c r="B186">
        <v>625099</v>
      </c>
      <c r="C186" s="2">
        <v>123456789</v>
      </c>
      <c r="D186" s="2">
        <v>123456789</v>
      </c>
    </row>
    <row r="187" spans="1:4" x14ac:dyDescent="0.45">
      <c r="A187" t="s">
        <v>320</v>
      </c>
      <c r="B187">
        <v>629697</v>
      </c>
      <c r="C187" s="2">
        <v>123456789</v>
      </c>
      <c r="D187" s="2">
        <v>123456789</v>
      </c>
    </row>
    <row r="188" spans="1:4" x14ac:dyDescent="0.45">
      <c r="A188" t="s">
        <v>321</v>
      </c>
      <c r="B188">
        <v>632477</v>
      </c>
      <c r="C188" s="2">
        <v>123456789</v>
      </c>
      <c r="D188" s="2">
        <v>123456789</v>
      </c>
    </row>
    <row r="189" spans="1:4" x14ac:dyDescent="0.45">
      <c r="A189" t="s">
        <v>322</v>
      </c>
      <c r="B189">
        <v>636392</v>
      </c>
      <c r="C189" s="2">
        <v>123456789</v>
      </c>
      <c r="D189" s="2">
        <v>123456789</v>
      </c>
    </row>
    <row r="190" spans="1:4" x14ac:dyDescent="0.45">
      <c r="A190" t="s">
        <v>323</v>
      </c>
      <c r="B190">
        <v>642463</v>
      </c>
      <c r="C190" s="2">
        <v>123456789</v>
      </c>
      <c r="D190" s="2">
        <v>123456789</v>
      </c>
    </row>
    <row r="191" spans="1:4" x14ac:dyDescent="0.45">
      <c r="A191" t="s">
        <v>324</v>
      </c>
      <c r="B191">
        <v>647944</v>
      </c>
      <c r="C191" s="2">
        <v>123456789</v>
      </c>
      <c r="D191" s="2">
        <v>123456789</v>
      </c>
    </row>
    <row r="192" spans="1:4" x14ac:dyDescent="0.45">
      <c r="A192" t="s">
        <v>325</v>
      </c>
      <c r="B192">
        <v>652329</v>
      </c>
      <c r="C192" s="2">
        <v>123456789</v>
      </c>
      <c r="D192" s="2">
        <v>123456789</v>
      </c>
    </row>
    <row r="193" spans="1:4" x14ac:dyDescent="0.45">
      <c r="A193" t="s">
        <v>326</v>
      </c>
      <c r="B193">
        <v>657225</v>
      </c>
      <c r="C193" s="2">
        <v>123456789</v>
      </c>
      <c r="D193" s="2">
        <v>123456789</v>
      </c>
    </row>
    <row r="194" spans="1:4" x14ac:dyDescent="0.45">
      <c r="A194" t="s">
        <v>327</v>
      </c>
      <c r="B194">
        <v>657741</v>
      </c>
      <c r="C194" s="2">
        <v>123456789</v>
      </c>
      <c r="D194" s="2">
        <v>123456789</v>
      </c>
    </row>
    <row r="195" spans="1:4" x14ac:dyDescent="0.45">
      <c r="A195" t="s">
        <v>328</v>
      </c>
      <c r="B195">
        <v>659172</v>
      </c>
      <c r="C195" s="2">
        <v>123456789</v>
      </c>
      <c r="D195" s="2">
        <v>123456789</v>
      </c>
    </row>
    <row r="196" spans="1:4" x14ac:dyDescent="0.45">
      <c r="A196" t="s">
        <v>329</v>
      </c>
      <c r="B196">
        <v>661262</v>
      </c>
      <c r="C196" s="2">
        <v>123456789</v>
      </c>
      <c r="D196" s="2">
        <v>123456789</v>
      </c>
    </row>
    <row r="197" spans="1:4" x14ac:dyDescent="0.45">
      <c r="A197" t="s">
        <v>330</v>
      </c>
      <c r="B197">
        <v>662120</v>
      </c>
      <c r="C197" s="2">
        <v>123456789</v>
      </c>
      <c r="D197" s="2">
        <v>123456789</v>
      </c>
    </row>
    <row r="198" spans="1:4" x14ac:dyDescent="0.45">
      <c r="A198" t="s">
        <v>331</v>
      </c>
      <c r="B198">
        <v>665456</v>
      </c>
      <c r="C198" s="2">
        <v>123456789</v>
      </c>
      <c r="D198" s="2">
        <v>123456789</v>
      </c>
    </row>
    <row r="199" spans="1:4" x14ac:dyDescent="0.45">
      <c r="A199" t="s">
        <v>332</v>
      </c>
      <c r="B199">
        <v>666875</v>
      </c>
      <c r="C199" s="2">
        <v>123456789</v>
      </c>
      <c r="D199" s="2">
        <v>123456789</v>
      </c>
    </row>
    <row r="200" spans="1:4" x14ac:dyDescent="0.45">
      <c r="A200" t="s">
        <v>333</v>
      </c>
      <c r="B200">
        <v>670547</v>
      </c>
      <c r="C200" s="2">
        <v>123456789</v>
      </c>
      <c r="D200" s="2">
        <v>123456789</v>
      </c>
    </row>
    <row r="201" spans="1:4" x14ac:dyDescent="0.45">
      <c r="A201" t="s">
        <v>334</v>
      </c>
      <c r="B201">
        <v>670587</v>
      </c>
      <c r="C201" s="2">
        <v>123456789</v>
      </c>
      <c r="D201" s="2">
        <v>123456789</v>
      </c>
    </row>
    <row r="202" spans="1:4" x14ac:dyDescent="0.45">
      <c r="A202" t="s">
        <v>335</v>
      </c>
      <c r="B202">
        <v>652180</v>
      </c>
      <c r="C202" s="2">
        <v>123456789</v>
      </c>
      <c r="D202" s="2">
        <v>123456789</v>
      </c>
    </row>
    <row r="203" spans="1:4" x14ac:dyDescent="0.45">
      <c r="A203" t="s">
        <v>336</v>
      </c>
      <c r="B203">
        <v>522356</v>
      </c>
      <c r="C203" s="2">
        <v>123456789</v>
      </c>
      <c r="D203" s="2">
        <v>123456789</v>
      </c>
    </row>
    <row r="204" spans="1:4" x14ac:dyDescent="0.45">
      <c r="A204" t="s">
        <v>337</v>
      </c>
      <c r="B204">
        <v>610972</v>
      </c>
      <c r="C204" s="2">
        <v>123456789</v>
      </c>
      <c r="D204" s="2">
        <v>123456789</v>
      </c>
    </row>
    <row r="205" spans="1:4" x14ac:dyDescent="0.45">
      <c r="A205" t="s">
        <v>338</v>
      </c>
      <c r="B205">
        <v>619330</v>
      </c>
      <c r="C205" s="2">
        <v>123456789</v>
      </c>
      <c r="D205" s="2">
        <v>123456789</v>
      </c>
    </row>
    <row r="206" spans="1:4" x14ac:dyDescent="0.45">
      <c r="A206" t="s">
        <v>339</v>
      </c>
      <c r="B206">
        <v>612665</v>
      </c>
      <c r="C206" s="2">
        <v>123456789</v>
      </c>
      <c r="D206" s="2">
        <v>123456789</v>
      </c>
    </row>
    <row r="207" spans="1:4" x14ac:dyDescent="0.45">
      <c r="A207" t="s">
        <v>340</v>
      </c>
      <c r="B207">
        <v>655443</v>
      </c>
      <c r="C207" s="2">
        <v>123456789</v>
      </c>
      <c r="D207" s="2">
        <v>123456789</v>
      </c>
    </row>
    <row r="208" spans="1:4" x14ac:dyDescent="0.45">
      <c r="A208" t="s">
        <v>341</v>
      </c>
      <c r="B208">
        <v>666498</v>
      </c>
      <c r="C208" s="2">
        <v>123456789</v>
      </c>
      <c r="D208" s="2">
        <v>123456789</v>
      </c>
    </row>
    <row r="209" spans="1:4" x14ac:dyDescent="0.45">
      <c r="A209" t="s">
        <v>342</v>
      </c>
      <c r="B209">
        <v>675680</v>
      </c>
      <c r="C209" s="2">
        <v>123456789</v>
      </c>
      <c r="D209" s="2">
        <v>123456789</v>
      </c>
    </row>
    <row r="210" spans="1:4" x14ac:dyDescent="0.45">
      <c r="A210" t="s">
        <v>343</v>
      </c>
      <c r="B210">
        <v>682527</v>
      </c>
      <c r="C210" s="2">
        <v>123456789</v>
      </c>
      <c r="D210" s="2">
        <v>123456789</v>
      </c>
    </row>
    <row r="211" spans="1:4" x14ac:dyDescent="0.45">
      <c r="A211" t="s">
        <v>344</v>
      </c>
      <c r="B211">
        <v>686335</v>
      </c>
      <c r="C211" s="2">
        <v>123456789</v>
      </c>
      <c r="D211" s="2">
        <v>123456789</v>
      </c>
    </row>
    <row r="212" spans="1:4" x14ac:dyDescent="0.45">
      <c r="A212" t="s">
        <v>345</v>
      </c>
      <c r="B212">
        <v>687029</v>
      </c>
      <c r="C212" s="2">
        <v>123456789</v>
      </c>
      <c r="D212" s="2">
        <v>123456789</v>
      </c>
    </row>
    <row r="213" spans="1:4" x14ac:dyDescent="0.45">
      <c r="A213" t="s">
        <v>346</v>
      </c>
      <c r="B213">
        <v>688817</v>
      </c>
      <c r="C213" s="2">
        <v>123456789</v>
      </c>
      <c r="D213" s="2">
        <v>123456789</v>
      </c>
    </row>
    <row r="214" spans="1:4" x14ac:dyDescent="0.45">
      <c r="A214" t="s">
        <v>347</v>
      </c>
      <c r="B214">
        <v>689206</v>
      </c>
      <c r="C214" s="2">
        <v>123456789</v>
      </c>
      <c r="D214" s="2">
        <v>123456789</v>
      </c>
    </row>
    <row r="215" spans="1:4" x14ac:dyDescent="0.45">
      <c r="A215" t="s">
        <v>348</v>
      </c>
      <c r="B215">
        <v>689491</v>
      </c>
      <c r="C215" s="2">
        <v>123456789</v>
      </c>
      <c r="D215" s="2">
        <v>123456789</v>
      </c>
    </row>
    <row r="216" spans="1:4" x14ac:dyDescent="0.45">
      <c r="A216" t="s">
        <v>349</v>
      </c>
      <c r="B216">
        <v>687839</v>
      </c>
      <c r="C216" s="2">
        <v>123456789</v>
      </c>
      <c r="D216" s="2">
        <v>123456789</v>
      </c>
    </row>
    <row r="217" spans="1:4" x14ac:dyDescent="0.45">
      <c r="A217" t="s">
        <v>350</v>
      </c>
      <c r="B217">
        <v>685628</v>
      </c>
      <c r="C217" s="2">
        <v>123456789</v>
      </c>
      <c r="D217" s="2">
        <v>123456789</v>
      </c>
    </row>
    <row r="218" spans="1:4" x14ac:dyDescent="0.45">
      <c r="A218" t="s">
        <v>351</v>
      </c>
      <c r="B218">
        <v>691337</v>
      </c>
      <c r="C218" s="2">
        <v>123456789</v>
      </c>
      <c r="D218" s="2">
        <v>123456789</v>
      </c>
    </row>
    <row r="219" spans="1:4" x14ac:dyDescent="0.45">
      <c r="A219" t="s">
        <v>352</v>
      </c>
      <c r="B219">
        <v>695578</v>
      </c>
      <c r="C219" s="2">
        <v>123456789</v>
      </c>
      <c r="D219" s="2">
        <v>123456789</v>
      </c>
    </row>
    <row r="220" spans="1:4" x14ac:dyDescent="0.45">
      <c r="A220" t="s">
        <v>353</v>
      </c>
      <c r="B220">
        <v>697248</v>
      </c>
      <c r="C220" s="2">
        <v>123456789</v>
      </c>
      <c r="D220" s="2">
        <v>123456789</v>
      </c>
    </row>
    <row r="221" spans="1:4" x14ac:dyDescent="0.45">
      <c r="A221" t="s">
        <v>354</v>
      </c>
      <c r="B221">
        <v>698912</v>
      </c>
      <c r="C221" s="2">
        <v>123456789</v>
      </c>
      <c r="D221" s="2">
        <v>123456789</v>
      </c>
    </row>
    <row r="222" spans="1:4" x14ac:dyDescent="0.45">
      <c r="A222" t="s">
        <v>355</v>
      </c>
      <c r="B222">
        <v>703532</v>
      </c>
      <c r="C222" s="2">
        <v>123456789</v>
      </c>
      <c r="D222" s="2">
        <v>123456789</v>
      </c>
    </row>
    <row r="223" spans="1:4" x14ac:dyDescent="0.45">
      <c r="A223" t="s">
        <v>356</v>
      </c>
      <c r="B223">
        <v>705486</v>
      </c>
      <c r="C223" s="2">
        <v>123456789</v>
      </c>
      <c r="D223" s="2">
        <v>123456789</v>
      </c>
    </row>
    <row r="224" spans="1:4" x14ac:dyDescent="0.45">
      <c r="A224" t="s">
        <v>357</v>
      </c>
      <c r="B224">
        <v>706062</v>
      </c>
      <c r="C224" s="2">
        <v>123456789</v>
      </c>
      <c r="D224" s="2">
        <v>123456789</v>
      </c>
    </row>
    <row r="225" spans="1:4" x14ac:dyDescent="0.45">
      <c r="A225" t="s">
        <v>439</v>
      </c>
      <c r="B225">
        <v>705571</v>
      </c>
      <c r="C225" s="2">
        <v>123456789</v>
      </c>
      <c r="D225" s="2">
        <v>123456789</v>
      </c>
    </row>
    <row r="226" spans="1:4" x14ac:dyDescent="0.45">
      <c r="A226" s="4" t="s">
        <v>440</v>
      </c>
      <c r="B226" s="4">
        <v>705571</v>
      </c>
      <c r="C226" s="12">
        <v>123456789</v>
      </c>
      <c r="D226" s="12">
        <v>123456789</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539FB-98AD-4721-AD3A-BBAC05C2C520}">
  <sheetPr>
    <tabColor theme="9" tint="0.79998168889431442"/>
  </sheetPr>
  <dimension ref="A1:D226"/>
  <sheetViews>
    <sheetView workbookViewId="0">
      <selection activeCell="A226" sqref="A2:A226"/>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f>(LN(rgdp!B6) - LN(rgdp!B2))*100</f>
        <v>3.7558927516482044</v>
      </c>
      <c r="C6" s="2">
        <v>123456789</v>
      </c>
      <c r="D6" s="2">
        <v>123456789</v>
      </c>
    </row>
    <row r="7" spans="1:4" x14ac:dyDescent="0.45">
      <c r="A7" t="s">
        <v>140</v>
      </c>
      <c r="B7">
        <f>(LN(rgdp!B7) - LN(rgdp!B3))*100</f>
        <v>3.1690425980844594</v>
      </c>
      <c r="C7" s="2">
        <v>123456789</v>
      </c>
      <c r="D7" s="2">
        <v>123456789</v>
      </c>
    </row>
    <row r="8" spans="1:4" x14ac:dyDescent="0.45">
      <c r="A8" t="s">
        <v>141</v>
      </c>
      <c r="B8">
        <f>(LN(rgdp!B8) - LN(rgdp!B4))*100</f>
        <v>3.9080272416976314</v>
      </c>
      <c r="C8" s="2">
        <v>123456789</v>
      </c>
      <c r="D8" s="2">
        <v>123456789</v>
      </c>
    </row>
    <row r="9" spans="1:4" x14ac:dyDescent="0.45">
      <c r="A9" t="s">
        <v>142</v>
      </c>
      <c r="B9">
        <f>(LN(rgdp!B9) - LN(rgdp!B5))*100</f>
        <v>3.3708729388914449</v>
      </c>
      <c r="C9" s="2">
        <v>123456789</v>
      </c>
      <c r="D9" s="2">
        <v>123456789</v>
      </c>
    </row>
    <row r="10" spans="1:4" x14ac:dyDescent="0.45">
      <c r="A10" t="s">
        <v>143</v>
      </c>
      <c r="B10">
        <f>(LN(rgdp!B10) - LN(rgdp!B6))*100</f>
        <v>4.0631250073184688</v>
      </c>
      <c r="C10" s="2">
        <v>123456789</v>
      </c>
      <c r="D10" s="2">
        <v>123456789</v>
      </c>
    </row>
    <row r="11" spans="1:4" x14ac:dyDescent="0.45">
      <c r="A11" t="s">
        <v>144</v>
      </c>
      <c r="B11">
        <f>(LN(rgdp!B11) - LN(rgdp!B7))*100</f>
        <v>4.8928192465451659</v>
      </c>
      <c r="C11" s="2">
        <v>123456789</v>
      </c>
      <c r="D11" s="2">
        <v>123456789</v>
      </c>
    </row>
    <row r="12" spans="1:4" x14ac:dyDescent="0.45">
      <c r="A12" t="s">
        <v>145</v>
      </c>
      <c r="B12">
        <f>(LN(rgdp!B12) - LN(rgdp!B8))*100</f>
        <v>3.4729729476637772</v>
      </c>
      <c r="C12" s="2">
        <v>123456789</v>
      </c>
      <c r="D12" s="2">
        <v>123456789</v>
      </c>
    </row>
    <row r="13" spans="1:4" x14ac:dyDescent="0.45">
      <c r="A13" t="s">
        <v>146</v>
      </c>
      <c r="B13">
        <f>(LN(rgdp!B13) - LN(rgdp!B9))*100</f>
        <v>4.6296654406667415</v>
      </c>
      <c r="C13" s="2">
        <v>123456789</v>
      </c>
      <c r="D13" s="2">
        <v>123456789</v>
      </c>
    </row>
    <row r="14" spans="1:4" x14ac:dyDescent="0.45">
      <c r="A14" t="s">
        <v>147</v>
      </c>
      <c r="B14">
        <f>(LN(rgdp!B14) - LN(rgdp!B10))*100</f>
        <v>9.2023636518643315</v>
      </c>
      <c r="C14" s="2">
        <v>123456789</v>
      </c>
      <c r="D14" s="2">
        <v>123456789</v>
      </c>
    </row>
    <row r="15" spans="1:4" x14ac:dyDescent="0.45">
      <c r="A15" t="s">
        <v>148</v>
      </c>
      <c r="B15">
        <f>(LN(rgdp!B15) - LN(rgdp!B11))*100</f>
        <v>6.7873159314219222</v>
      </c>
      <c r="C15" s="2">
        <v>123456789</v>
      </c>
      <c r="D15" s="2">
        <v>123456789</v>
      </c>
    </row>
    <row r="16" spans="1:4" x14ac:dyDescent="0.45">
      <c r="A16" t="s">
        <v>149</v>
      </c>
      <c r="B16">
        <f>(LN(rgdp!B16) - LN(rgdp!B12))*100</f>
        <v>5.5834443408263823</v>
      </c>
      <c r="C16" s="2">
        <v>123456789</v>
      </c>
      <c r="D16" s="2">
        <v>123456789</v>
      </c>
    </row>
    <row r="17" spans="1:4" x14ac:dyDescent="0.45">
      <c r="A17" t="s">
        <v>150</v>
      </c>
      <c r="B17">
        <f>(LN(rgdp!B17) - LN(rgdp!B13))*100</f>
        <v>3.6512301513171863</v>
      </c>
      <c r="C17" s="2">
        <v>123456789</v>
      </c>
      <c r="D17" s="2">
        <v>123456789</v>
      </c>
    </row>
    <row r="18" spans="1:4" x14ac:dyDescent="0.45">
      <c r="A18" t="s">
        <v>151</v>
      </c>
      <c r="B18">
        <f>(LN(rgdp!B18) - LN(rgdp!B14))*100</f>
        <v>-3.9513623489229488</v>
      </c>
      <c r="C18" s="2">
        <v>123456789</v>
      </c>
      <c r="D18" s="2">
        <v>123456789</v>
      </c>
    </row>
    <row r="19" spans="1:4" x14ac:dyDescent="0.45">
      <c r="A19" t="s">
        <v>152</v>
      </c>
      <c r="B19">
        <f>(LN(rgdp!B19) - LN(rgdp!B15))*100</f>
        <v>-2.7182711334983622</v>
      </c>
      <c r="C19" s="2">
        <v>123456789</v>
      </c>
      <c r="D19" s="2">
        <v>123456789</v>
      </c>
    </row>
    <row r="20" spans="1:4" x14ac:dyDescent="0.45">
      <c r="A20" t="s">
        <v>153</v>
      </c>
      <c r="B20">
        <f>(LN(rgdp!B20) - LN(rgdp!B16))*100</f>
        <v>-1.1899592886875254</v>
      </c>
      <c r="C20" s="2">
        <v>123456789</v>
      </c>
      <c r="D20" s="2">
        <v>123456789</v>
      </c>
    </row>
    <row r="21" spans="1:4" x14ac:dyDescent="0.45">
      <c r="A21" t="s">
        <v>154</v>
      </c>
      <c r="B21">
        <f>(LN(rgdp!B21) - LN(rgdp!B17))*100</f>
        <v>-2.2692069451274222</v>
      </c>
      <c r="C21" s="2">
        <v>123456789</v>
      </c>
      <c r="D21" s="2">
        <v>123456789</v>
      </c>
    </row>
    <row r="22" spans="1:4" x14ac:dyDescent="0.45">
      <c r="A22" t="s">
        <v>155</v>
      </c>
      <c r="B22">
        <f>(LN(rgdp!B22) - LN(rgdp!B18))*100</f>
        <v>0.56178831710713695</v>
      </c>
      <c r="C22" s="2">
        <v>123456789</v>
      </c>
      <c r="D22" s="2">
        <v>123456789</v>
      </c>
    </row>
    <row r="23" spans="1:4" x14ac:dyDescent="0.45">
      <c r="A23" t="s">
        <v>156</v>
      </c>
      <c r="B23">
        <f>(LN(rgdp!B23) - LN(rgdp!B19))*100</f>
        <v>-2.4937027835321146</v>
      </c>
      <c r="C23" s="2">
        <v>123456789</v>
      </c>
      <c r="D23" s="2">
        <v>123456789</v>
      </c>
    </row>
    <row r="24" spans="1:4" x14ac:dyDescent="0.45">
      <c r="A24" t="s">
        <v>157</v>
      </c>
      <c r="B24">
        <f>(LN(rgdp!B24) - LN(rgdp!B20))*100</f>
        <v>-3.3871268295659007</v>
      </c>
      <c r="C24" s="2">
        <v>123456789</v>
      </c>
      <c r="D24" s="2">
        <v>123456789</v>
      </c>
    </row>
    <row r="25" spans="1:4" x14ac:dyDescent="0.45">
      <c r="A25" t="s">
        <v>158</v>
      </c>
      <c r="B25">
        <f>(LN(rgdp!B25) - LN(rgdp!B21))*100</f>
        <v>-0.80965171474147724</v>
      </c>
      <c r="C25" s="2">
        <v>123456789</v>
      </c>
      <c r="D25" s="2">
        <v>123456789</v>
      </c>
    </row>
    <row r="26" spans="1:4" x14ac:dyDescent="0.45">
      <c r="A26" t="s">
        <v>159</v>
      </c>
      <c r="B26">
        <f>(LN(rgdp!B26) - LN(rgdp!B22))*100</f>
        <v>0.83027730891238605</v>
      </c>
      <c r="C26" s="2">
        <v>123456789</v>
      </c>
      <c r="D26" s="2">
        <v>123456789</v>
      </c>
    </row>
    <row r="27" spans="1:4" x14ac:dyDescent="0.45">
      <c r="A27" t="s">
        <v>160</v>
      </c>
      <c r="B27">
        <f>(LN(rgdp!B27) - LN(rgdp!B23))*100</f>
        <v>2.3260935965245366</v>
      </c>
      <c r="C27" s="2">
        <v>123456789</v>
      </c>
      <c r="D27" s="2">
        <v>123456789</v>
      </c>
    </row>
    <row r="28" spans="1:4" x14ac:dyDescent="0.45">
      <c r="A28" t="s">
        <v>161</v>
      </c>
      <c r="B28">
        <f>(LN(rgdp!B28) - LN(rgdp!B24))*100</f>
        <v>3.860250743157323</v>
      </c>
      <c r="C28" s="2">
        <v>123456789</v>
      </c>
      <c r="D28" s="2">
        <v>123456789</v>
      </c>
    </row>
    <row r="29" spans="1:4" x14ac:dyDescent="0.45">
      <c r="A29" t="s">
        <v>162</v>
      </c>
      <c r="B29">
        <f>(LN(rgdp!B29) - LN(rgdp!B25))*100</f>
        <v>4.8335234947733952</v>
      </c>
      <c r="C29" s="2">
        <v>123456789</v>
      </c>
      <c r="D29" s="2">
        <v>123456789</v>
      </c>
    </row>
    <row r="30" spans="1:4" x14ac:dyDescent="0.45">
      <c r="A30" t="s">
        <v>163</v>
      </c>
      <c r="B30">
        <f>(LN(rgdp!B30) - LN(rgdp!B26))*100</f>
        <v>3.2378499602309319</v>
      </c>
      <c r="C30" s="2">
        <v>123456789</v>
      </c>
      <c r="D30" s="2">
        <v>123456789</v>
      </c>
    </row>
    <row r="31" spans="1:4" x14ac:dyDescent="0.45">
      <c r="A31" t="s">
        <v>164</v>
      </c>
      <c r="B31">
        <f>(LN(rgdp!B31) - LN(rgdp!B27))*100</f>
        <v>2.6860703353749571</v>
      </c>
      <c r="C31" s="2">
        <v>123456789</v>
      </c>
      <c r="D31" s="2">
        <v>123456789</v>
      </c>
    </row>
    <row r="32" spans="1:4" x14ac:dyDescent="0.45">
      <c r="A32" t="s">
        <v>165</v>
      </c>
      <c r="B32">
        <f>(LN(rgdp!B32) - LN(rgdp!B28))*100</f>
        <v>2.1002973796603541</v>
      </c>
      <c r="C32" s="2">
        <v>123456789</v>
      </c>
      <c r="D32" s="2">
        <v>123456789</v>
      </c>
    </row>
    <row r="33" spans="1:4" x14ac:dyDescent="0.45">
      <c r="A33" t="s">
        <v>166</v>
      </c>
      <c r="B33">
        <f>(LN(rgdp!B33) - LN(rgdp!B29))*100</f>
        <v>1.7039167382309373</v>
      </c>
      <c r="C33" s="2">
        <v>123456789</v>
      </c>
      <c r="D33" s="2">
        <v>123456789</v>
      </c>
    </row>
    <row r="34" spans="1:4" x14ac:dyDescent="0.45">
      <c r="A34" t="s">
        <v>167</v>
      </c>
      <c r="B34">
        <f>(LN(rgdp!B34) - LN(rgdp!B30))*100</f>
        <v>2.5734243787999489</v>
      </c>
      <c r="C34" s="2">
        <v>123456789</v>
      </c>
      <c r="D34" s="2">
        <v>123456789</v>
      </c>
    </row>
    <row r="35" spans="1:4" x14ac:dyDescent="0.45">
      <c r="A35" t="s">
        <v>168</v>
      </c>
      <c r="B35">
        <f>(LN(rgdp!B35) - LN(rgdp!B31))*100</f>
        <v>4.401539796801579</v>
      </c>
      <c r="C35" s="2">
        <v>123456789</v>
      </c>
      <c r="D35" s="2">
        <v>123456789</v>
      </c>
    </row>
    <row r="36" spans="1:4" x14ac:dyDescent="0.45">
      <c r="A36" t="s">
        <v>169</v>
      </c>
      <c r="B36">
        <f>(LN(rgdp!B36) - LN(rgdp!B32))*100</f>
        <v>5.1070544557669351</v>
      </c>
      <c r="C36" s="2">
        <v>123456789</v>
      </c>
      <c r="D36" s="2">
        <v>123456789</v>
      </c>
    </row>
    <row r="37" spans="1:4" x14ac:dyDescent="0.45">
      <c r="A37" t="s">
        <v>170</v>
      </c>
      <c r="B37">
        <f>(LN(rgdp!B37) - LN(rgdp!B33))*100</f>
        <v>4.3097076825752367</v>
      </c>
      <c r="C37" s="2">
        <v>123456789</v>
      </c>
      <c r="D37" s="2">
        <v>123456789</v>
      </c>
    </row>
    <row r="38" spans="1:4" x14ac:dyDescent="0.45">
      <c r="A38" t="s">
        <v>171</v>
      </c>
      <c r="B38">
        <f>(LN(rgdp!B38) - LN(rgdp!B34))*100</f>
        <v>3.0757487029440256</v>
      </c>
      <c r="C38" s="2">
        <v>123456789</v>
      </c>
      <c r="D38" s="2">
        <v>123456789</v>
      </c>
    </row>
    <row r="39" spans="1:4" x14ac:dyDescent="0.45">
      <c r="A39" t="s">
        <v>172</v>
      </c>
      <c r="B39">
        <f>(LN(rgdp!B39) - LN(rgdp!B35))*100</f>
        <v>6.1981275870143904</v>
      </c>
      <c r="C39" s="2">
        <v>123456789</v>
      </c>
      <c r="D39" s="2">
        <v>123456789</v>
      </c>
    </row>
    <row r="40" spans="1:4" x14ac:dyDescent="0.45">
      <c r="A40" t="s">
        <v>173</v>
      </c>
      <c r="B40">
        <f>(LN(rgdp!B40) - LN(rgdp!B36))*100</f>
        <v>2.6175211077614335</v>
      </c>
      <c r="C40" s="2">
        <v>123456789</v>
      </c>
      <c r="D40" s="2">
        <v>123456789</v>
      </c>
    </row>
    <row r="41" spans="1:4" x14ac:dyDescent="0.45">
      <c r="A41" t="s">
        <v>174</v>
      </c>
      <c r="B41">
        <f>(LN(rgdp!B41) - LN(rgdp!B37))*100</f>
        <v>2.7486308951885974</v>
      </c>
      <c r="C41" s="2">
        <v>123456789</v>
      </c>
      <c r="D41" s="2">
        <v>123456789</v>
      </c>
    </row>
    <row r="42" spans="1:4" x14ac:dyDescent="0.45">
      <c r="A42" t="s">
        <v>175</v>
      </c>
      <c r="B42">
        <f>(LN(rgdp!B42) - LN(rgdp!B38))*100</f>
        <v>2.060142271691312</v>
      </c>
      <c r="C42" s="2">
        <v>123456789</v>
      </c>
      <c r="D42" s="2">
        <v>123456789</v>
      </c>
    </row>
    <row r="43" spans="1:4" x14ac:dyDescent="0.45">
      <c r="A43" t="s">
        <v>176</v>
      </c>
      <c r="B43">
        <f>(LN(rgdp!B43) - LN(rgdp!B39))*100</f>
        <v>-4.1714986572511492</v>
      </c>
      <c r="C43" s="2">
        <v>123456789</v>
      </c>
      <c r="D43" s="2">
        <v>123456789</v>
      </c>
    </row>
    <row r="44" spans="1:4" x14ac:dyDescent="0.45">
      <c r="A44" t="s">
        <v>177</v>
      </c>
      <c r="B44">
        <f>(LN(rgdp!B44) - LN(rgdp!B40))*100</f>
        <v>-2.0515806586923091</v>
      </c>
      <c r="C44" s="2">
        <v>123456789</v>
      </c>
      <c r="D44" s="2">
        <v>123456789</v>
      </c>
    </row>
    <row r="45" spans="1:4" x14ac:dyDescent="0.45">
      <c r="A45" t="s">
        <v>178</v>
      </c>
      <c r="B45">
        <f>(LN(rgdp!B45) - LN(rgdp!B41))*100</f>
        <v>-4.0958399233248954</v>
      </c>
      <c r="C45" s="2">
        <v>123456789</v>
      </c>
      <c r="D45" s="2">
        <v>123456789</v>
      </c>
    </row>
    <row r="46" spans="1:4" x14ac:dyDescent="0.45">
      <c r="A46" t="s">
        <v>179</v>
      </c>
      <c r="B46">
        <f>(LN(rgdp!B46) - LN(rgdp!B42))*100</f>
        <v>-3.1914680407338025</v>
      </c>
      <c r="C46" s="2">
        <v>123456789</v>
      </c>
      <c r="D46" s="2">
        <v>123456789</v>
      </c>
    </row>
    <row r="47" spans="1:4" x14ac:dyDescent="0.45">
      <c r="A47" t="s">
        <v>180</v>
      </c>
      <c r="B47">
        <f>(LN(rgdp!B47) - LN(rgdp!B43))*100</f>
        <v>-0.90250900134805079</v>
      </c>
      <c r="C47" s="2">
        <v>123456789</v>
      </c>
      <c r="D47" s="2">
        <v>123456789</v>
      </c>
    </row>
    <row r="48" spans="1:4" x14ac:dyDescent="0.45">
      <c r="A48" t="s">
        <v>181</v>
      </c>
      <c r="B48">
        <f>(LN(rgdp!B48) - LN(rgdp!B44))*100</f>
        <v>0.36326089935627692</v>
      </c>
      <c r="C48" s="2">
        <v>123456789</v>
      </c>
      <c r="D48" s="2">
        <v>123456789</v>
      </c>
    </row>
    <row r="49" spans="1:4" x14ac:dyDescent="0.45">
      <c r="A49" t="s">
        <v>182</v>
      </c>
      <c r="B49">
        <f>(LN(rgdp!B49) - LN(rgdp!B45))*100</f>
        <v>1.5223011713120016</v>
      </c>
      <c r="C49" s="2">
        <v>123456789</v>
      </c>
      <c r="D49" s="2">
        <v>123456789</v>
      </c>
    </row>
    <row r="50" spans="1:4" x14ac:dyDescent="0.45">
      <c r="A50" t="s">
        <v>183</v>
      </c>
      <c r="B50">
        <f>(LN(rgdp!B50) - LN(rgdp!B46))*100</f>
        <v>1.7684045201608711</v>
      </c>
      <c r="C50" s="2">
        <v>123456789</v>
      </c>
      <c r="D50" s="2">
        <v>123456789</v>
      </c>
    </row>
    <row r="51" spans="1:4" x14ac:dyDescent="0.45">
      <c r="A51" t="s">
        <v>184</v>
      </c>
      <c r="B51">
        <f>(LN(rgdp!B51) - LN(rgdp!B47))*100</f>
        <v>2.4772568904014136</v>
      </c>
      <c r="C51" s="2">
        <v>123456789</v>
      </c>
      <c r="D51" s="2">
        <v>123456789</v>
      </c>
    </row>
    <row r="52" spans="1:4" x14ac:dyDescent="0.45">
      <c r="A52" t="s">
        <v>185</v>
      </c>
      <c r="B52">
        <f>(LN(rgdp!B52) - LN(rgdp!B48))*100</f>
        <v>1.5349108635961173</v>
      </c>
      <c r="C52" s="2">
        <v>123456789</v>
      </c>
      <c r="D52" s="2">
        <v>123456789</v>
      </c>
    </row>
    <row r="53" spans="1:4" x14ac:dyDescent="0.45">
      <c r="A53" t="s">
        <v>186</v>
      </c>
      <c r="B53">
        <f>(LN(rgdp!B53) - LN(rgdp!B49))*100</f>
        <v>2.0837044629107737</v>
      </c>
      <c r="C53" s="2">
        <v>123456789</v>
      </c>
      <c r="D53" s="2">
        <v>123456789</v>
      </c>
    </row>
    <row r="54" spans="1:4" x14ac:dyDescent="0.45">
      <c r="A54" t="s">
        <v>187</v>
      </c>
      <c r="B54">
        <f>(LN(rgdp!B54) - LN(rgdp!B50))*100</f>
        <v>3.8673079973182922</v>
      </c>
      <c r="C54" s="2">
        <v>123456789</v>
      </c>
      <c r="D54" s="2">
        <v>123456789</v>
      </c>
    </row>
    <row r="55" spans="1:4" x14ac:dyDescent="0.45">
      <c r="A55" t="s">
        <v>188</v>
      </c>
      <c r="B55">
        <f>(LN(rgdp!B55) - LN(rgdp!B51))*100</f>
        <v>3.5295883489341762</v>
      </c>
      <c r="C55" s="2">
        <v>123456789</v>
      </c>
      <c r="D55" s="2">
        <v>123456789</v>
      </c>
    </row>
    <row r="56" spans="1:4" x14ac:dyDescent="0.45">
      <c r="A56" t="s">
        <v>189</v>
      </c>
      <c r="B56">
        <f>(LN(rgdp!B56) - LN(rgdp!B52))*100</f>
        <v>4.4642846338849296</v>
      </c>
      <c r="C56" s="2">
        <v>123456789</v>
      </c>
      <c r="D56" s="2">
        <v>123456789</v>
      </c>
    </row>
    <row r="57" spans="1:4" x14ac:dyDescent="0.45">
      <c r="A57" t="s">
        <v>190</v>
      </c>
      <c r="B57">
        <f>(LN(rgdp!B57) - LN(rgdp!B53))*100</f>
        <v>4.5316389025229498</v>
      </c>
      <c r="C57" s="2">
        <v>123456789</v>
      </c>
      <c r="D57" s="2">
        <v>123456789</v>
      </c>
    </row>
    <row r="58" spans="1:4" x14ac:dyDescent="0.45">
      <c r="A58" t="s">
        <v>191</v>
      </c>
      <c r="B58">
        <f>(LN(rgdp!B58) - LN(rgdp!B54))*100</f>
        <v>3.4356925752740963</v>
      </c>
      <c r="C58" s="2">
        <v>123456789</v>
      </c>
      <c r="D58" s="2">
        <v>123456789</v>
      </c>
    </row>
    <row r="59" spans="1:4" x14ac:dyDescent="0.45">
      <c r="A59" t="s">
        <v>192</v>
      </c>
      <c r="B59">
        <f>(LN(rgdp!B59) - LN(rgdp!B55))*100</f>
        <v>1.7432597817286677</v>
      </c>
      <c r="C59" s="2">
        <v>123456789</v>
      </c>
      <c r="D59" s="2">
        <v>123456789</v>
      </c>
    </row>
    <row r="60" spans="1:4" x14ac:dyDescent="0.45">
      <c r="A60" t="s">
        <v>193</v>
      </c>
      <c r="B60">
        <f>(LN(rgdp!B60) - LN(rgdp!B56))*100</f>
        <v>1.3231768562331325</v>
      </c>
      <c r="C60" s="2">
        <v>123456789</v>
      </c>
      <c r="D60" s="2">
        <v>123456789</v>
      </c>
    </row>
    <row r="61" spans="1:4" x14ac:dyDescent="0.45">
      <c r="A61" t="s">
        <v>194</v>
      </c>
      <c r="B61">
        <f>(LN(rgdp!B61) - LN(rgdp!B57))*100</f>
        <v>2.3739987303073917</v>
      </c>
      <c r="C61" s="2">
        <v>123456789</v>
      </c>
      <c r="D61" s="2">
        <v>123456789</v>
      </c>
    </row>
    <row r="62" spans="1:4" x14ac:dyDescent="0.45">
      <c r="A62" t="s">
        <v>195</v>
      </c>
      <c r="B62">
        <f>(LN(rgdp!B62) - LN(rgdp!B58))*100</f>
        <v>2.4977369347785938</v>
      </c>
      <c r="C62" s="2">
        <v>123456789</v>
      </c>
      <c r="D62" s="2">
        <v>123456789</v>
      </c>
    </row>
    <row r="63" spans="1:4" x14ac:dyDescent="0.45">
      <c r="A63" t="s">
        <v>196</v>
      </c>
      <c r="B63">
        <f>(LN(rgdp!B63) - LN(rgdp!B59))*100</f>
        <v>5.5993571168459155</v>
      </c>
      <c r="C63" s="2">
        <v>123456789</v>
      </c>
      <c r="D63" s="2">
        <v>123456789</v>
      </c>
    </row>
    <row r="64" spans="1:4" x14ac:dyDescent="0.45">
      <c r="A64" t="s">
        <v>197</v>
      </c>
      <c r="B64">
        <f>(LN(rgdp!B64) - LN(rgdp!B60))*100</f>
        <v>4.8523133644954086</v>
      </c>
      <c r="C64" s="2">
        <v>123456789</v>
      </c>
      <c r="D64" s="2">
        <v>123456789</v>
      </c>
    </row>
    <row r="65" spans="1:4" x14ac:dyDescent="0.45">
      <c r="A65" t="s">
        <v>198</v>
      </c>
      <c r="B65">
        <f>(LN(rgdp!B65) - LN(rgdp!B61))*100</f>
        <v>3.1190894312437933</v>
      </c>
      <c r="C65" s="2">
        <v>123456789</v>
      </c>
      <c r="D65" s="2">
        <v>123456789</v>
      </c>
    </row>
    <row r="66" spans="1:4" x14ac:dyDescent="0.45">
      <c r="A66" t="s">
        <v>199</v>
      </c>
      <c r="B66">
        <f>(LN(rgdp!B66) - LN(rgdp!B62))*100</f>
        <v>3.1838954666431718</v>
      </c>
      <c r="C66" s="2">
        <v>123456789</v>
      </c>
      <c r="D66" s="2">
        <v>123456789</v>
      </c>
    </row>
    <row r="67" spans="1:4" x14ac:dyDescent="0.45">
      <c r="A67" t="s">
        <v>200</v>
      </c>
      <c r="B67">
        <f>(LN(rgdp!B67) - LN(rgdp!B63))*100</f>
        <v>1.9717430604423214</v>
      </c>
      <c r="C67" s="2">
        <v>123456789</v>
      </c>
      <c r="D67" s="2">
        <v>123456789</v>
      </c>
    </row>
    <row r="68" spans="1:4" x14ac:dyDescent="0.45">
      <c r="A68" t="s">
        <v>201</v>
      </c>
      <c r="B68">
        <f>(LN(rgdp!B68) - LN(rgdp!B64))*100</f>
        <v>2.6247454639046097</v>
      </c>
      <c r="C68" s="2">
        <v>123456789</v>
      </c>
      <c r="D68" s="2">
        <v>123456789</v>
      </c>
    </row>
    <row r="69" spans="1:4" x14ac:dyDescent="0.45">
      <c r="A69" t="s">
        <v>202</v>
      </c>
      <c r="B69">
        <f>(LN(rgdp!B69) - LN(rgdp!B65))*100</f>
        <v>4.4745793700634806</v>
      </c>
      <c r="C69" s="2">
        <v>123456789</v>
      </c>
      <c r="D69" s="2">
        <v>123456789</v>
      </c>
    </row>
    <row r="70" spans="1:4" x14ac:dyDescent="0.45">
      <c r="A70" t="s">
        <v>203</v>
      </c>
      <c r="B70">
        <f>(LN(rgdp!B70) - LN(rgdp!B66))*100</f>
        <v>4.1422609285168832</v>
      </c>
      <c r="C70" s="2">
        <v>123456789</v>
      </c>
      <c r="D70" s="2">
        <v>123456789</v>
      </c>
    </row>
    <row r="71" spans="1:4" x14ac:dyDescent="0.45">
      <c r="A71" t="s">
        <v>204</v>
      </c>
      <c r="B71">
        <f>(LN(rgdp!B71) - LN(rgdp!B67))*100</f>
        <v>4.7281420212291536</v>
      </c>
      <c r="C71" s="2">
        <v>123456789</v>
      </c>
      <c r="D71" s="2">
        <v>123456789</v>
      </c>
    </row>
    <row r="72" spans="1:4" x14ac:dyDescent="0.45">
      <c r="A72" t="s">
        <v>205</v>
      </c>
      <c r="B72">
        <f>(LN(rgdp!B72) - LN(rgdp!B68))*100</f>
        <v>6.5485865995775328</v>
      </c>
      <c r="C72" s="2">
        <v>123456789</v>
      </c>
      <c r="D72" s="2">
        <v>123456789</v>
      </c>
    </row>
    <row r="73" spans="1:4" x14ac:dyDescent="0.45">
      <c r="A73" t="s">
        <v>206</v>
      </c>
      <c r="B73">
        <f>(LN(rgdp!B73) - LN(rgdp!B69))*100</f>
        <v>5.7793359633667052</v>
      </c>
      <c r="C73" s="2">
        <v>123456789</v>
      </c>
      <c r="D73" s="2">
        <v>123456789</v>
      </c>
    </row>
    <row r="74" spans="1:4" x14ac:dyDescent="0.45">
      <c r="A74" t="s">
        <v>207</v>
      </c>
      <c r="B74">
        <f>(LN(rgdp!B74) - LN(rgdp!B70))*100</f>
        <v>6.6916274755312699</v>
      </c>
      <c r="C74" s="2">
        <v>123456789</v>
      </c>
      <c r="D74" s="2">
        <v>123456789</v>
      </c>
    </row>
    <row r="75" spans="1:4" x14ac:dyDescent="0.45">
      <c r="A75" t="s">
        <v>208</v>
      </c>
      <c r="B75">
        <f>(LN(rgdp!B75) - LN(rgdp!B71))*100</f>
        <v>5.7519754923520239</v>
      </c>
      <c r="C75" s="2">
        <v>123456789</v>
      </c>
      <c r="D75" s="2">
        <v>123456789</v>
      </c>
    </row>
    <row r="76" spans="1:4" x14ac:dyDescent="0.45">
      <c r="A76" t="s">
        <v>209</v>
      </c>
      <c r="B76">
        <f>(LN(rgdp!B76) - LN(rgdp!B72))*100</f>
        <v>4.5390491142894618</v>
      </c>
      <c r="C76" s="2">
        <v>123456789</v>
      </c>
      <c r="D76" s="2">
        <v>123456789</v>
      </c>
    </row>
    <row r="77" spans="1:4" x14ac:dyDescent="0.45">
      <c r="A77" t="s">
        <v>210</v>
      </c>
      <c r="B77">
        <f>(LN(rgdp!B77) - LN(rgdp!B73))*100</f>
        <v>4.1948600952361303</v>
      </c>
      <c r="C77" s="2">
        <v>123456789</v>
      </c>
      <c r="D77" s="2">
        <v>123456789</v>
      </c>
    </row>
    <row r="78" spans="1:4" x14ac:dyDescent="0.45">
      <c r="A78" t="s">
        <v>211</v>
      </c>
      <c r="B78">
        <f>(LN(rgdp!B78) - LN(rgdp!B74))*100</f>
        <v>3.0752722586658621</v>
      </c>
      <c r="C78" s="2">
        <v>123456789</v>
      </c>
      <c r="D78" s="2">
        <v>123456789</v>
      </c>
    </row>
    <row r="79" spans="1:4" x14ac:dyDescent="0.45">
      <c r="A79" t="s">
        <v>212</v>
      </c>
      <c r="B79">
        <f>(LN(rgdp!B79) - LN(rgdp!B75))*100</f>
        <v>3.1645413078104312</v>
      </c>
      <c r="C79" s="2">
        <v>123456789</v>
      </c>
      <c r="D79" s="2">
        <v>123456789</v>
      </c>
    </row>
    <row r="80" spans="1:4" x14ac:dyDescent="0.45">
      <c r="A80" t="s">
        <v>213</v>
      </c>
      <c r="B80">
        <f>(LN(rgdp!B80) - LN(rgdp!B76))*100</f>
        <v>2.087191927096832</v>
      </c>
      <c r="C80" s="2">
        <v>123456789</v>
      </c>
      <c r="D80" s="2">
        <v>123456789</v>
      </c>
    </row>
    <row r="81" spans="1:4" x14ac:dyDescent="0.45">
      <c r="A81" t="s">
        <v>214</v>
      </c>
      <c r="B81">
        <f>(LN(rgdp!B81) - LN(rgdp!B77))*100</f>
        <v>1.2678441360565174</v>
      </c>
      <c r="C81" s="2">
        <v>123456789</v>
      </c>
      <c r="D81" s="2">
        <v>123456789</v>
      </c>
    </row>
    <row r="82" spans="1:4" x14ac:dyDescent="0.45">
      <c r="A82" t="s">
        <v>215</v>
      </c>
      <c r="B82">
        <f>(LN(rgdp!B82) - LN(rgdp!B78))*100</f>
        <v>1.2853095107649537</v>
      </c>
      <c r="C82" s="2">
        <v>123456789</v>
      </c>
      <c r="D82" s="2">
        <v>123456789</v>
      </c>
    </row>
    <row r="83" spans="1:4" x14ac:dyDescent="0.45">
      <c r="A83" t="s">
        <v>216</v>
      </c>
      <c r="B83">
        <f>(LN(rgdp!B83) - LN(rgdp!B79))*100</f>
        <v>1.3297549646669182</v>
      </c>
      <c r="C83" s="2">
        <v>123456789</v>
      </c>
      <c r="D83" s="2">
        <v>123456789</v>
      </c>
    </row>
    <row r="84" spans="1:4" x14ac:dyDescent="0.45">
      <c r="A84" t="s">
        <v>217</v>
      </c>
      <c r="B84">
        <f>(LN(rgdp!B84) - LN(rgdp!B80))*100</f>
        <v>6.8307822048119249E-2</v>
      </c>
      <c r="C84" s="2">
        <v>123456789</v>
      </c>
      <c r="D84" s="2">
        <v>123456789</v>
      </c>
    </row>
    <row r="85" spans="1:4" x14ac:dyDescent="0.45">
      <c r="A85" t="s">
        <v>218</v>
      </c>
      <c r="B85">
        <f>(LN(rgdp!B85) - LN(rgdp!B81))*100</f>
        <v>-0.42260463413850147</v>
      </c>
      <c r="C85" s="2">
        <v>123456789</v>
      </c>
      <c r="D85" s="2">
        <v>123456789</v>
      </c>
    </row>
    <row r="86" spans="1:4" x14ac:dyDescent="0.45">
      <c r="A86" t="s">
        <v>219</v>
      </c>
      <c r="B86">
        <f>(LN(rgdp!B86) - LN(rgdp!B82))*100</f>
        <v>-1.432770641948089</v>
      </c>
      <c r="C86" s="2">
        <v>123456789</v>
      </c>
      <c r="D86" s="2">
        <v>123456789</v>
      </c>
    </row>
    <row r="87" spans="1:4" x14ac:dyDescent="0.45">
      <c r="A87" t="s">
        <v>220</v>
      </c>
      <c r="B87">
        <f>(LN(rgdp!B87) - LN(rgdp!B83))*100</f>
        <v>-2.2205635770937704</v>
      </c>
      <c r="C87" s="2">
        <v>123456789</v>
      </c>
      <c r="D87" s="2">
        <v>123456789</v>
      </c>
    </row>
    <row r="88" spans="1:4" x14ac:dyDescent="0.45">
      <c r="A88" t="s">
        <v>221</v>
      </c>
      <c r="B88">
        <f>(LN(rgdp!B88) - LN(rgdp!B84))*100</f>
        <v>-1.3195717303755572</v>
      </c>
      <c r="C88" s="2">
        <v>123456789</v>
      </c>
      <c r="D88" s="2">
        <v>123456789</v>
      </c>
    </row>
    <row r="89" spans="1:4" x14ac:dyDescent="0.45">
      <c r="A89" t="s">
        <v>222</v>
      </c>
      <c r="B89">
        <f>(LN(rgdp!B89) - LN(rgdp!B85))*100</f>
        <v>-0.68306477071953253</v>
      </c>
      <c r="C89" s="2">
        <v>123456789</v>
      </c>
      <c r="D89" s="2">
        <v>123456789</v>
      </c>
    </row>
    <row r="90" spans="1:4" x14ac:dyDescent="0.45">
      <c r="A90" t="s">
        <v>223</v>
      </c>
      <c r="B90">
        <f>(LN(rgdp!B90) - LN(rgdp!B86))*100</f>
        <v>-0.1988287690883439</v>
      </c>
      <c r="C90" s="2">
        <v>123456789</v>
      </c>
      <c r="D90" s="2">
        <v>123456789</v>
      </c>
    </row>
    <row r="91" spans="1:4" x14ac:dyDescent="0.45">
      <c r="A91" t="s">
        <v>224</v>
      </c>
      <c r="B91">
        <f>(LN(rgdp!B91) - LN(rgdp!B87))*100</f>
        <v>-0.22964829971616751</v>
      </c>
      <c r="C91" s="2">
        <v>123456789</v>
      </c>
      <c r="D91" s="2">
        <v>123456789</v>
      </c>
    </row>
    <row r="92" spans="1:4" x14ac:dyDescent="0.45">
      <c r="A92" t="s">
        <v>225</v>
      </c>
      <c r="B92">
        <f>(LN(rgdp!B92) - LN(rgdp!B88))*100</f>
        <v>0.44393080806646168</v>
      </c>
      <c r="C92" s="2">
        <v>123456789</v>
      </c>
      <c r="D92" s="2">
        <v>123456789</v>
      </c>
    </row>
    <row r="93" spans="1:4" x14ac:dyDescent="0.45">
      <c r="A93" t="s">
        <v>226</v>
      </c>
      <c r="B93">
        <f>(LN(rgdp!B93) - LN(rgdp!B89))*100</f>
        <v>1.0818260081736142</v>
      </c>
      <c r="C93" s="2">
        <v>123456789</v>
      </c>
      <c r="D93" s="2">
        <v>123456789</v>
      </c>
    </row>
    <row r="94" spans="1:4" x14ac:dyDescent="0.45">
      <c r="A94" t="s">
        <v>227</v>
      </c>
      <c r="B94">
        <f>(LN(rgdp!B94) - LN(rgdp!B90))*100</f>
        <v>1.6084057491276837</v>
      </c>
      <c r="C94" s="2">
        <v>123456789</v>
      </c>
      <c r="D94" s="2">
        <v>123456789</v>
      </c>
    </row>
    <row r="95" spans="1:4" x14ac:dyDescent="0.45">
      <c r="A95" t="s">
        <v>228</v>
      </c>
      <c r="B95">
        <f>(LN(rgdp!B95) - LN(rgdp!B91))*100</f>
        <v>2.2006841983960967</v>
      </c>
      <c r="C95" s="2">
        <v>123456789</v>
      </c>
      <c r="D95" s="2">
        <v>123456789</v>
      </c>
    </row>
    <row r="96" spans="1:4" x14ac:dyDescent="0.45">
      <c r="A96" t="s">
        <v>229</v>
      </c>
      <c r="B96">
        <f>(LN(rgdp!B96) - LN(rgdp!B92))*100</f>
        <v>2.6315609248451111</v>
      </c>
      <c r="C96" s="2">
        <v>123456789</v>
      </c>
      <c r="D96" s="2">
        <v>123456789</v>
      </c>
    </row>
    <row r="97" spans="1:4" x14ac:dyDescent="0.45">
      <c r="A97" t="s">
        <v>230</v>
      </c>
      <c r="B97">
        <f>(LN(rgdp!B97) - LN(rgdp!B93))*100</f>
        <v>2.54408072713872</v>
      </c>
      <c r="C97" s="2">
        <v>123456789</v>
      </c>
      <c r="D97" s="2">
        <v>123456789</v>
      </c>
    </row>
    <row r="98" spans="1:4" x14ac:dyDescent="0.45">
      <c r="A98" t="s">
        <v>231</v>
      </c>
      <c r="B98">
        <f>(LN(rgdp!B98) - LN(rgdp!B94))*100</f>
        <v>3.0262071783029754</v>
      </c>
      <c r="C98" s="2">
        <v>123456789</v>
      </c>
      <c r="D98" s="2">
        <v>123456789</v>
      </c>
    </row>
    <row r="99" spans="1:4" x14ac:dyDescent="0.45">
      <c r="A99" t="s">
        <v>232</v>
      </c>
      <c r="B99">
        <f>(LN(rgdp!B99) - LN(rgdp!B95))*100</f>
        <v>3.4924704195326228</v>
      </c>
      <c r="C99" s="2">
        <v>123456789</v>
      </c>
      <c r="D99" s="2">
        <v>123456789</v>
      </c>
    </row>
    <row r="100" spans="1:4" x14ac:dyDescent="0.45">
      <c r="A100" t="s">
        <v>233</v>
      </c>
      <c r="B100">
        <f>(LN(rgdp!B100) - LN(rgdp!B96))*100</f>
        <v>3.5866899872310398</v>
      </c>
      <c r="C100" s="2">
        <v>123456789</v>
      </c>
      <c r="D100" s="2">
        <v>123456789</v>
      </c>
    </row>
    <row r="101" spans="1:4" x14ac:dyDescent="0.45">
      <c r="A101" t="s">
        <v>234</v>
      </c>
      <c r="B101">
        <f>(LN(rgdp!B101) - LN(rgdp!B97))*100</f>
        <v>3.3367670145855399</v>
      </c>
      <c r="C101" s="2">
        <v>123456789</v>
      </c>
      <c r="D101" s="2">
        <v>123456789</v>
      </c>
    </row>
    <row r="102" spans="1:4" x14ac:dyDescent="0.45">
      <c r="A102" t="s">
        <v>235</v>
      </c>
      <c r="B102">
        <f>(LN(rgdp!B102) - LN(rgdp!B98))*100</f>
        <v>2.8647713643831452</v>
      </c>
      <c r="C102" s="2">
        <v>123456789</v>
      </c>
      <c r="D102" s="2">
        <v>123456789</v>
      </c>
    </row>
    <row r="103" spans="1:4" x14ac:dyDescent="0.45">
      <c r="A103" t="s">
        <v>236</v>
      </c>
      <c r="B103">
        <f>(LN(rgdp!B103) - LN(rgdp!B99))*100</f>
        <v>2.1736852833358355</v>
      </c>
      <c r="C103" s="2">
        <v>123456789</v>
      </c>
      <c r="D103" s="2">
        <v>123456789</v>
      </c>
    </row>
    <row r="104" spans="1:4" x14ac:dyDescent="0.45">
      <c r="A104" t="s">
        <v>237</v>
      </c>
      <c r="B104">
        <f>(LN(rgdp!B104) - LN(rgdp!B100))*100</f>
        <v>2.2891491557318844</v>
      </c>
      <c r="C104" s="2">
        <v>123456789</v>
      </c>
      <c r="D104" s="2">
        <v>123456789</v>
      </c>
    </row>
    <row r="105" spans="1:4" x14ac:dyDescent="0.45">
      <c r="A105" t="s">
        <v>238</v>
      </c>
      <c r="B105">
        <f>(LN(rgdp!B105) - LN(rgdp!B101))*100</f>
        <v>2.1876038392369068</v>
      </c>
      <c r="C105" s="2">
        <v>123456789</v>
      </c>
      <c r="D105" s="2">
        <v>123456789</v>
      </c>
    </row>
    <row r="106" spans="1:4" x14ac:dyDescent="0.45">
      <c r="A106" t="s">
        <v>239</v>
      </c>
      <c r="B106">
        <f>(LN(rgdp!B106) - LN(rgdp!B102))*100</f>
        <v>2.3654978400044158</v>
      </c>
      <c r="C106" s="2">
        <v>123456789</v>
      </c>
      <c r="D106" s="2">
        <v>123456789</v>
      </c>
    </row>
    <row r="107" spans="1:4" x14ac:dyDescent="0.45">
      <c r="A107" t="s">
        <v>240</v>
      </c>
      <c r="B107">
        <f>(LN(rgdp!B107) - LN(rgdp!B103))*100</f>
        <v>2.465517302026754</v>
      </c>
      <c r="C107" s="2">
        <v>123456789</v>
      </c>
      <c r="D107" s="2">
        <v>123456789</v>
      </c>
    </row>
    <row r="108" spans="1:4" x14ac:dyDescent="0.45">
      <c r="A108" t="s">
        <v>241</v>
      </c>
      <c r="B108">
        <f>(LN(rgdp!B108) - LN(rgdp!B104))*100</f>
        <v>2.2367187156998369</v>
      </c>
      <c r="C108" s="2">
        <v>123456789</v>
      </c>
      <c r="D108" s="2">
        <v>123456789</v>
      </c>
    </row>
    <row r="109" spans="1:4" x14ac:dyDescent="0.45">
      <c r="A109" t="s">
        <v>242</v>
      </c>
      <c r="B109">
        <f>(LN(rgdp!B109) - LN(rgdp!B105))*100</f>
        <v>3.2480544413102663</v>
      </c>
      <c r="C109" s="2">
        <v>123456789</v>
      </c>
      <c r="D109" s="2">
        <v>123456789</v>
      </c>
    </row>
    <row r="110" spans="1:4" x14ac:dyDescent="0.45">
      <c r="A110" t="s">
        <v>243</v>
      </c>
      <c r="B110">
        <f>(LN(rgdp!B110) - LN(rgdp!B106))*100</f>
        <v>4.1354057540637257</v>
      </c>
      <c r="C110" s="2">
        <v>123456789</v>
      </c>
      <c r="D110" s="2">
        <v>123456789</v>
      </c>
    </row>
    <row r="111" spans="1:4" x14ac:dyDescent="0.45">
      <c r="A111" t="s">
        <v>244</v>
      </c>
      <c r="B111">
        <f>(LN(rgdp!B111) - LN(rgdp!B107))*100</f>
        <v>4.926874591799546</v>
      </c>
      <c r="C111" s="2">
        <v>123456789</v>
      </c>
      <c r="D111" s="2">
        <v>123456789</v>
      </c>
    </row>
    <row r="112" spans="1:4" x14ac:dyDescent="0.45">
      <c r="A112" t="s">
        <v>245</v>
      </c>
      <c r="B112">
        <f>(LN(rgdp!B112) - LN(rgdp!B108))*100</f>
        <v>4.9315410509876756</v>
      </c>
      <c r="C112" s="2">
        <v>123456789</v>
      </c>
      <c r="D112" s="2">
        <v>123456789</v>
      </c>
    </row>
    <row r="113" spans="1:4" x14ac:dyDescent="0.45">
      <c r="A113" t="s">
        <v>246</v>
      </c>
      <c r="B113">
        <f>(LN(rgdp!B113) - LN(rgdp!B109))*100</f>
        <v>5.0521652883238843</v>
      </c>
      <c r="C113" s="2">
        <v>123456789</v>
      </c>
      <c r="D113" s="2">
        <v>123456789</v>
      </c>
    </row>
    <row r="114" spans="1:4" x14ac:dyDescent="0.45">
      <c r="A114" t="s">
        <v>247</v>
      </c>
      <c r="B114">
        <f>(LN(rgdp!B114) - LN(rgdp!B110))*100</f>
        <v>4.1719365028084709</v>
      </c>
      <c r="C114" s="2">
        <v>123456789</v>
      </c>
      <c r="D114" s="2">
        <v>123456789</v>
      </c>
    </row>
    <row r="115" spans="1:4" x14ac:dyDescent="0.45">
      <c r="A115" t="s">
        <v>248</v>
      </c>
      <c r="B115">
        <f>(LN(rgdp!B115) - LN(rgdp!B111))*100</f>
        <v>3.6393306860484032</v>
      </c>
      <c r="C115" s="2">
        <v>123456789</v>
      </c>
      <c r="D115" s="2">
        <v>123456789</v>
      </c>
    </row>
    <row r="116" spans="1:4" x14ac:dyDescent="0.45">
      <c r="A116" t="s">
        <v>249</v>
      </c>
      <c r="B116">
        <f>(LN(rgdp!B116) - LN(rgdp!B112))*100</f>
        <v>2.9031231095872911</v>
      </c>
      <c r="C116" s="2">
        <v>123456789</v>
      </c>
      <c r="D116" s="2">
        <v>123456789</v>
      </c>
    </row>
    <row r="117" spans="1:4" x14ac:dyDescent="0.45">
      <c r="A117" t="s">
        <v>250</v>
      </c>
      <c r="B117">
        <f>(LN(rgdp!B117) - LN(rgdp!B113))*100</f>
        <v>2.0918382235938893</v>
      </c>
      <c r="C117" s="2">
        <v>123456789</v>
      </c>
      <c r="D117" s="2">
        <v>123456789</v>
      </c>
    </row>
    <row r="118" spans="1:4" x14ac:dyDescent="0.45">
      <c r="A118" t="s">
        <v>251</v>
      </c>
      <c r="B118">
        <f>(LN(rgdp!B118) - LN(rgdp!B114))*100</f>
        <v>2.0629497796226914</v>
      </c>
      <c r="C118" s="2">
        <v>123456789</v>
      </c>
      <c r="D118" s="2">
        <v>123456789</v>
      </c>
    </row>
    <row r="119" spans="1:4" x14ac:dyDescent="0.45">
      <c r="A119" t="s">
        <v>252</v>
      </c>
      <c r="B119">
        <f>(LN(rgdp!B119) - LN(rgdp!B115))*100</f>
        <v>1.8521940890829924</v>
      </c>
      <c r="C119" s="2">
        <v>123456789</v>
      </c>
      <c r="D119" s="2">
        <v>123456789</v>
      </c>
    </row>
    <row r="120" spans="1:4" x14ac:dyDescent="0.45">
      <c r="A120" t="s">
        <v>253</v>
      </c>
      <c r="B120">
        <f>(LN(rgdp!B120) - LN(rgdp!B116))*100</f>
        <v>3.3537335661769418</v>
      </c>
      <c r="C120" s="2">
        <v>123456789</v>
      </c>
      <c r="D120" s="2">
        <v>123456789</v>
      </c>
    </row>
    <row r="121" spans="1:4" x14ac:dyDescent="0.45">
      <c r="A121" t="s">
        <v>254</v>
      </c>
      <c r="B121">
        <f>(LN(rgdp!B121) - LN(rgdp!B117))*100</f>
        <v>4.3021025739928831</v>
      </c>
      <c r="C121" s="2">
        <v>123456789</v>
      </c>
      <c r="D121" s="2">
        <v>123456789</v>
      </c>
    </row>
    <row r="122" spans="1:4" x14ac:dyDescent="0.45">
      <c r="A122" t="s">
        <v>255</v>
      </c>
      <c r="B122">
        <f>(LN(rgdp!B122) - LN(rgdp!B118))*100</f>
        <v>4.9448006715488546</v>
      </c>
      <c r="C122" s="2">
        <v>123456789</v>
      </c>
      <c r="D122" s="2">
        <v>123456789</v>
      </c>
    </row>
    <row r="123" spans="1:4" x14ac:dyDescent="0.45">
      <c r="A123" t="s">
        <v>256</v>
      </c>
      <c r="B123">
        <f>(LN(rgdp!B123) - LN(rgdp!B119))*100</f>
        <v>5.2988788926578323</v>
      </c>
      <c r="C123" s="2">
        <v>123456789</v>
      </c>
      <c r="D123" s="2">
        <v>123456789</v>
      </c>
    </row>
    <row r="124" spans="1:4" x14ac:dyDescent="0.45">
      <c r="A124" t="s">
        <v>257</v>
      </c>
      <c r="B124">
        <f>(LN(rgdp!B124) - LN(rgdp!B120))*100</f>
        <v>4.2461604454311797</v>
      </c>
      <c r="C124" s="2">
        <v>123456789</v>
      </c>
      <c r="D124" s="2">
        <v>123456789</v>
      </c>
    </row>
    <row r="125" spans="1:4" x14ac:dyDescent="0.45">
      <c r="A125" t="s">
        <v>258</v>
      </c>
      <c r="B125">
        <f>(LN(rgdp!B125) - LN(rgdp!B121))*100</f>
        <v>3.2417271668471415</v>
      </c>
      <c r="C125" s="2">
        <v>123456789</v>
      </c>
      <c r="D125" s="2">
        <v>123456789</v>
      </c>
    </row>
    <row r="126" spans="1:4" x14ac:dyDescent="0.45">
      <c r="A126" t="s">
        <v>259</v>
      </c>
      <c r="B126">
        <f>(LN(rgdp!B126) - LN(rgdp!B122))*100</f>
        <v>2.7447149947702698</v>
      </c>
      <c r="C126" s="2">
        <v>123456789</v>
      </c>
      <c r="D126" s="2">
        <v>123456789</v>
      </c>
    </row>
    <row r="127" spans="1:4" x14ac:dyDescent="0.45">
      <c r="A127" t="s">
        <v>260</v>
      </c>
      <c r="B127">
        <f>(LN(rgdp!B127) - LN(rgdp!B123))*100</f>
        <v>2.4366194226058013</v>
      </c>
      <c r="C127" s="2">
        <v>123456789</v>
      </c>
      <c r="D127" s="2">
        <v>123456789</v>
      </c>
    </row>
    <row r="128" spans="1:4" x14ac:dyDescent="0.45">
      <c r="A128" t="s">
        <v>261</v>
      </c>
      <c r="B128">
        <f>(LN(rgdp!B128) - LN(rgdp!B124))*100</f>
        <v>2.2998205250360115</v>
      </c>
      <c r="C128" s="2">
        <v>123456789</v>
      </c>
      <c r="D128" s="2">
        <v>123456789</v>
      </c>
    </row>
    <row r="129" spans="1:4" x14ac:dyDescent="0.45">
      <c r="A129" t="s">
        <v>262</v>
      </c>
      <c r="B129">
        <f>(LN(rgdp!B129) - LN(rgdp!B125))*100</f>
        <v>1.9766335548498049</v>
      </c>
      <c r="C129" s="2">
        <v>123456789</v>
      </c>
      <c r="D129" s="2">
        <v>123456789</v>
      </c>
    </row>
    <row r="130" spans="1:4" x14ac:dyDescent="0.45">
      <c r="A130" t="s">
        <v>263</v>
      </c>
      <c r="B130">
        <f>(LN(rgdp!B130) - LN(rgdp!B126))*100</f>
        <v>1.4520015873154435</v>
      </c>
      <c r="C130" s="2">
        <v>123456789</v>
      </c>
      <c r="D130" s="2">
        <v>123456789</v>
      </c>
    </row>
    <row r="131" spans="1:4" x14ac:dyDescent="0.45">
      <c r="A131" t="s">
        <v>264</v>
      </c>
      <c r="B131">
        <f>(LN(rgdp!B131) - LN(rgdp!B127))*100</f>
        <v>1.5677449524503118</v>
      </c>
      <c r="C131" s="2">
        <v>123456789</v>
      </c>
      <c r="D131" s="2">
        <v>123456789</v>
      </c>
    </row>
    <row r="132" spans="1:4" x14ac:dyDescent="0.45">
      <c r="A132" t="s">
        <v>265</v>
      </c>
      <c r="B132">
        <f>(LN(rgdp!B132) - LN(rgdp!B128))*100</f>
        <v>1.6823653036096786</v>
      </c>
      <c r="C132" s="2">
        <v>123456789</v>
      </c>
      <c r="D132" s="2">
        <v>123456789</v>
      </c>
    </row>
    <row r="133" spans="1:4" x14ac:dyDescent="0.45">
      <c r="A133" t="s">
        <v>266</v>
      </c>
      <c r="B133">
        <f>(LN(rgdp!B133) - LN(rgdp!B129))*100</f>
        <v>2.0714195262769408</v>
      </c>
      <c r="C133" s="2">
        <v>123456789</v>
      </c>
      <c r="D133" s="2">
        <v>123456789</v>
      </c>
    </row>
    <row r="134" spans="1:4" x14ac:dyDescent="0.45">
      <c r="A134" t="s">
        <v>267</v>
      </c>
      <c r="B134">
        <f>(LN(rgdp!B134) - LN(rgdp!B130))*100</f>
        <v>2.6088736037111815</v>
      </c>
      <c r="C134" s="2">
        <v>123456789</v>
      </c>
      <c r="D134" s="2">
        <v>123456789</v>
      </c>
    </row>
    <row r="135" spans="1:4" x14ac:dyDescent="0.45">
      <c r="A135" t="s">
        <v>268</v>
      </c>
      <c r="B135">
        <f>(LN(rgdp!B135) - LN(rgdp!B131))*100</f>
        <v>3.0071672701115659</v>
      </c>
      <c r="C135" s="2">
        <v>123456789</v>
      </c>
      <c r="D135" s="2">
        <v>123456789</v>
      </c>
    </row>
    <row r="136" spans="1:4" x14ac:dyDescent="0.45">
      <c r="A136" t="s">
        <v>269</v>
      </c>
      <c r="B136">
        <f>(LN(rgdp!B136) - LN(rgdp!B132))*100</f>
        <v>3.4598865958308522</v>
      </c>
      <c r="C136" s="2">
        <v>123456789</v>
      </c>
      <c r="D136" s="2">
        <v>123456789</v>
      </c>
    </row>
    <row r="137" spans="1:4" x14ac:dyDescent="0.45">
      <c r="A137" t="s">
        <v>270</v>
      </c>
      <c r="B137">
        <f>(LN(rgdp!B137) - LN(rgdp!B133))*100</f>
        <v>3.5824910619535189</v>
      </c>
      <c r="C137" s="2">
        <v>123456789</v>
      </c>
      <c r="D137" s="2">
        <v>123456789</v>
      </c>
    </row>
    <row r="138" spans="1:4" x14ac:dyDescent="0.45">
      <c r="A138" t="s">
        <v>271</v>
      </c>
      <c r="B138">
        <f>(LN(rgdp!B138) - LN(rgdp!B134))*100</f>
        <v>3.0585884427317467</v>
      </c>
      <c r="C138" s="2">
        <v>123456789</v>
      </c>
      <c r="D138" s="2">
        <v>123456789</v>
      </c>
    </row>
    <row r="139" spans="1:4" x14ac:dyDescent="0.45">
      <c r="A139" t="s">
        <v>272</v>
      </c>
      <c r="B139">
        <f>(LN(rgdp!B139) - LN(rgdp!B135))*100</f>
        <v>2.6141338012115156</v>
      </c>
      <c r="C139" s="2">
        <v>123456789</v>
      </c>
      <c r="D139" s="2">
        <v>123456789</v>
      </c>
    </row>
    <row r="140" spans="1:4" x14ac:dyDescent="0.45">
      <c r="A140" t="s">
        <v>273</v>
      </c>
      <c r="B140">
        <f>(LN(rgdp!B140) - LN(rgdp!B136))*100</f>
        <v>1.9334477180365184</v>
      </c>
      <c r="C140" s="2">
        <v>123456789</v>
      </c>
      <c r="D140" s="2">
        <v>123456789</v>
      </c>
    </row>
    <row r="141" spans="1:4" x14ac:dyDescent="0.45">
      <c r="A141" t="s">
        <v>274</v>
      </c>
      <c r="B141">
        <f>(LN(rgdp!B141) - LN(rgdp!B137))*100</f>
        <v>1.6083620737489923</v>
      </c>
      <c r="C141" s="2">
        <v>123456789</v>
      </c>
      <c r="D141" s="2">
        <v>123456789</v>
      </c>
    </row>
    <row r="142" spans="1:4" x14ac:dyDescent="0.45">
      <c r="A142" t="s">
        <v>275</v>
      </c>
      <c r="B142">
        <f>(LN(rgdp!B142) - LN(rgdp!B138))*100</f>
        <v>2.0601574166702719</v>
      </c>
      <c r="C142" s="2">
        <v>123456789</v>
      </c>
      <c r="D142" s="2">
        <v>123456789</v>
      </c>
    </row>
    <row r="143" spans="1:4" x14ac:dyDescent="0.45">
      <c r="A143" t="s">
        <v>276</v>
      </c>
      <c r="B143">
        <f>(LN(rgdp!B143) - LN(rgdp!B139))*100</f>
        <v>2.409415368089185</v>
      </c>
      <c r="C143" s="2">
        <v>123456789</v>
      </c>
      <c r="D143" s="2">
        <v>123456789</v>
      </c>
    </row>
    <row r="144" spans="1:4" x14ac:dyDescent="0.45">
      <c r="A144" t="s">
        <v>277</v>
      </c>
      <c r="B144">
        <f>(LN(rgdp!B144) - LN(rgdp!B140))*100</f>
        <v>2.9688843826969347</v>
      </c>
      <c r="C144" s="2">
        <v>123456789</v>
      </c>
      <c r="D144" s="2">
        <v>123456789</v>
      </c>
    </row>
    <row r="145" spans="1:4" x14ac:dyDescent="0.45">
      <c r="A145" t="s">
        <v>278</v>
      </c>
      <c r="B145">
        <f>(LN(rgdp!B145) - LN(rgdp!B141))*100</f>
        <v>3.5541708920007409</v>
      </c>
      <c r="C145" s="2">
        <v>123456789</v>
      </c>
      <c r="D145" s="2">
        <v>123456789</v>
      </c>
    </row>
    <row r="146" spans="1:4" x14ac:dyDescent="0.45">
      <c r="A146" t="s">
        <v>279</v>
      </c>
      <c r="B146">
        <f>(LN(rgdp!B146) - LN(rgdp!B142))*100</f>
        <v>3.145049461128302</v>
      </c>
      <c r="C146" s="2">
        <v>123456789</v>
      </c>
      <c r="D146" s="2">
        <v>123456789</v>
      </c>
    </row>
    <row r="147" spans="1:4" x14ac:dyDescent="0.45">
      <c r="A147" t="s">
        <v>280</v>
      </c>
      <c r="B147">
        <f>(LN(rgdp!B147) - LN(rgdp!B143))*100</f>
        <v>2.5812846102141407</v>
      </c>
      <c r="C147" s="2">
        <v>123456789</v>
      </c>
      <c r="D147" s="2">
        <v>123456789</v>
      </c>
    </row>
    <row r="148" spans="1:4" x14ac:dyDescent="0.45">
      <c r="A148" t="s">
        <v>281</v>
      </c>
      <c r="B148">
        <f>(LN(rgdp!B148) - LN(rgdp!B144))*100</f>
        <v>1.8220003728446343</v>
      </c>
      <c r="C148" s="2">
        <v>123456789</v>
      </c>
      <c r="D148" s="2">
        <v>123456789</v>
      </c>
    </row>
    <row r="149" spans="1:4" x14ac:dyDescent="0.45">
      <c r="A149" t="s">
        <v>282</v>
      </c>
      <c r="B149">
        <f>(LN(rgdp!B149) - LN(rgdp!B145))*100</f>
        <v>1.1364043009365332</v>
      </c>
      <c r="C149" s="2">
        <v>123456789</v>
      </c>
      <c r="D149" s="2">
        <v>123456789</v>
      </c>
    </row>
    <row r="150" spans="1:4" x14ac:dyDescent="0.45">
      <c r="A150" t="s">
        <v>283</v>
      </c>
      <c r="B150">
        <f>(LN(rgdp!B150) - LN(rgdp!B146))*100</f>
        <v>1.8686461157876977</v>
      </c>
      <c r="C150" s="2">
        <v>123456789</v>
      </c>
      <c r="D150" s="2">
        <v>123456789</v>
      </c>
    </row>
    <row r="151" spans="1:4" x14ac:dyDescent="0.45">
      <c r="A151" t="s">
        <v>284</v>
      </c>
      <c r="B151">
        <f>(LN(rgdp!B151) - LN(rgdp!B147))*100</f>
        <v>2.5396673031453432</v>
      </c>
      <c r="C151" s="2">
        <v>123456789</v>
      </c>
      <c r="D151" s="2">
        <v>123456789</v>
      </c>
    </row>
    <row r="152" spans="1:4" x14ac:dyDescent="0.45">
      <c r="A152" t="s">
        <v>285</v>
      </c>
      <c r="B152">
        <f>(LN(rgdp!B152) - LN(rgdp!B148))*100</f>
        <v>3.3205422036026278</v>
      </c>
      <c r="C152" s="2">
        <v>123456789</v>
      </c>
      <c r="D152" s="2">
        <v>123456789</v>
      </c>
    </row>
    <row r="153" spans="1:4" x14ac:dyDescent="0.45">
      <c r="A153" t="s">
        <v>286</v>
      </c>
      <c r="B153">
        <f>(LN(rgdp!B153) - LN(rgdp!B149))*100</f>
        <v>3.8072090946027259</v>
      </c>
      <c r="C153" s="2">
        <v>123456789</v>
      </c>
      <c r="D153" s="2">
        <v>123456789</v>
      </c>
    </row>
    <row r="154" spans="1:4" x14ac:dyDescent="0.45">
      <c r="A154" t="s">
        <v>287</v>
      </c>
      <c r="B154">
        <f>(LN(rgdp!B154) - LN(rgdp!B150))*100</f>
        <v>3.0888582016707744</v>
      </c>
      <c r="C154" s="2">
        <v>123456789</v>
      </c>
      <c r="D154" s="2">
        <v>123456789</v>
      </c>
    </row>
    <row r="155" spans="1:4" x14ac:dyDescent="0.45">
      <c r="A155" t="s">
        <v>288</v>
      </c>
      <c r="B155">
        <f>(LN(rgdp!B155) - LN(rgdp!B151))*100</f>
        <v>1.6147396584909046</v>
      </c>
      <c r="C155" s="2">
        <v>123456789</v>
      </c>
      <c r="D155" s="2">
        <v>123456789</v>
      </c>
    </row>
    <row r="156" spans="1:4" x14ac:dyDescent="0.45">
      <c r="A156" t="s">
        <v>289</v>
      </c>
      <c r="B156">
        <f>(LN(rgdp!B156) - LN(rgdp!B152))*100</f>
        <v>-0.97853872879998249</v>
      </c>
      <c r="C156" s="2">
        <v>123456789</v>
      </c>
      <c r="D156" s="2">
        <v>123456789</v>
      </c>
    </row>
    <row r="157" spans="1:4" x14ac:dyDescent="0.45">
      <c r="A157" t="s">
        <v>290</v>
      </c>
      <c r="B157">
        <f>(LN(rgdp!B157) - LN(rgdp!B153))*100</f>
        <v>-3.9589230193973535</v>
      </c>
      <c r="C157" s="2">
        <v>123456789</v>
      </c>
      <c r="D157" s="2">
        <v>123456789</v>
      </c>
    </row>
    <row r="158" spans="1:4" x14ac:dyDescent="0.45">
      <c r="A158" t="s">
        <v>291</v>
      </c>
      <c r="B158">
        <f>(LN(rgdp!B158) - LN(rgdp!B154))*100</f>
        <v>-6.3758629090253649</v>
      </c>
      <c r="C158" s="2">
        <v>123456789</v>
      </c>
      <c r="D158" s="2">
        <v>123456789</v>
      </c>
    </row>
    <row r="159" spans="1:4" x14ac:dyDescent="0.45">
      <c r="A159" t="s">
        <v>292</v>
      </c>
      <c r="B159">
        <f>(LN(rgdp!B159) - LN(rgdp!B155))*100</f>
        <v>-6.1273136974673292</v>
      </c>
      <c r="C159" s="2">
        <v>123456789</v>
      </c>
      <c r="D159" s="2">
        <v>123456789</v>
      </c>
    </row>
    <row r="160" spans="1:4" x14ac:dyDescent="0.45">
      <c r="A160" t="s">
        <v>293</v>
      </c>
      <c r="B160">
        <f>(LN(rgdp!B160) - LN(rgdp!B156))*100</f>
        <v>-4.3479885117427841</v>
      </c>
      <c r="C160" s="2">
        <v>123456789</v>
      </c>
      <c r="D160" s="2">
        <v>123456789</v>
      </c>
    </row>
    <row r="161" spans="1:4" x14ac:dyDescent="0.45">
      <c r="A161" t="s">
        <v>294</v>
      </c>
      <c r="B161">
        <f>(LN(rgdp!B161) - LN(rgdp!B157))*100</f>
        <v>-1.876467668347459</v>
      </c>
      <c r="C161" s="2">
        <v>123456789</v>
      </c>
      <c r="D161" s="2">
        <v>123456789</v>
      </c>
    </row>
    <row r="162" spans="1:4" x14ac:dyDescent="0.45">
      <c r="A162" t="s">
        <v>295</v>
      </c>
      <c r="B162">
        <f>(LN(rgdp!B162) - LN(rgdp!B158))*100</f>
        <v>1.0033949156222022</v>
      </c>
      <c r="C162" s="2">
        <v>123456789</v>
      </c>
      <c r="D162" s="2">
        <v>123456789</v>
      </c>
    </row>
    <row r="163" spans="1:4" x14ac:dyDescent="0.45">
      <c r="A163" t="s">
        <v>296</v>
      </c>
      <c r="B163">
        <f>(LN(rgdp!B163) - LN(rgdp!B159))*100</f>
        <v>2.4288188669924438</v>
      </c>
      <c r="C163" s="2">
        <v>123456789</v>
      </c>
      <c r="D163" s="2">
        <v>123456789</v>
      </c>
    </row>
    <row r="164" spans="1:4" x14ac:dyDescent="0.45">
      <c r="A164" t="s">
        <v>297</v>
      </c>
      <c r="B164">
        <f>(LN(rgdp!B164) - LN(rgdp!B160))*100</f>
        <v>2.8909858501913632</v>
      </c>
      <c r="C164" s="2">
        <v>123456789</v>
      </c>
      <c r="D164" s="2">
        <v>123456789</v>
      </c>
    </row>
    <row r="165" spans="1:4" x14ac:dyDescent="0.45">
      <c r="A165" t="s">
        <v>298</v>
      </c>
      <c r="B165">
        <f>(LN(rgdp!B165) - LN(rgdp!B161))*100</f>
        <v>2.608718286948708</v>
      </c>
      <c r="C165" s="2">
        <v>123456789</v>
      </c>
      <c r="D165" s="2">
        <v>123456789</v>
      </c>
    </row>
    <row r="166" spans="1:4" x14ac:dyDescent="0.45">
      <c r="A166" t="s">
        <v>299</v>
      </c>
      <c r="B166">
        <f>(LN(rgdp!B166) - LN(rgdp!B162))*100</f>
        <v>1.9363401382097578</v>
      </c>
      <c r="C166" s="2">
        <v>123456789</v>
      </c>
      <c r="D166" s="2">
        <v>123456789</v>
      </c>
    </row>
    <row r="167" spans="1:4" x14ac:dyDescent="0.45">
      <c r="A167" t="s">
        <v>300</v>
      </c>
      <c r="B167">
        <f>(LN(rgdp!B167) - LN(rgdp!B163))*100</f>
        <v>0.75255857166425244</v>
      </c>
      <c r="C167" s="2">
        <v>123456789</v>
      </c>
      <c r="D167" s="2">
        <v>123456789</v>
      </c>
    </row>
    <row r="168" spans="1:4" x14ac:dyDescent="0.45">
      <c r="A168" t="s">
        <v>301</v>
      </c>
      <c r="B168">
        <f>(LN(rgdp!B168) - LN(rgdp!B164))*100</f>
        <v>0.34008565796064261</v>
      </c>
      <c r="C168" s="2">
        <v>123456789</v>
      </c>
      <c r="D168" s="2">
        <v>123456789</v>
      </c>
    </row>
    <row r="169" spans="1:4" x14ac:dyDescent="0.45">
      <c r="A169" t="s">
        <v>302</v>
      </c>
      <c r="B169">
        <f>(LN(rgdp!B169) - LN(rgdp!B165))*100</f>
        <v>0.37231050739290339</v>
      </c>
      <c r="C169" s="2">
        <v>123456789</v>
      </c>
      <c r="D169" s="2">
        <v>123456789</v>
      </c>
    </row>
    <row r="170" spans="1:4" x14ac:dyDescent="0.45">
      <c r="A170" t="s">
        <v>303</v>
      </c>
      <c r="B170">
        <f>(LN(rgdp!B170) - LN(rgdp!B166))*100</f>
        <v>1.1476164043578763</v>
      </c>
      <c r="C170" s="2">
        <v>123456789</v>
      </c>
      <c r="D170" s="2">
        <v>123456789</v>
      </c>
    </row>
    <row r="171" spans="1:4" x14ac:dyDescent="0.45">
      <c r="A171" t="s">
        <v>304</v>
      </c>
      <c r="B171">
        <f>(LN(rgdp!B171) - LN(rgdp!B167))*100</f>
        <v>1.1425807784245734</v>
      </c>
      <c r="C171" s="2">
        <v>123456789</v>
      </c>
      <c r="D171" s="2">
        <v>123456789</v>
      </c>
    </row>
    <row r="172" spans="1:4" x14ac:dyDescent="0.45">
      <c r="A172" t="s">
        <v>305</v>
      </c>
      <c r="B172">
        <f>(LN(rgdp!B172) - LN(rgdp!B168))*100</f>
        <v>1.9998276871007192</v>
      </c>
      <c r="C172" s="2">
        <v>123456789</v>
      </c>
      <c r="D172" s="2">
        <v>123456789</v>
      </c>
    </row>
    <row r="173" spans="1:4" x14ac:dyDescent="0.45">
      <c r="A173" t="s">
        <v>306</v>
      </c>
      <c r="B173">
        <f>(LN(rgdp!B173) - LN(rgdp!B169))*100</f>
        <v>1.7725766415544797</v>
      </c>
      <c r="C173" s="2">
        <v>123456789</v>
      </c>
      <c r="D173" s="2">
        <v>123456789</v>
      </c>
    </row>
    <row r="174" spans="1:4" x14ac:dyDescent="0.45">
      <c r="A174" t="s">
        <v>307</v>
      </c>
      <c r="B174">
        <f>(LN(rgdp!B174) - LN(rgdp!B170))*100</f>
        <v>1.0983794460646124</v>
      </c>
      <c r="C174" s="2">
        <v>123456789</v>
      </c>
      <c r="D174" s="2">
        <v>123456789</v>
      </c>
    </row>
    <row r="175" spans="1:4" x14ac:dyDescent="0.45">
      <c r="A175" t="s">
        <v>308</v>
      </c>
      <c r="B175">
        <f>(LN(rgdp!B175) - LN(rgdp!B171))*100</f>
        <v>1.814322403130042</v>
      </c>
      <c r="C175" s="2">
        <v>123456789</v>
      </c>
      <c r="D175" s="2">
        <v>123456789</v>
      </c>
    </row>
    <row r="176" spans="1:4" x14ac:dyDescent="0.45">
      <c r="A176" t="s">
        <v>309</v>
      </c>
      <c r="B176">
        <f>(LN(rgdp!B176) - LN(rgdp!B172))*100</f>
        <v>1.5465634651546267</v>
      </c>
      <c r="C176" s="2">
        <v>123456789</v>
      </c>
      <c r="D176" s="2">
        <v>123456789</v>
      </c>
    </row>
    <row r="177" spans="1:4" x14ac:dyDescent="0.45">
      <c r="A177" t="s">
        <v>310</v>
      </c>
      <c r="B177">
        <f>(LN(rgdp!B177) - LN(rgdp!B173))*100</f>
        <v>2.3483157336126936</v>
      </c>
      <c r="C177" s="2">
        <v>123456789</v>
      </c>
      <c r="D177" s="2">
        <v>123456789</v>
      </c>
    </row>
    <row r="178" spans="1:4" x14ac:dyDescent="0.45">
      <c r="A178" t="s">
        <v>311</v>
      </c>
      <c r="B178">
        <f>(LN(rgdp!B178) - LN(rgdp!B174))*100</f>
        <v>2.8812519716714391</v>
      </c>
      <c r="C178" s="2">
        <v>123456789</v>
      </c>
      <c r="D178" s="2">
        <v>123456789</v>
      </c>
    </row>
    <row r="179" spans="1:4" x14ac:dyDescent="0.45">
      <c r="A179" t="s">
        <v>312</v>
      </c>
      <c r="B179">
        <f>(LN(rgdp!B179) - LN(rgdp!B175))*100</f>
        <v>3.1547878809671914</v>
      </c>
      <c r="C179" s="2">
        <v>123456789</v>
      </c>
      <c r="D179" s="2">
        <v>123456789</v>
      </c>
    </row>
    <row r="180" spans="1:4" x14ac:dyDescent="0.45">
      <c r="A180" t="s">
        <v>313</v>
      </c>
      <c r="B180">
        <f>(LN(rgdp!B180) - LN(rgdp!B176))*100</f>
        <v>3.2023444354880581</v>
      </c>
      <c r="C180" s="2">
        <v>123456789</v>
      </c>
      <c r="D180" s="2">
        <v>123456789</v>
      </c>
    </row>
    <row r="181" spans="1:4" x14ac:dyDescent="0.45">
      <c r="A181" t="s">
        <v>314</v>
      </c>
      <c r="B181">
        <f>(LN(rgdp!B181) - LN(rgdp!B177))*100</f>
        <v>3.2028030667737184</v>
      </c>
      <c r="C181" s="2">
        <v>123456789</v>
      </c>
      <c r="D181" s="2">
        <v>123456789</v>
      </c>
    </row>
    <row r="182" spans="1:4" x14ac:dyDescent="0.45">
      <c r="A182" t="s">
        <v>315</v>
      </c>
      <c r="B182">
        <f>(LN(rgdp!B182) - LN(rgdp!B178))*100</f>
        <v>2.7081137705964764</v>
      </c>
      <c r="C182" s="2">
        <v>123456789</v>
      </c>
      <c r="D182" s="2">
        <v>123456789</v>
      </c>
    </row>
    <row r="183" spans="1:4" x14ac:dyDescent="0.45">
      <c r="A183" t="s">
        <v>316</v>
      </c>
      <c r="B183">
        <f>(LN(rgdp!B183) - LN(rgdp!B179))*100</f>
        <v>2.2271757930530711</v>
      </c>
      <c r="C183" s="2">
        <v>123456789</v>
      </c>
      <c r="D183" s="2">
        <v>123456789</v>
      </c>
    </row>
    <row r="184" spans="1:4" x14ac:dyDescent="0.45">
      <c r="A184" t="s">
        <v>317</v>
      </c>
      <c r="B184">
        <f>(LN(rgdp!B184) - LN(rgdp!B180))*100</f>
        <v>1.803429767115361</v>
      </c>
      <c r="C184" s="2">
        <v>123456789</v>
      </c>
      <c r="D184" s="2">
        <v>123456789</v>
      </c>
    </row>
    <row r="185" spans="1:4" x14ac:dyDescent="0.45">
      <c r="A185" t="s">
        <v>318</v>
      </c>
      <c r="B185">
        <f>(LN(rgdp!B185) - LN(rgdp!B181))*100</f>
        <v>1.7431684640373035</v>
      </c>
      <c r="C185" s="2">
        <v>123456789</v>
      </c>
      <c r="D185" s="2">
        <v>123456789</v>
      </c>
    </row>
    <row r="186" spans="1:4" x14ac:dyDescent="0.45">
      <c r="A186" t="s">
        <v>319</v>
      </c>
      <c r="B186">
        <f>(LN(rgdp!B186) - LN(rgdp!B182))*100</f>
        <v>1.9421128517029373</v>
      </c>
      <c r="C186" s="2">
        <v>123456789</v>
      </c>
      <c r="D186" s="2">
        <v>123456789</v>
      </c>
    </row>
    <row r="187" spans="1:4" x14ac:dyDescent="0.45">
      <c r="A187" t="s">
        <v>320</v>
      </c>
      <c r="B187">
        <f>(LN(rgdp!B187) - LN(rgdp!B183))*100</f>
        <v>2.2194730445805888</v>
      </c>
      <c r="C187" s="2">
        <v>123456789</v>
      </c>
      <c r="D187" s="2">
        <v>123456789</v>
      </c>
    </row>
    <row r="188" spans="1:4" x14ac:dyDescent="0.45">
      <c r="A188" t="s">
        <v>321</v>
      </c>
      <c r="B188">
        <f>(LN(rgdp!B188) - LN(rgdp!B184))*100</f>
        <v>2.2729923031079124</v>
      </c>
      <c r="C188" s="2">
        <v>123456789</v>
      </c>
      <c r="D188" s="2">
        <v>123456789</v>
      </c>
    </row>
    <row r="189" spans="1:4" x14ac:dyDescent="0.45">
      <c r="A189" t="s">
        <v>322</v>
      </c>
      <c r="B189">
        <f>(LN(rgdp!B189) - LN(rgdp!B185))*100</f>
        <v>2.2926081203971549</v>
      </c>
      <c r="C189" s="2">
        <v>123456789</v>
      </c>
      <c r="D189" s="2">
        <v>123456789</v>
      </c>
    </row>
    <row r="190" spans="1:4" x14ac:dyDescent="0.45">
      <c r="A190" t="s">
        <v>323</v>
      </c>
      <c r="B190">
        <f>(LN(rgdp!B190) - LN(rgdp!B186))*100</f>
        <v>2.7399190370063664</v>
      </c>
      <c r="C190" s="2">
        <v>123456789</v>
      </c>
      <c r="D190" s="2">
        <v>123456789</v>
      </c>
    </row>
    <row r="191" spans="1:4" x14ac:dyDescent="0.45">
      <c r="A191" t="s">
        <v>324</v>
      </c>
      <c r="B191">
        <f>(LN(rgdp!B191) - LN(rgdp!B187))*100</f>
        <v>2.8565521554853035</v>
      </c>
      <c r="C191" s="2">
        <v>123456789</v>
      </c>
      <c r="D191" s="2">
        <v>123456789</v>
      </c>
    </row>
    <row r="192" spans="1:4" x14ac:dyDescent="0.45">
      <c r="A192" t="s">
        <v>325</v>
      </c>
      <c r="B192">
        <f>(LN(rgdp!B192) - LN(rgdp!B188))*100</f>
        <v>3.0905179581120379</v>
      </c>
      <c r="C192" s="2">
        <v>123456789</v>
      </c>
      <c r="D192" s="2">
        <v>123456789</v>
      </c>
    </row>
    <row r="193" spans="1:4" x14ac:dyDescent="0.45">
      <c r="A193" t="s">
        <v>326</v>
      </c>
      <c r="B193">
        <f>(LN(rgdp!B193) - LN(rgdp!B189))*100</f>
        <v>3.2211699935650984</v>
      </c>
      <c r="C193" s="2">
        <v>123456789</v>
      </c>
      <c r="D193" s="2">
        <v>123456789</v>
      </c>
    </row>
    <row r="194" spans="1:4" x14ac:dyDescent="0.45">
      <c r="A194" t="s">
        <v>327</v>
      </c>
      <c r="B194">
        <f>(LN(rgdp!B194) - LN(rgdp!B190))*100</f>
        <v>2.3502009254016798</v>
      </c>
      <c r="C194" s="2">
        <v>123456789</v>
      </c>
      <c r="D194" s="2">
        <v>123456789</v>
      </c>
    </row>
    <row r="195" spans="1:4" x14ac:dyDescent="0.45">
      <c r="A195" t="s">
        <v>328</v>
      </c>
      <c r="B195">
        <f>(LN(rgdp!B195) - LN(rgdp!B191))*100</f>
        <v>1.7180229100201672</v>
      </c>
      <c r="C195" s="2">
        <v>123456789</v>
      </c>
      <c r="D195" s="2">
        <v>123456789</v>
      </c>
    </row>
    <row r="196" spans="1:4" x14ac:dyDescent="0.45">
      <c r="A196" t="s">
        <v>329</v>
      </c>
      <c r="B196">
        <f>(LN(rgdp!B196) - LN(rgdp!B192))*100</f>
        <v>1.3601094570603323</v>
      </c>
      <c r="C196" s="2">
        <v>123456789</v>
      </c>
      <c r="D196" s="2">
        <v>123456789</v>
      </c>
    </row>
    <row r="197" spans="1:4" x14ac:dyDescent="0.45">
      <c r="A197" t="s">
        <v>330</v>
      </c>
      <c r="B197">
        <f>(LN(rgdp!B197) - LN(rgdp!B193))*100</f>
        <v>0.74203827819392387</v>
      </c>
      <c r="C197" s="2">
        <v>123456789</v>
      </c>
      <c r="D197" s="2">
        <v>123456789</v>
      </c>
    </row>
    <row r="198" spans="1:4" x14ac:dyDescent="0.45">
      <c r="A198" t="s">
        <v>331</v>
      </c>
      <c r="B198">
        <f>(LN(rgdp!B198) - LN(rgdp!B194))*100</f>
        <v>1.1661283130420586</v>
      </c>
      <c r="C198" s="2">
        <v>123456789</v>
      </c>
      <c r="D198" s="2">
        <v>123456789</v>
      </c>
    </row>
    <row r="199" spans="1:4" x14ac:dyDescent="0.45">
      <c r="A199" t="s">
        <v>332</v>
      </c>
      <c r="B199">
        <f>(LN(rgdp!B199) - LN(rgdp!B195))*100</f>
        <v>1.1618120091030804</v>
      </c>
      <c r="C199" s="2">
        <v>123456789</v>
      </c>
      <c r="D199" s="2">
        <v>123456789</v>
      </c>
    </row>
    <row r="200" spans="1:4" x14ac:dyDescent="0.45">
      <c r="A200" t="s">
        <v>333</v>
      </c>
      <c r="B200">
        <f>(LN(rgdp!B200) - LN(rgdp!B196))*100</f>
        <v>1.3943666751774941</v>
      </c>
      <c r="C200" s="2">
        <v>123456789</v>
      </c>
      <c r="D200" s="2">
        <v>123456789</v>
      </c>
    </row>
    <row r="201" spans="1:4" x14ac:dyDescent="0.45">
      <c r="A201" t="s">
        <v>334</v>
      </c>
      <c r="B201">
        <f>(LN(rgdp!B201) - LN(rgdp!B197))*100</f>
        <v>1.2706639827447574</v>
      </c>
      <c r="C201" s="2">
        <v>123456789</v>
      </c>
      <c r="D201" s="2">
        <v>123456789</v>
      </c>
    </row>
    <row r="202" spans="1:4" x14ac:dyDescent="0.45">
      <c r="A202" t="s">
        <v>335</v>
      </c>
      <c r="B202">
        <f>(LN(rgdp!B202) - LN(rgdp!B198))*100</f>
        <v>-2.0151922501971953</v>
      </c>
      <c r="C202" s="2">
        <v>123456789</v>
      </c>
      <c r="D202" s="2">
        <v>123456789</v>
      </c>
    </row>
    <row r="203" spans="1:4" x14ac:dyDescent="0.45">
      <c r="A203" t="s">
        <v>336</v>
      </c>
      <c r="B203">
        <f>(LN(rgdp!B203) - LN(rgdp!B199))*100</f>
        <v>-24.425327428730803</v>
      </c>
      <c r="C203" s="2">
        <v>123456789</v>
      </c>
      <c r="D203" s="2">
        <v>123456789</v>
      </c>
    </row>
    <row r="204" spans="1:4" x14ac:dyDescent="0.45">
      <c r="A204" t="s">
        <v>337</v>
      </c>
      <c r="B204">
        <f>(LN(rgdp!B204) - LN(rgdp!B200))*100</f>
        <v>-9.3042665600020058</v>
      </c>
      <c r="C204" s="2">
        <v>123456789</v>
      </c>
      <c r="D204" s="2">
        <v>123456789</v>
      </c>
    </row>
    <row r="205" spans="1:4" x14ac:dyDescent="0.45">
      <c r="A205" t="s">
        <v>338</v>
      </c>
      <c r="B205">
        <f>(LN(rgdp!B205) - LN(rgdp!B201))*100</f>
        <v>-7.9515199659544678</v>
      </c>
      <c r="C205" s="2">
        <v>123456789</v>
      </c>
      <c r="D205" s="2">
        <v>123456789</v>
      </c>
    </row>
    <row r="206" spans="1:4" x14ac:dyDescent="0.45">
      <c r="A206" t="s">
        <v>339</v>
      </c>
      <c r="B206">
        <f>(LN(rgdp!B206) - LN(rgdp!B202))*100</f>
        <v>-6.2502303549358373</v>
      </c>
      <c r="C206" s="2">
        <v>123456789</v>
      </c>
      <c r="D206" s="2">
        <v>123456789</v>
      </c>
    </row>
    <row r="207" spans="1:4" x14ac:dyDescent="0.45">
      <c r="A207" t="s">
        <v>340</v>
      </c>
      <c r="B207">
        <f>(LN(rgdp!B207) - LN(rgdp!B203))*100</f>
        <v>22.696199513236692</v>
      </c>
      <c r="C207" s="2">
        <v>123456789</v>
      </c>
      <c r="D207" s="2">
        <v>123456789</v>
      </c>
    </row>
    <row r="208" spans="1:4" x14ac:dyDescent="0.45">
      <c r="A208" t="s">
        <v>341</v>
      </c>
      <c r="B208">
        <f>(LN(rgdp!B208) - LN(rgdp!B204))*100</f>
        <v>8.6986007256456332</v>
      </c>
      <c r="C208" s="2">
        <v>123456789</v>
      </c>
      <c r="D208" s="2">
        <v>123456789</v>
      </c>
    </row>
    <row r="209" spans="1:4" x14ac:dyDescent="0.45">
      <c r="A209" t="s">
        <v>342</v>
      </c>
      <c r="B209">
        <f>(LN(rgdp!B209) - LN(rgdp!B205))*100</f>
        <v>8.7081342625767277</v>
      </c>
      <c r="C209" s="2">
        <v>123456789</v>
      </c>
      <c r="D209" s="2">
        <v>123456789</v>
      </c>
    </row>
    <row r="210" spans="1:4" x14ac:dyDescent="0.45">
      <c r="A210" t="s">
        <v>343</v>
      </c>
      <c r="B210">
        <f>(LN(rgdp!B210) - LN(rgdp!B206))*100</f>
        <v>10.798379282056381</v>
      </c>
      <c r="C210" s="2">
        <v>123456789</v>
      </c>
      <c r="D210" s="2">
        <v>123456789</v>
      </c>
    </row>
    <row r="211" spans="1:4" x14ac:dyDescent="0.45">
      <c r="A211" t="s">
        <v>344</v>
      </c>
      <c r="B211">
        <f>(LN(rgdp!B211) - LN(rgdp!B207))*100</f>
        <v>4.605450381893661</v>
      </c>
      <c r="C211" s="2">
        <v>123456789</v>
      </c>
      <c r="D211" s="2">
        <v>123456789</v>
      </c>
    </row>
    <row r="212" spans="1:4" x14ac:dyDescent="0.45">
      <c r="A212" t="s">
        <v>345</v>
      </c>
      <c r="B212">
        <f>(LN(rgdp!B212) - LN(rgdp!B208))*100</f>
        <v>3.0339364985547235</v>
      </c>
      <c r="C212" s="2">
        <v>123456789</v>
      </c>
      <c r="D212" s="2">
        <v>123456789</v>
      </c>
    </row>
    <row r="213" spans="1:4" x14ac:dyDescent="0.45">
      <c r="A213" t="s">
        <v>346</v>
      </c>
      <c r="B213">
        <f>(LN(rgdp!B213) - LN(rgdp!B209))*100</f>
        <v>1.9256042227274506</v>
      </c>
      <c r="C213" s="2">
        <v>123456789</v>
      </c>
      <c r="D213" s="2">
        <v>123456789</v>
      </c>
    </row>
    <row r="214" spans="1:4" x14ac:dyDescent="0.45">
      <c r="A214" t="s">
        <v>347</v>
      </c>
      <c r="B214">
        <f>(LN(rgdp!B214) - LN(rgdp!B210))*100</f>
        <v>0.97381236454907594</v>
      </c>
      <c r="C214" s="2">
        <v>123456789</v>
      </c>
      <c r="D214" s="2">
        <v>123456789</v>
      </c>
    </row>
    <row r="215" spans="1:4" x14ac:dyDescent="0.45">
      <c r="A215" t="s">
        <v>348</v>
      </c>
      <c r="B215">
        <f>(LN(rgdp!B215) - LN(rgdp!B211))*100</f>
        <v>0.45877974912418296</v>
      </c>
      <c r="C215" s="2">
        <v>123456789</v>
      </c>
      <c r="D215" s="2">
        <v>123456789</v>
      </c>
    </row>
    <row r="216" spans="1:4" x14ac:dyDescent="0.45">
      <c r="A216" t="s">
        <v>349</v>
      </c>
      <c r="B216">
        <f>(LN(rgdp!B216) - LN(rgdp!B212))*100</f>
        <v>0.11782950708223439</v>
      </c>
      <c r="C216" s="2">
        <v>123456789</v>
      </c>
      <c r="D216" s="2">
        <v>123456789</v>
      </c>
    </row>
    <row r="217" spans="1:4" x14ac:dyDescent="0.45">
      <c r="A217" t="s">
        <v>350</v>
      </c>
      <c r="B217">
        <f>(LN(rgdp!B217) - LN(rgdp!B213))*100</f>
        <v>-0.46404268232507206</v>
      </c>
      <c r="C217" s="2">
        <v>123456789</v>
      </c>
      <c r="D217" s="2">
        <v>123456789</v>
      </c>
    </row>
    <row r="218" spans="1:4" x14ac:dyDescent="0.45">
      <c r="A218" t="s">
        <v>351</v>
      </c>
      <c r="B218">
        <f>(LN(rgdp!B218) - LN(rgdp!B214))*100</f>
        <v>0.30871935064755718</v>
      </c>
      <c r="C218" s="2">
        <v>123456789</v>
      </c>
      <c r="D218" s="2">
        <v>123456789</v>
      </c>
    </row>
    <row r="219" spans="1:4" x14ac:dyDescent="0.45">
      <c r="A219" t="s">
        <v>352</v>
      </c>
      <c r="B219">
        <f>(LN(rgdp!B219) - LN(rgdp!B215))*100</f>
        <v>0.87895103966637578</v>
      </c>
      <c r="C219" s="2">
        <v>123456789</v>
      </c>
      <c r="D219" s="2">
        <v>123456789</v>
      </c>
    </row>
    <row r="220" spans="1:4" x14ac:dyDescent="0.45">
      <c r="A220" t="s">
        <v>353</v>
      </c>
      <c r="B220">
        <f>(LN(rgdp!B220) - LN(rgdp!B216))*100</f>
        <v>1.3586359171425144</v>
      </c>
      <c r="C220" s="2">
        <v>123456789</v>
      </c>
      <c r="D220" s="2">
        <v>123456789</v>
      </c>
    </row>
    <row r="221" spans="1:4" x14ac:dyDescent="0.45">
      <c r="A221" t="s">
        <v>354</v>
      </c>
      <c r="B221">
        <f>(LN(rgdp!B221) - LN(rgdp!B217))*100</f>
        <v>1.9189633584343113</v>
      </c>
      <c r="C221" s="2">
        <v>123456789</v>
      </c>
      <c r="D221" s="2">
        <v>123456789</v>
      </c>
    </row>
    <row r="222" spans="1:4" x14ac:dyDescent="0.45">
      <c r="A222" t="s">
        <v>355</v>
      </c>
      <c r="B222">
        <f>(LN(rgdp!B222) - LN(rgdp!B218))*100</f>
        <v>1.7485958503257848</v>
      </c>
      <c r="C222" s="2">
        <v>123456789</v>
      </c>
      <c r="D222" s="2">
        <v>123456789</v>
      </c>
    </row>
    <row r="223" spans="1:4" x14ac:dyDescent="0.45">
      <c r="A223" t="s">
        <v>356</v>
      </c>
      <c r="B223">
        <f>(LN(rgdp!B223) - LN(rgdp!B219))*100</f>
        <v>1.4143772405841304</v>
      </c>
      <c r="C223" s="2">
        <v>123456789</v>
      </c>
      <c r="D223" s="2">
        <v>123456789</v>
      </c>
    </row>
    <row r="224" spans="1:4" x14ac:dyDescent="0.45">
      <c r="A224" s="4" t="s">
        <v>357</v>
      </c>
      <c r="B224" s="4">
        <f>(LN(rgdp!B224) - LN(rgdp!B220))*100</f>
        <v>1.2561894242422156</v>
      </c>
      <c r="C224" s="2">
        <v>123456789</v>
      </c>
      <c r="D224" s="2">
        <v>123456789</v>
      </c>
    </row>
    <row r="225" spans="1:4" x14ac:dyDescent="0.45">
      <c r="A225" s="4" t="s">
        <v>438</v>
      </c>
      <c r="B225" s="4">
        <f>(LN(rgdp!B225) - LN(rgdp!B221))*100</f>
        <v>0.94825639007183327</v>
      </c>
      <c r="C225" s="2">
        <v>123456789</v>
      </c>
      <c r="D225" s="2">
        <v>123456789</v>
      </c>
    </row>
    <row r="226" spans="1:4" x14ac:dyDescent="0.45">
      <c r="A226" s="4" t="s">
        <v>441</v>
      </c>
      <c r="B226" s="4">
        <v>0.94825599999999999</v>
      </c>
      <c r="C226" s="2">
        <v>123456789</v>
      </c>
      <c r="D226" s="2">
        <v>123456789</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CFA5-EC72-404C-9150-C86DC77F9908}">
  <dimension ref="A1:B226"/>
  <sheetViews>
    <sheetView topLeftCell="A205" workbookViewId="0">
      <selection activeCell="B2" sqref="B2"/>
    </sheetView>
  </sheetViews>
  <sheetFormatPr defaultRowHeight="14.25" x14ac:dyDescent="0.45"/>
  <cols>
    <col min="1" max="1" width="8.73046875" style="54"/>
    <col min="2" max="2" width="8.73046875" style="55"/>
  </cols>
  <sheetData>
    <row r="1" spans="1:2" x14ac:dyDescent="0.45">
      <c r="A1" s="54" t="s">
        <v>442</v>
      </c>
      <c r="B1" s="55" t="s">
        <v>6</v>
      </c>
    </row>
    <row r="2" spans="1:2" x14ac:dyDescent="0.45">
      <c r="A2" t="s">
        <v>135</v>
      </c>
      <c r="B2" s="2">
        <v>123456789</v>
      </c>
    </row>
    <row r="3" spans="1:2" x14ac:dyDescent="0.45">
      <c r="A3" t="s">
        <v>136</v>
      </c>
      <c r="B3" s="2">
        <v>123456789</v>
      </c>
    </row>
    <row r="4" spans="1:2" x14ac:dyDescent="0.45">
      <c r="A4" t="s">
        <v>137</v>
      </c>
      <c r="B4" s="2">
        <v>123456789</v>
      </c>
    </row>
    <row r="5" spans="1:2" x14ac:dyDescent="0.45">
      <c r="A5" t="s">
        <v>138</v>
      </c>
      <c r="B5" s="2">
        <v>123456789</v>
      </c>
    </row>
    <row r="6" spans="1:2" x14ac:dyDescent="0.45">
      <c r="A6" t="s">
        <v>139</v>
      </c>
      <c r="B6">
        <v>3.7558927516482044</v>
      </c>
    </row>
    <row r="7" spans="1:2" x14ac:dyDescent="0.45">
      <c r="A7" t="s">
        <v>140</v>
      </c>
      <c r="B7">
        <v>3.1690425980844594</v>
      </c>
    </row>
    <row r="8" spans="1:2" x14ac:dyDescent="0.45">
      <c r="A8" t="s">
        <v>141</v>
      </c>
      <c r="B8">
        <v>3.9080272416976314</v>
      </c>
    </row>
    <row r="9" spans="1:2" x14ac:dyDescent="0.45">
      <c r="A9" t="s">
        <v>142</v>
      </c>
      <c r="B9">
        <v>3.3708729388914449</v>
      </c>
    </row>
    <row r="10" spans="1:2" x14ac:dyDescent="0.45">
      <c r="A10" t="s">
        <v>143</v>
      </c>
      <c r="B10">
        <v>4.0631250073184688</v>
      </c>
    </row>
    <row r="11" spans="1:2" x14ac:dyDescent="0.45">
      <c r="A11" t="s">
        <v>144</v>
      </c>
      <c r="B11">
        <v>4.8928192465451659</v>
      </c>
    </row>
    <row r="12" spans="1:2" x14ac:dyDescent="0.45">
      <c r="A12" t="s">
        <v>145</v>
      </c>
      <c r="B12">
        <v>3.4729729476637772</v>
      </c>
    </row>
    <row r="13" spans="1:2" x14ac:dyDescent="0.45">
      <c r="A13" t="s">
        <v>146</v>
      </c>
      <c r="B13">
        <v>4.6296654406667415</v>
      </c>
    </row>
    <row r="14" spans="1:2" x14ac:dyDescent="0.45">
      <c r="A14" t="s">
        <v>147</v>
      </c>
      <c r="B14">
        <v>9.2023636518643315</v>
      </c>
    </row>
    <row r="15" spans="1:2" x14ac:dyDescent="0.45">
      <c r="A15" t="s">
        <v>148</v>
      </c>
      <c r="B15">
        <v>6.7873159314219222</v>
      </c>
    </row>
    <row r="16" spans="1:2" x14ac:dyDescent="0.45">
      <c r="A16" t="s">
        <v>149</v>
      </c>
      <c r="B16">
        <v>5.5834443408263823</v>
      </c>
    </row>
    <row r="17" spans="1:2" x14ac:dyDescent="0.45">
      <c r="A17" t="s">
        <v>150</v>
      </c>
      <c r="B17">
        <v>3.6512301513171863</v>
      </c>
    </row>
    <row r="18" spans="1:2" x14ac:dyDescent="0.45">
      <c r="A18" t="s">
        <v>151</v>
      </c>
      <c r="B18">
        <v>-3.9513623489229488</v>
      </c>
    </row>
    <row r="19" spans="1:2" x14ac:dyDescent="0.45">
      <c r="A19" t="s">
        <v>152</v>
      </c>
      <c r="B19">
        <v>-2.7182711334983622</v>
      </c>
    </row>
    <row r="20" spans="1:2" x14ac:dyDescent="0.45">
      <c r="A20" t="s">
        <v>153</v>
      </c>
      <c r="B20">
        <v>-1.1899592886875254</v>
      </c>
    </row>
    <row r="21" spans="1:2" x14ac:dyDescent="0.45">
      <c r="A21" t="s">
        <v>154</v>
      </c>
      <c r="B21">
        <v>-2.2692069451274222</v>
      </c>
    </row>
    <row r="22" spans="1:2" x14ac:dyDescent="0.45">
      <c r="A22" t="s">
        <v>155</v>
      </c>
      <c r="B22">
        <v>0.56178831710713695</v>
      </c>
    </row>
    <row r="23" spans="1:2" x14ac:dyDescent="0.45">
      <c r="A23" t="s">
        <v>156</v>
      </c>
      <c r="B23">
        <v>-2.4937027835321146</v>
      </c>
    </row>
    <row r="24" spans="1:2" x14ac:dyDescent="0.45">
      <c r="A24" t="s">
        <v>157</v>
      </c>
      <c r="B24">
        <v>-3.3871268295659007</v>
      </c>
    </row>
    <row r="25" spans="1:2" x14ac:dyDescent="0.45">
      <c r="A25" t="s">
        <v>158</v>
      </c>
      <c r="B25">
        <v>-0.80965171474147724</v>
      </c>
    </row>
    <row r="26" spans="1:2" x14ac:dyDescent="0.45">
      <c r="A26" t="s">
        <v>159</v>
      </c>
      <c r="B26">
        <v>0.83027730891238605</v>
      </c>
    </row>
    <row r="27" spans="1:2" x14ac:dyDescent="0.45">
      <c r="A27" t="s">
        <v>160</v>
      </c>
      <c r="B27">
        <v>2.3260935965245366</v>
      </c>
    </row>
    <row r="28" spans="1:2" x14ac:dyDescent="0.45">
      <c r="A28" t="s">
        <v>161</v>
      </c>
      <c r="B28">
        <v>3.860250743157323</v>
      </c>
    </row>
    <row r="29" spans="1:2" x14ac:dyDescent="0.45">
      <c r="A29" t="s">
        <v>162</v>
      </c>
      <c r="B29">
        <v>4.8335234947733952</v>
      </c>
    </row>
    <row r="30" spans="1:2" x14ac:dyDescent="0.45">
      <c r="A30" t="s">
        <v>163</v>
      </c>
      <c r="B30">
        <v>3.2378499602309319</v>
      </c>
    </row>
    <row r="31" spans="1:2" x14ac:dyDescent="0.45">
      <c r="A31" t="s">
        <v>164</v>
      </c>
      <c r="B31">
        <v>2.6860703353749571</v>
      </c>
    </row>
    <row r="32" spans="1:2" x14ac:dyDescent="0.45">
      <c r="A32" t="s">
        <v>165</v>
      </c>
      <c r="B32">
        <v>2.1002973796603541</v>
      </c>
    </row>
    <row r="33" spans="1:2" x14ac:dyDescent="0.45">
      <c r="A33" t="s">
        <v>166</v>
      </c>
      <c r="B33">
        <v>1.7039167382309373</v>
      </c>
    </row>
    <row r="34" spans="1:2" x14ac:dyDescent="0.45">
      <c r="A34" t="s">
        <v>167</v>
      </c>
      <c r="B34">
        <v>2.5734243787999489</v>
      </c>
    </row>
    <row r="35" spans="1:2" x14ac:dyDescent="0.45">
      <c r="A35" t="s">
        <v>168</v>
      </c>
      <c r="B35">
        <v>4.401539796801579</v>
      </c>
    </row>
    <row r="36" spans="1:2" x14ac:dyDescent="0.45">
      <c r="A36" t="s">
        <v>169</v>
      </c>
      <c r="B36">
        <v>5.1070544557669351</v>
      </c>
    </row>
    <row r="37" spans="1:2" x14ac:dyDescent="0.45">
      <c r="A37" t="s">
        <v>170</v>
      </c>
      <c r="B37">
        <v>4.3097076825752367</v>
      </c>
    </row>
    <row r="38" spans="1:2" x14ac:dyDescent="0.45">
      <c r="A38" t="s">
        <v>171</v>
      </c>
      <c r="B38">
        <v>3.0757487029440256</v>
      </c>
    </row>
    <row r="39" spans="1:2" x14ac:dyDescent="0.45">
      <c r="A39" t="s">
        <v>172</v>
      </c>
      <c r="B39">
        <v>6.1981275870143904</v>
      </c>
    </row>
    <row r="40" spans="1:2" x14ac:dyDescent="0.45">
      <c r="A40" t="s">
        <v>173</v>
      </c>
      <c r="B40">
        <v>2.6175211077614335</v>
      </c>
    </row>
    <row r="41" spans="1:2" x14ac:dyDescent="0.45">
      <c r="A41" t="s">
        <v>174</v>
      </c>
      <c r="B41">
        <v>2.7486308951885974</v>
      </c>
    </row>
    <row r="42" spans="1:2" x14ac:dyDescent="0.45">
      <c r="A42" t="s">
        <v>175</v>
      </c>
      <c r="B42">
        <v>2.060142271691312</v>
      </c>
    </row>
    <row r="43" spans="1:2" x14ac:dyDescent="0.45">
      <c r="A43" t="s">
        <v>176</v>
      </c>
      <c r="B43">
        <v>-4.1714986572511492</v>
      </c>
    </row>
    <row r="44" spans="1:2" x14ac:dyDescent="0.45">
      <c r="A44" t="s">
        <v>177</v>
      </c>
      <c r="B44">
        <v>-2.0515806586923091</v>
      </c>
    </row>
    <row r="45" spans="1:2" x14ac:dyDescent="0.45">
      <c r="A45" t="s">
        <v>178</v>
      </c>
      <c r="B45">
        <v>-4.0958399233248954</v>
      </c>
    </row>
    <row r="46" spans="1:2" x14ac:dyDescent="0.45">
      <c r="A46" t="s">
        <v>179</v>
      </c>
      <c r="B46">
        <v>-3.1914680407338025</v>
      </c>
    </row>
    <row r="47" spans="1:2" x14ac:dyDescent="0.45">
      <c r="A47" t="s">
        <v>180</v>
      </c>
      <c r="B47">
        <v>-0.90250900134805079</v>
      </c>
    </row>
    <row r="48" spans="1:2" x14ac:dyDescent="0.45">
      <c r="A48" t="s">
        <v>181</v>
      </c>
      <c r="B48">
        <v>0.36326089935627692</v>
      </c>
    </row>
    <row r="49" spans="1:2" x14ac:dyDescent="0.45">
      <c r="A49" t="s">
        <v>182</v>
      </c>
      <c r="B49">
        <v>1.5223011713120016</v>
      </c>
    </row>
    <row r="50" spans="1:2" x14ac:dyDescent="0.45">
      <c r="A50" t="s">
        <v>183</v>
      </c>
      <c r="B50">
        <v>1.7684045201608711</v>
      </c>
    </row>
    <row r="51" spans="1:2" x14ac:dyDescent="0.45">
      <c r="A51" t="s">
        <v>184</v>
      </c>
      <c r="B51">
        <v>2.4772568904014136</v>
      </c>
    </row>
    <row r="52" spans="1:2" x14ac:dyDescent="0.45">
      <c r="A52" t="s">
        <v>185</v>
      </c>
      <c r="B52">
        <v>1.5349108635961173</v>
      </c>
    </row>
    <row r="53" spans="1:2" x14ac:dyDescent="0.45">
      <c r="A53" t="s">
        <v>186</v>
      </c>
      <c r="B53">
        <v>2.0837044629107737</v>
      </c>
    </row>
    <row r="54" spans="1:2" x14ac:dyDescent="0.45">
      <c r="A54" t="s">
        <v>187</v>
      </c>
      <c r="B54">
        <v>3.8673079973182922</v>
      </c>
    </row>
    <row r="55" spans="1:2" x14ac:dyDescent="0.45">
      <c r="A55" t="s">
        <v>188</v>
      </c>
      <c r="B55">
        <v>3.5295883489341762</v>
      </c>
    </row>
    <row r="56" spans="1:2" x14ac:dyDescent="0.45">
      <c r="A56" t="s">
        <v>189</v>
      </c>
      <c r="B56">
        <v>4.4642846338849296</v>
      </c>
    </row>
    <row r="57" spans="1:2" x14ac:dyDescent="0.45">
      <c r="A57" t="s">
        <v>190</v>
      </c>
      <c r="B57">
        <v>4.5316389025229498</v>
      </c>
    </row>
    <row r="58" spans="1:2" x14ac:dyDescent="0.45">
      <c r="A58" t="s">
        <v>191</v>
      </c>
      <c r="B58">
        <v>3.4356925752740963</v>
      </c>
    </row>
    <row r="59" spans="1:2" x14ac:dyDescent="0.45">
      <c r="A59" t="s">
        <v>192</v>
      </c>
      <c r="B59">
        <v>1.7432597817286677</v>
      </c>
    </row>
    <row r="60" spans="1:2" x14ac:dyDescent="0.45">
      <c r="A60" t="s">
        <v>193</v>
      </c>
      <c r="B60">
        <v>1.3231768562331325</v>
      </c>
    </row>
    <row r="61" spans="1:2" x14ac:dyDescent="0.45">
      <c r="A61" t="s">
        <v>194</v>
      </c>
      <c r="B61">
        <v>2.3739987303073917</v>
      </c>
    </row>
    <row r="62" spans="1:2" x14ac:dyDescent="0.45">
      <c r="A62" t="s">
        <v>195</v>
      </c>
      <c r="B62">
        <v>2.4977369347785938</v>
      </c>
    </row>
    <row r="63" spans="1:2" x14ac:dyDescent="0.45">
      <c r="A63" t="s">
        <v>196</v>
      </c>
      <c r="B63">
        <v>5.5993571168459155</v>
      </c>
    </row>
    <row r="64" spans="1:2" x14ac:dyDescent="0.45">
      <c r="A64" t="s">
        <v>197</v>
      </c>
      <c r="B64">
        <v>4.8523133644954086</v>
      </c>
    </row>
    <row r="65" spans="1:2" x14ac:dyDescent="0.45">
      <c r="A65" t="s">
        <v>198</v>
      </c>
      <c r="B65">
        <v>3.1190894312437933</v>
      </c>
    </row>
    <row r="66" spans="1:2" x14ac:dyDescent="0.45">
      <c r="A66" t="s">
        <v>199</v>
      </c>
      <c r="B66">
        <v>3.1838954666431718</v>
      </c>
    </row>
    <row r="67" spans="1:2" x14ac:dyDescent="0.45">
      <c r="A67" t="s">
        <v>200</v>
      </c>
      <c r="B67">
        <v>1.9717430604423214</v>
      </c>
    </row>
    <row r="68" spans="1:2" x14ac:dyDescent="0.45">
      <c r="A68" t="s">
        <v>201</v>
      </c>
      <c r="B68">
        <v>2.6247454639046097</v>
      </c>
    </row>
    <row r="69" spans="1:2" x14ac:dyDescent="0.45">
      <c r="A69" t="s">
        <v>202</v>
      </c>
      <c r="B69">
        <v>4.4745793700634806</v>
      </c>
    </row>
    <row r="70" spans="1:2" x14ac:dyDescent="0.45">
      <c r="A70" t="s">
        <v>203</v>
      </c>
      <c r="B70">
        <v>4.1422609285168832</v>
      </c>
    </row>
    <row r="71" spans="1:2" x14ac:dyDescent="0.45">
      <c r="A71" t="s">
        <v>204</v>
      </c>
      <c r="B71">
        <v>4.7281420212291536</v>
      </c>
    </row>
    <row r="72" spans="1:2" x14ac:dyDescent="0.45">
      <c r="A72" t="s">
        <v>205</v>
      </c>
      <c r="B72">
        <v>6.5485865995775328</v>
      </c>
    </row>
    <row r="73" spans="1:2" x14ac:dyDescent="0.45">
      <c r="A73" t="s">
        <v>206</v>
      </c>
      <c r="B73">
        <v>5.7793359633667052</v>
      </c>
    </row>
    <row r="74" spans="1:2" x14ac:dyDescent="0.45">
      <c r="A74" t="s">
        <v>207</v>
      </c>
      <c r="B74">
        <v>6.6916274755312699</v>
      </c>
    </row>
    <row r="75" spans="1:2" x14ac:dyDescent="0.45">
      <c r="A75" t="s">
        <v>208</v>
      </c>
      <c r="B75">
        <v>5.7519754923520239</v>
      </c>
    </row>
    <row r="76" spans="1:2" x14ac:dyDescent="0.45">
      <c r="A76" t="s">
        <v>209</v>
      </c>
      <c r="B76">
        <v>4.5390491142894618</v>
      </c>
    </row>
    <row r="77" spans="1:2" x14ac:dyDescent="0.45">
      <c r="A77" t="s">
        <v>210</v>
      </c>
      <c r="B77">
        <v>4.1948600952361303</v>
      </c>
    </row>
    <row r="78" spans="1:2" x14ac:dyDescent="0.45">
      <c r="A78" t="s">
        <v>211</v>
      </c>
      <c r="B78">
        <v>3.0752722586658621</v>
      </c>
    </row>
    <row r="79" spans="1:2" x14ac:dyDescent="0.45">
      <c r="A79" t="s">
        <v>212</v>
      </c>
      <c r="B79">
        <v>3.1645413078104312</v>
      </c>
    </row>
    <row r="80" spans="1:2" x14ac:dyDescent="0.45">
      <c r="A80" t="s">
        <v>213</v>
      </c>
      <c r="B80">
        <v>2.087191927096832</v>
      </c>
    </row>
    <row r="81" spans="1:2" x14ac:dyDescent="0.45">
      <c r="A81" t="s">
        <v>214</v>
      </c>
      <c r="B81">
        <v>1.2678441360565174</v>
      </c>
    </row>
    <row r="82" spans="1:2" x14ac:dyDescent="0.45">
      <c r="A82" t="s">
        <v>215</v>
      </c>
      <c r="B82" s="55">
        <v>0.46264481847482197</v>
      </c>
    </row>
    <row r="83" spans="1:2" x14ac:dyDescent="0.45">
      <c r="A83" t="s">
        <v>216</v>
      </c>
      <c r="B83" s="55">
        <v>0.99048711697500302</v>
      </c>
    </row>
    <row r="84" spans="1:2" x14ac:dyDescent="0.45">
      <c r="A84" t="s">
        <v>217</v>
      </c>
      <c r="B84" s="55">
        <v>-1.28286996883369</v>
      </c>
    </row>
    <row r="85" spans="1:2" x14ac:dyDescent="0.45">
      <c r="A85" t="s">
        <v>218</v>
      </c>
      <c r="B85" s="55">
        <v>-0.928220829081017</v>
      </c>
    </row>
    <row r="86" spans="1:2" x14ac:dyDescent="0.45">
      <c r="A86" t="s">
        <v>219</v>
      </c>
      <c r="B86" s="55">
        <v>-0.47085486533746701</v>
      </c>
    </row>
    <row r="87" spans="1:2" x14ac:dyDescent="0.45">
      <c r="A87" t="s">
        <v>220</v>
      </c>
      <c r="B87" s="55">
        <v>-0.45960115635258503</v>
      </c>
    </row>
    <row r="88" spans="1:2" x14ac:dyDescent="0.45">
      <c r="A88" t="s">
        <v>221</v>
      </c>
      <c r="B88" s="55">
        <v>8.0538231105431499E-2</v>
      </c>
    </row>
    <row r="89" spans="1:2" x14ac:dyDescent="0.45">
      <c r="A89" t="s">
        <v>222</v>
      </c>
      <c r="B89" s="55">
        <v>-0.122524995099005</v>
      </c>
    </row>
    <row r="90" spans="1:2" x14ac:dyDescent="0.45">
      <c r="A90" t="s">
        <v>223</v>
      </c>
      <c r="B90" s="55">
        <v>-0.838010754798446</v>
      </c>
    </row>
    <row r="91" spans="1:2" x14ac:dyDescent="0.45">
      <c r="A91" t="s">
        <v>224</v>
      </c>
      <c r="B91" s="55">
        <v>-0.14822134387352201</v>
      </c>
    </row>
    <row r="92" spans="1:2" x14ac:dyDescent="0.45">
      <c r="A92" t="s">
        <v>225</v>
      </c>
      <c r="B92" s="55">
        <v>6.4323318687398198E-2</v>
      </c>
    </row>
    <row r="93" spans="1:2" x14ac:dyDescent="0.45">
      <c r="A93" t="s">
        <v>226</v>
      </c>
      <c r="B93" s="55">
        <v>0.28076604799620603</v>
      </c>
    </row>
    <row r="94" spans="1:2" x14ac:dyDescent="0.45">
      <c r="A94" t="s">
        <v>227</v>
      </c>
      <c r="B94" s="55">
        <v>0.40179580128298897</v>
      </c>
    </row>
    <row r="95" spans="1:2" x14ac:dyDescent="0.45">
      <c r="A95" t="s">
        <v>228</v>
      </c>
      <c r="B95" s="55">
        <v>0.49977549147843803</v>
      </c>
    </row>
    <row r="96" spans="1:2" x14ac:dyDescent="0.45">
      <c r="A96" t="s">
        <v>229</v>
      </c>
      <c r="B96" s="55">
        <v>0.50737567093272995</v>
      </c>
    </row>
    <row r="97" spans="1:2" x14ac:dyDescent="0.45">
      <c r="A97" t="s">
        <v>230</v>
      </c>
      <c r="B97" s="55">
        <v>0.75599069774223704</v>
      </c>
    </row>
    <row r="98" spans="1:2" x14ac:dyDescent="0.45">
      <c r="A98" t="s">
        <v>231</v>
      </c>
      <c r="B98" s="55">
        <v>0.70358684220070999</v>
      </c>
    </row>
    <row r="99" spans="1:2" x14ac:dyDescent="0.45">
      <c r="A99" t="s">
        <v>232</v>
      </c>
      <c r="B99" s="55">
        <v>1.01978015686723</v>
      </c>
    </row>
    <row r="100" spans="1:2" x14ac:dyDescent="0.45">
      <c r="A100" t="s">
        <v>233</v>
      </c>
      <c r="B100" s="55">
        <v>0.82867482433783801</v>
      </c>
    </row>
    <row r="101" spans="1:2" x14ac:dyDescent="0.45">
      <c r="A101" t="s">
        <v>234</v>
      </c>
      <c r="B101" s="55">
        <v>0.75471698113207497</v>
      </c>
    </row>
    <row r="102" spans="1:2" x14ac:dyDescent="0.45">
      <c r="A102" t="s">
        <v>235</v>
      </c>
      <c r="B102" s="55">
        <v>0.66890095280300899</v>
      </c>
    </row>
    <row r="103" spans="1:2" x14ac:dyDescent="0.45">
      <c r="A103" t="s">
        <v>236</v>
      </c>
      <c r="B103" s="55">
        <v>0.48054447958201202</v>
      </c>
    </row>
    <row r="104" spans="1:2" x14ac:dyDescent="0.45">
      <c r="A104" t="s">
        <v>237</v>
      </c>
      <c r="B104" s="55">
        <v>0.41443831981506901</v>
      </c>
    </row>
    <row r="105" spans="1:2" x14ac:dyDescent="0.45">
      <c r="A105" t="s">
        <v>238</v>
      </c>
      <c r="B105" s="55">
        <v>0.51190119148241098</v>
      </c>
    </row>
    <row r="106" spans="1:2" x14ac:dyDescent="0.45">
      <c r="A106" t="s">
        <v>239</v>
      </c>
      <c r="B106" s="55">
        <v>0.39544490949612299</v>
      </c>
    </row>
    <row r="107" spans="1:2" x14ac:dyDescent="0.45">
      <c r="A107" t="s">
        <v>240</v>
      </c>
      <c r="B107" s="55">
        <v>0.38345584499170898</v>
      </c>
    </row>
    <row r="108" spans="1:2" x14ac:dyDescent="0.45">
      <c r="A108" t="s">
        <v>241</v>
      </c>
      <c r="B108" s="55">
        <v>0.74543948607099797</v>
      </c>
    </row>
    <row r="109" spans="1:2" x14ac:dyDescent="0.45">
      <c r="A109" t="s">
        <v>242</v>
      </c>
      <c r="B109" s="55">
        <v>0.76185252568492501</v>
      </c>
    </row>
    <row r="110" spans="1:2" x14ac:dyDescent="0.45">
      <c r="A110" t="s">
        <v>243</v>
      </c>
      <c r="B110" s="55">
        <v>0.94135741086935898</v>
      </c>
    </row>
    <row r="111" spans="1:2" x14ac:dyDescent="0.45">
      <c r="A111" t="s">
        <v>244</v>
      </c>
      <c r="B111" s="55">
        <v>0.86590506922035204</v>
      </c>
    </row>
    <row r="112" spans="1:2" x14ac:dyDescent="0.45">
      <c r="A112" t="s">
        <v>245</v>
      </c>
      <c r="B112" s="55">
        <v>0.90400649492905505</v>
      </c>
    </row>
    <row r="113" spans="1:2" x14ac:dyDescent="0.45">
      <c r="A113" t="s">
        <v>246</v>
      </c>
      <c r="B113" s="55">
        <v>0.37565884044081799</v>
      </c>
    </row>
    <row r="114" spans="1:2" x14ac:dyDescent="0.45">
      <c r="A114" t="s">
        <v>247</v>
      </c>
      <c r="B114" s="55">
        <v>0.973295134803287</v>
      </c>
    </row>
    <row r="115" spans="1:2" x14ac:dyDescent="0.45">
      <c r="A115" t="s">
        <v>248</v>
      </c>
      <c r="B115" s="55">
        <v>0.46089358984895401</v>
      </c>
    </row>
    <row r="116" spans="1:2" x14ac:dyDescent="0.45">
      <c r="A116" t="s">
        <v>249</v>
      </c>
      <c r="B116" s="55">
        <v>0.38058697031111399</v>
      </c>
    </row>
    <row r="117" spans="1:2" x14ac:dyDescent="0.45">
      <c r="A117" t="s">
        <v>250</v>
      </c>
      <c r="B117" s="55">
        <v>0.18676159521229299</v>
      </c>
    </row>
    <row r="118" spans="1:2" x14ac:dyDescent="0.45">
      <c r="A118" t="s">
        <v>251</v>
      </c>
      <c r="B118" s="55">
        <v>-2.7379568642649201E-2</v>
      </c>
    </row>
    <row r="119" spans="1:2" x14ac:dyDescent="0.45">
      <c r="A119" t="s">
        <v>252</v>
      </c>
      <c r="B119" s="55">
        <v>0.50307606839366004</v>
      </c>
    </row>
    <row r="120" spans="1:2" x14ac:dyDescent="0.45">
      <c r="A120" t="s">
        <v>253</v>
      </c>
      <c r="B120" s="55">
        <v>0.89273858285410201</v>
      </c>
    </row>
    <row r="121" spans="1:2" x14ac:dyDescent="0.45">
      <c r="A121" t="s">
        <v>254</v>
      </c>
      <c r="B121" s="55">
        <v>0.77371002035282499</v>
      </c>
    </row>
    <row r="122" spans="1:2" x14ac:dyDescent="0.45">
      <c r="A122" t="s">
        <v>255</v>
      </c>
      <c r="B122" s="55">
        <v>0.54240853429494695</v>
      </c>
    </row>
    <row r="123" spans="1:2" x14ac:dyDescent="0.45">
      <c r="A123" t="s">
        <v>256</v>
      </c>
      <c r="B123" s="55">
        <v>0.89755585589599296</v>
      </c>
    </row>
    <row r="124" spans="1:2" x14ac:dyDescent="0.45">
      <c r="A124" t="s">
        <v>257</v>
      </c>
      <c r="B124" s="55">
        <v>0.72788051976060397</v>
      </c>
    </row>
    <row r="125" spans="1:2" x14ac:dyDescent="0.45">
      <c r="A125" t="s">
        <v>258</v>
      </c>
      <c r="B125" s="55">
        <v>0.335756081940009</v>
      </c>
    </row>
    <row r="126" spans="1:2" x14ac:dyDescent="0.45">
      <c r="A126" t="s">
        <v>259</v>
      </c>
      <c r="B126" s="55">
        <v>0.416094798090128</v>
      </c>
    </row>
    <row r="127" spans="1:2" x14ac:dyDescent="0.45">
      <c r="A127" t="s">
        <v>260</v>
      </c>
      <c r="B127" s="55">
        <v>0.33510259812687998</v>
      </c>
    </row>
    <row r="128" spans="1:2" x14ac:dyDescent="0.45">
      <c r="A128" t="s">
        <v>261</v>
      </c>
      <c r="B128" s="55">
        <v>0.496837230049407</v>
      </c>
    </row>
    <row r="129" spans="1:2" x14ac:dyDescent="0.45">
      <c r="A129" t="s">
        <v>262</v>
      </c>
      <c r="B129" s="55">
        <v>2.9640503041683499E-2</v>
      </c>
    </row>
    <row r="130" spans="1:2" x14ac:dyDescent="0.45">
      <c r="A130" t="s">
        <v>263</v>
      </c>
      <c r="B130" s="55">
        <v>9.9941072480857998E-2</v>
      </c>
    </row>
    <row r="131" spans="1:2" x14ac:dyDescent="0.45">
      <c r="A131" t="s">
        <v>264</v>
      </c>
      <c r="B131" s="55">
        <v>0.90020987642702699</v>
      </c>
    </row>
    <row r="132" spans="1:2" x14ac:dyDescent="0.45">
      <c r="A132" t="s">
        <v>265</v>
      </c>
      <c r="B132" s="55">
        <v>0.70009814459970299</v>
      </c>
    </row>
    <row r="133" spans="1:2" x14ac:dyDescent="0.45">
      <c r="A133" t="s">
        <v>266</v>
      </c>
      <c r="B133" s="55">
        <v>0.40003144755889097</v>
      </c>
    </row>
    <row r="134" spans="1:2" x14ac:dyDescent="0.45">
      <c r="A134" t="s">
        <v>267</v>
      </c>
      <c r="B134" s="55">
        <v>0.19986124575581701</v>
      </c>
    </row>
    <row r="135" spans="1:2" x14ac:dyDescent="0.45">
      <c r="A135" t="s">
        <v>268</v>
      </c>
      <c r="B135" s="55">
        <v>0.29983357861003102</v>
      </c>
    </row>
    <row r="136" spans="1:2" x14ac:dyDescent="0.45">
      <c r="A136" t="s">
        <v>269</v>
      </c>
      <c r="B136" s="55">
        <v>0.60019276263909604</v>
      </c>
    </row>
    <row r="137" spans="1:2" x14ac:dyDescent="0.45">
      <c r="A137" t="s">
        <v>270</v>
      </c>
      <c r="B137" s="55">
        <v>0.90002528604842302</v>
      </c>
    </row>
    <row r="138" spans="1:2" x14ac:dyDescent="0.45">
      <c r="A138" t="s">
        <v>271</v>
      </c>
      <c r="B138" s="55">
        <v>0.59996242896727103</v>
      </c>
    </row>
    <row r="139" spans="1:2" x14ac:dyDescent="0.45">
      <c r="A139" t="s">
        <v>272</v>
      </c>
      <c r="B139" s="55">
        <v>0.90000075693923398</v>
      </c>
    </row>
    <row r="140" spans="1:2" x14ac:dyDescent="0.45">
      <c r="A140" t="s">
        <v>273</v>
      </c>
      <c r="B140" s="55">
        <v>0.40007506098704798</v>
      </c>
    </row>
    <row r="141" spans="1:2" x14ac:dyDescent="0.45">
      <c r="A141" t="s">
        <v>274</v>
      </c>
      <c r="B141" s="55">
        <v>0.74433051418307805</v>
      </c>
    </row>
    <row r="142" spans="1:2" x14ac:dyDescent="0.45">
      <c r="A142" t="s">
        <v>275</v>
      </c>
      <c r="B142" s="55">
        <v>0.59990051154883395</v>
      </c>
    </row>
    <row r="143" spans="1:2" x14ac:dyDescent="0.45">
      <c r="A143" t="s">
        <v>276</v>
      </c>
      <c r="B143" s="55">
        <v>0.40013824901212702</v>
      </c>
    </row>
    <row r="144" spans="1:2" x14ac:dyDescent="0.45">
      <c r="A144" t="s">
        <v>277</v>
      </c>
      <c r="B144" s="55">
        <v>0.40007823752199501</v>
      </c>
    </row>
    <row r="145" spans="1:2" x14ac:dyDescent="0.45">
      <c r="A145" t="s">
        <v>278</v>
      </c>
      <c r="B145" s="55">
        <v>0.60002051956966596</v>
      </c>
    </row>
    <row r="146" spans="1:2" x14ac:dyDescent="0.45">
      <c r="A146" t="s">
        <v>279</v>
      </c>
      <c r="B146" s="55">
        <v>0.64506830341763999</v>
      </c>
    </row>
    <row r="147" spans="1:2" x14ac:dyDescent="0.45">
      <c r="A147" t="s">
        <v>280</v>
      </c>
      <c r="B147" s="55">
        <v>0.79995413416431604</v>
      </c>
    </row>
    <row r="148" spans="1:2" x14ac:dyDescent="0.45">
      <c r="A148" t="s">
        <v>281</v>
      </c>
      <c r="B148" s="55">
        <v>0.69986766504179798</v>
      </c>
    </row>
    <row r="149" spans="1:2" x14ac:dyDescent="0.45">
      <c r="A149" t="s">
        <v>282</v>
      </c>
      <c r="B149" s="55">
        <v>0.79999734330480399</v>
      </c>
    </row>
    <row r="150" spans="1:2" x14ac:dyDescent="0.45">
      <c r="A150" t="s">
        <v>283</v>
      </c>
      <c r="B150" s="55">
        <v>0.64052481497964797</v>
      </c>
    </row>
    <row r="151" spans="1:2" x14ac:dyDescent="0.45">
      <c r="A151" t="s">
        <v>284</v>
      </c>
      <c r="B151" s="55">
        <v>0.79996102504140698</v>
      </c>
    </row>
    <row r="152" spans="1:2" x14ac:dyDescent="0.45">
      <c r="A152" t="s">
        <v>285</v>
      </c>
      <c r="B152" s="55">
        <v>0.799904757921022</v>
      </c>
    </row>
    <row r="153" spans="1:2" x14ac:dyDescent="0.45">
      <c r="A153" t="s">
        <v>286</v>
      </c>
      <c r="B153" s="55">
        <v>0.59995529870047204</v>
      </c>
    </row>
    <row r="154" spans="1:2" x14ac:dyDescent="0.45">
      <c r="A154" t="s">
        <v>287</v>
      </c>
      <c r="B154" s="55">
        <v>0.39989454726792101</v>
      </c>
    </row>
    <row r="155" spans="1:2" x14ac:dyDescent="0.45">
      <c r="A155" t="s">
        <v>288</v>
      </c>
      <c r="B155" s="55">
        <v>0.199993661056697</v>
      </c>
    </row>
    <row r="156" spans="1:2" x14ac:dyDescent="0.45">
      <c r="A156" t="s">
        <v>289</v>
      </c>
      <c r="B156" s="55">
        <v>-0.49991730456572198</v>
      </c>
    </row>
    <row r="157" spans="1:2" x14ac:dyDescent="0.45">
      <c r="A157" t="s">
        <v>290</v>
      </c>
      <c r="B157" s="55">
        <v>-1.4999467214913</v>
      </c>
    </row>
    <row r="158" spans="1:2" x14ac:dyDescent="0.45">
      <c r="A158" t="s">
        <v>291</v>
      </c>
      <c r="B158" s="55">
        <v>-1.9000506467817</v>
      </c>
    </row>
    <row r="159" spans="1:2" x14ac:dyDescent="0.45">
      <c r="A159" t="s">
        <v>292</v>
      </c>
      <c r="B159" s="55">
        <v>-0.79996995418012395</v>
      </c>
    </row>
    <row r="160" spans="1:2" x14ac:dyDescent="0.45">
      <c r="A160" t="s">
        <v>293</v>
      </c>
      <c r="B160" s="55">
        <v>-0.39994949335522301</v>
      </c>
    </row>
    <row r="161" spans="1:2" x14ac:dyDescent="0.45">
      <c r="A161" t="s">
        <v>294</v>
      </c>
      <c r="B161" s="55">
        <v>0.100149273125449</v>
      </c>
    </row>
    <row r="162" spans="1:2" x14ac:dyDescent="0.45">
      <c r="A162" t="s">
        <v>295</v>
      </c>
      <c r="B162" s="55">
        <v>0.19987033728119399</v>
      </c>
    </row>
    <row r="163" spans="1:2" x14ac:dyDescent="0.45">
      <c r="A163" t="s">
        <v>296</v>
      </c>
      <c r="B163" s="55">
        <v>1.0999757064353399</v>
      </c>
    </row>
    <row r="164" spans="1:2" x14ac:dyDescent="0.45">
      <c r="A164" t="s">
        <v>297</v>
      </c>
      <c r="B164" s="55">
        <v>0.79995376693058295</v>
      </c>
    </row>
    <row r="165" spans="1:2" x14ac:dyDescent="0.45">
      <c r="A165" t="s">
        <v>298</v>
      </c>
      <c r="B165" s="55">
        <v>-0.49996678964561198</v>
      </c>
    </row>
    <row r="166" spans="1:2" x14ac:dyDescent="0.45">
      <c r="A166" t="s">
        <v>299</v>
      </c>
      <c r="B166" s="55">
        <v>0.50013977174665503</v>
      </c>
    </row>
    <row r="167" spans="1:2" x14ac:dyDescent="0.45">
      <c r="A167" t="s">
        <v>300</v>
      </c>
      <c r="B167" s="55">
        <v>0.16599944364486</v>
      </c>
    </row>
    <row r="168" spans="1:2" x14ac:dyDescent="0.45">
      <c r="A168" t="s">
        <v>301</v>
      </c>
      <c r="B168" s="55">
        <v>0.49997579843801299</v>
      </c>
    </row>
    <row r="169" spans="1:2" x14ac:dyDescent="0.45">
      <c r="A169" t="s">
        <v>302</v>
      </c>
      <c r="B169" s="55">
        <v>-0.199873526356209</v>
      </c>
    </row>
    <row r="170" spans="1:2" x14ac:dyDescent="0.45">
      <c r="A170" t="s">
        <v>303</v>
      </c>
      <c r="B170" s="55">
        <v>-0.20004540037454899</v>
      </c>
    </row>
    <row r="171" spans="1:2" x14ac:dyDescent="0.45">
      <c r="A171" t="s">
        <v>304</v>
      </c>
      <c r="B171" s="55">
        <v>-0.69990176817288396</v>
      </c>
    </row>
    <row r="172" spans="1:2" x14ac:dyDescent="0.45">
      <c r="A172" t="s">
        <v>305</v>
      </c>
      <c r="B172" s="55">
        <v>1.0000643398036899</v>
      </c>
    </row>
    <row r="173" spans="1:2" x14ac:dyDescent="0.45">
      <c r="A173" t="s">
        <v>306</v>
      </c>
      <c r="B173" s="55">
        <v>-0.30008186565182399</v>
      </c>
    </row>
    <row r="174" spans="1:2" x14ac:dyDescent="0.45">
      <c r="A174" t="s">
        <v>307</v>
      </c>
      <c r="B174" s="55">
        <v>0.300127678625706</v>
      </c>
    </row>
    <row r="175" spans="1:2" x14ac:dyDescent="0.45">
      <c r="A175" t="s">
        <v>308</v>
      </c>
      <c r="B175" s="55">
        <v>0.60005245491658898</v>
      </c>
    </row>
    <row r="176" spans="1:2" x14ac:dyDescent="0.45">
      <c r="A176" t="s">
        <v>309</v>
      </c>
      <c r="B176" s="55">
        <v>0.79993680551897495</v>
      </c>
    </row>
    <row r="177" spans="1:2" x14ac:dyDescent="0.45">
      <c r="A177" t="s">
        <v>310</v>
      </c>
      <c r="B177" s="55">
        <v>0.70000727280283803</v>
      </c>
    </row>
    <row r="178" spans="1:2" x14ac:dyDescent="0.45">
      <c r="A178" t="s">
        <v>311</v>
      </c>
      <c r="B178" s="55">
        <v>0.79997313619433197</v>
      </c>
    </row>
    <row r="179" spans="1:2" x14ac:dyDescent="0.45">
      <c r="A179" t="s">
        <v>312</v>
      </c>
      <c r="B179" s="55">
        <v>0.79997131066704696</v>
      </c>
    </row>
    <row r="180" spans="1:2" x14ac:dyDescent="0.45">
      <c r="A180" t="s">
        <v>313</v>
      </c>
      <c r="B180" s="55">
        <v>0.69998613190671599</v>
      </c>
    </row>
    <row r="181" spans="1:2" x14ac:dyDescent="0.45">
      <c r="A181" t="s">
        <v>314</v>
      </c>
      <c r="B181" s="55">
        <v>0.500021107832893</v>
      </c>
    </row>
    <row r="182" spans="1:2" x14ac:dyDescent="0.45">
      <c r="A182" t="s">
        <v>315</v>
      </c>
      <c r="B182" s="55">
        <v>0.29999557803259702</v>
      </c>
    </row>
    <row r="183" spans="1:2" x14ac:dyDescent="0.45">
      <c r="A183" t="s">
        <v>316</v>
      </c>
      <c r="B183" s="55">
        <v>0.70000808323422703</v>
      </c>
    </row>
    <row r="184" spans="1:2" x14ac:dyDescent="0.45">
      <c r="A184" t="s">
        <v>317</v>
      </c>
      <c r="B184" s="55">
        <v>0.50000111807046999</v>
      </c>
    </row>
    <row r="185" spans="1:2" x14ac:dyDescent="0.45">
      <c r="A185" t="s">
        <v>318</v>
      </c>
      <c r="B185" s="55">
        <v>0.50000111607391196</v>
      </c>
    </row>
    <row r="186" spans="1:2" x14ac:dyDescent="0.45">
      <c r="A186" t="s">
        <v>319</v>
      </c>
      <c r="B186" s="55">
        <v>0.39999113593050001</v>
      </c>
    </row>
    <row r="187" spans="1:2" x14ac:dyDescent="0.45">
      <c r="A187" t="s">
        <v>320</v>
      </c>
      <c r="B187" s="55">
        <v>0.59994140608170499</v>
      </c>
    </row>
    <row r="188" spans="1:2" x14ac:dyDescent="0.45">
      <c r="A188" t="s">
        <v>321</v>
      </c>
      <c r="B188" s="55">
        <v>0.50001071145482401</v>
      </c>
    </row>
    <row r="189" spans="1:2" x14ac:dyDescent="0.45">
      <c r="A189" t="s">
        <v>322</v>
      </c>
      <c r="B189" s="55">
        <v>0.60007978309237797</v>
      </c>
    </row>
    <row r="190" spans="1:2" x14ac:dyDescent="0.45">
      <c r="A190" t="s">
        <v>323</v>
      </c>
      <c r="B190" s="55">
        <v>0.30008904908751499</v>
      </c>
    </row>
    <row r="191" spans="1:2" x14ac:dyDescent="0.45">
      <c r="A191" t="s">
        <v>324</v>
      </c>
      <c r="B191" s="55">
        <v>0.30009076950483499</v>
      </c>
    </row>
    <row r="192" spans="1:2" x14ac:dyDescent="0.45">
      <c r="A192" t="s">
        <v>325</v>
      </c>
      <c r="B192" s="55">
        <v>0.400070649026318</v>
      </c>
    </row>
    <row r="193" spans="1:2" x14ac:dyDescent="0.45">
      <c r="A193" t="s">
        <v>326</v>
      </c>
      <c r="B193" s="55">
        <v>0.50009781864424097</v>
      </c>
    </row>
    <row r="194" spans="1:2" x14ac:dyDescent="0.45">
      <c r="A194" t="s">
        <v>327</v>
      </c>
      <c r="B194" s="55">
        <v>0.100043629574764</v>
      </c>
    </row>
    <row r="195" spans="1:2" x14ac:dyDescent="0.45">
      <c r="A195" t="s">
        <v>328</v>
      </c>
      <c r="B195" s="55">
        <v>0.36374815299635699</v>
      </c>
    </row>
    <row r="196" spans="1:2" x14ac:dyDescent="0.45">
      <c r="A196" t="s">
        <v>329</v>
      </c>
      <c r="B196" s="55">
        <v>0.61043690999167399</v>
      </c>
    </row>
    <row r="197" spans="1:2" x14ac:dyDescent="0.45">
      <c r="A197" t="s">
        <v>330</v>
      </c>
      <c r="B197" s="55">
        <v>0.19338555835980001</v>
      </c>
    </row>
    <row r="198" spans="1:2" x14ac:dyDescent="0.45">
      <c r="A198" t="s">
        <v>331</v>
      </c>
      <c r="B198" s="55">
        <v>0.4966093717313953</v>
      </c>
    </row>
    <row r="199" spans="1:2" x14ac:dyDescent="0.45">
      <c r="A199" t="s">
        <v>332</v>
      </c>
      <c r="B199" s="55">
        <v>-0.18481057550447133</v>
      </c>
    </row>
    <row r="200" spans="1:2" x14ac:dyDescent="0.45">
      <c r="A200" t="s">
        <v>333</v>
      </c>
      <c r="B200" s="55">
        <v>0.31986468804525714</v>
      </c>
    </row>
    <row r="201" spans="1:2" x14ac:dyDescent="0.45">
      <c r="A201" t="s">
        <v>334</v>
      </c>
      <c r="B201" s="55">
        <v>0</v>
      </c>
    </row>
    <row r="202" spans="1:2" x14ac:dyDescent="0.45">
      <c r="A202" t="s">
        <v>335</v>
      </c>
      <c r="B202" s="55">
        <v>-2</v>
      </c>
    </row>
    <row r="203" spans="1:2" x14ac:dyDescent="0.45">
      <c r="A203" t="s">
        <v>336</v>
      </c>
      <c r="B203" s="55">
        <v>-20.399999999999999</v>
      </c>
    </row>
    <row r="204" spans="1:2" x14ac:dyDescent="0.45">
      <c r="A204" t="s">
        <v>337</v>
      </c>
      <c r="B204" s="55">
        <v>15.5</v>
      </c>
    </row>
    <row r="205" spans="1:2" x14ac:dyDescent="0.45">
      <c r="A205" t="s">
        <v>338</v>
      </c>
      <c r="B205" s="55">
        <v>1</v>
      </c>
    </row>
    <row r="206" spans="1:2" x14ac:dyDescent="0.45">
      <c r="A206" t="s">
        <v>339</v>
      </c>
      <c r="B206" s="55">
        <v>-1.5</v>
      </c>
    </row>
    <row r="207" spans="1:2" x14ac:dyDescent="0.45">
      <c r="A207" t="s">
        <v>340</v>
      </c>
      <c r="B207" s="55">
        <v>4.8</v>
      </c>
    </row>
    <row r="208" spans="1:2" x14ac:dyDescent="0.45">
      <c r="A208" t="s">
        <v>341</v>
      </c>
      <c r="B208" s="55">
        <v>1.3</v>
      </c>
    </row>
    <row r="209" spans="1:2" x14ac:dyDescent="0.45">
      <c r="A209" t="s">
        <v>342</v>
      </c>
      <c r="B209" s="55">
        <v>1</v>
      </c>
    </row>
    <row r="210" spans="1:2" x14ac:dyDescent="0.45">
      <c r="A210" t="s">
        <v>343</v>
      </c>
      <c r="B210" s="55">
        <v>0.8</v>
      </c>
    </row>
    <row r="211" spans="1:2" x14ac:dyDescent="0.45">
      <c r="A211" t="s">
        <v>344</v>
      </c>
      <c r="B211" s="55">
        <v>-0.1</v>
      </c>
    </row>
    <row r="212" spans="1:2" x14ac:dyDescent="0.45">
      <c r="A212" t="s">
        <v>345</v>
      </c>
      <c r="B212" s="55">
        <v>-0.2</v>
      </c>
    </row>
    <row r="213" spans="1:2" x14ac:dyDescent="0.45">
      <c r="A213" t="s">
        <v>346</v>
      </c>
      <c r="B213" s="55">
        <v>4.3637852514843978E-2</v>
      </c>
    </row>
    <row r="214" spans="1:2" x14ac:dyDescent="0.45">
      <c r="A214" t="s">
        <v>347</v>
      </c>
      <c r="B214" s="55">
        <v>0.12544690459763799</v>
      </c>
    </row>
    <row r="215" spans="1:2" x14ac:dyDescent="0.45">
      <c r="A215" t="s">
        <v>348</v>
      </c>
      <c r="B215" s="55">
        <v>0.20472001317079958</v>
      </c>
    </row>
    <row r="216" spans="1:2" x14ac:dyDescent="0.45">
      <c r="A216" t="s">
        <v>349</v>
      </c>
      <c r="B216" s="55">
        <v>-0.03</v>
      </c>
    </row>
    <row r="217" spans="1:2" x14ac:dyDescent="0.45">
      <c r="A217" t="s">
        <v>350</v>
      </c>
      <c r="B217" s="55">
        <v>-0.34467295636194661</v>
      </c>
    </row>
    <row r="218" spans="1:2" x14ac:dyDescent="0.45">
      <c r="A218" t="s">
        <v>351</v>
      </c>
      <c r="B218" s="55">
        <v>0.6</v>
      </c>
    </row>
    <row r="219" spans="1:2" x14ac:dyDescent="0.45">
      <c r="A219" t="s">
        <v>352</v>
      </c>
      <c r="B219" s="55">
        <v>0.57158477222469628</v>
      </c>
    </row>
    <row r="220" spans="1:2" x14ac:dyDescent="0.45">
      <c r="A220" t="s">
        <v>353</v>
      </c>
      <c r="B220" s="55">
        <v>0.13968463557958444</v>
      </c>
    </row>
    <row r="221" spans="1:2" x14ac:dyDescent="0.45">
      <c r="A221" t="s">
        <v>354</v>
      </c>
      <c r="B221" s="55">
        <v>0.10118407225292003</v>
      </c>
    </row>
    <row r="222" spans="1:2" x14ac:dyDescent="0.45">
      <c r="A222" t="s">
        <v>355</v>
      </c>
      <c r="B222" s="55">
        <v>0.7</v>
      </c>
    </row>
    <row r="223" spans="1:2" x14ac:dyDescent="0.45">
      <c r="A223" t="s">
        <v>356</v>
      </c>
      <c r="B223" s="55">
        <v>0.3</v>
      </c>
    </row>
    <row r="224" spans="1:2" x14ac:dyDescent="0.45">
      <c r="A224" s="4" t="s">
        <v>357</v>
      </c>
      <c r="B224" s="55">
        <v>0.1</v>
      </c>
    </row>
    <row r="225" spans="1:2" x14ac:dyDescent="0.45">
      <c r="A225" s="4" t="s">
        <v>438</v>
      </c>
      <c r="B225" s="55">
        <v>0.1</v>
      </c>
    </row>
    <row r="226" spans="1:2" x14ac:dyDescent="0.45">
      <c r="A226" s="4" t="s">
        <v>441</v>
      </c>
      <c r="B226" s="55">
        <v>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9F03-F28C-42F2-B7AB-6DDAE1837930}">
  <sheetPr>
    <tabColor theme="9" tint="0.79998168889431442"/>
  </sheetPr>
  <dimension ref="A1:D226"/>
  <sheetViews>
    <sheetView topLeftCell="A217" workbookViewId="0">
      <selection activeCell="B233" sqref="B233"/>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f>(LN(rgdp!B3)-LN(rgdp!B2))*100</f>
        <v>2.3615267677916663</v>
      </c>
      <c r="C3" s="2">
        <v>123456789</v>
      </c>
      <c r="D3" s="2">
        <v>123456789</v>
      </c>
    </row>
    <row r="4" spans="1:4" x14ac:dyDescent="0.45">
      <c r="A4" t="s">
        <v>137</v>
      </c>
      <c r="B4">
        <f>(LN(rgdp!B4)-LN(rgdp!B3))*100</f>
        <v>0.94734256901709557</v>
      </c>
      <c r="C4" s="2">
        <v>123456789</v>
      </c>
      <c r="D4" s="2">
        <v>123456789</v>
      </c>
    </row>
    <row r="5" spans="1:4" x14ac:dyDescent="0.45">
      <c r="A5" t="s">
        <v>138</v>
      </c>
      <c r="B5">
        <f>(LN(rgdp!B5)-LN(rgdp!B4))*100</f>
        <v>0.92100344455339211</v>
      </c>
      <c r="C5" s="2">
        <v>123456789</v>
      </c>
      <c r="D5" s="2">
        <v>123456789</v>
      </c>
    </row>
    <row r="6" spans="1:4" x14ac:dyDescent="0.45">
      <c r="A6" t="s">
        <v>139</v>
      </c>
      <c r="B6">
        <f>(LN(rgdp!B6)-LN(rgdp!B5))*100</f>
        <v>-0.47398002971394959</v>
      </c>
      <c r="C6" s="2">
        <v>123456789</v>
      </c>
      <c r="D6" s="2">
        <v>123456789</v>
      </c>
    </row>
    <row r="7" spans="1:4" x14ac:dyDescent="0.45">
      <c r="A7" t="s">
        <v>140</v>
      </c>
      <c r="B7">
        <f>(LN(rgdp!B7)-LN(rgdp!B6))*100</f>
        <v>1.7746766142279213</v>
      </c>
      <c r="C7" s="2">
        <v>123456789</v>
      </c>
      <c r="D7" s="2">
        <v>123456789</v>
      </c>
    </row>
    <row r="8" spans="1:4" x14ac:dyDescent="0.45">
      <c r="A8" t="s">
        <v>141</v>
      </c>
      <c r="B8">
        <f>(LN(rgdp!B8)-LN(rgdp!B7))*100</f>
        <v>1.6863272126302675</v>
      </c>
      <c r="C8" s="2">
        <v>123456789</v>
      </c>
      <c r="D8" s="2">
        <v>123456789</v>
      </c>
    </row>
    <row r="9" spans="1:4" x14ac:dyDescent="0.45">
      <c r="A9" t="s">
        <v>142</v>
      </c>
      <c r="B9">
        <f>(LN(rgdp!B9)-LN(rgdp!B8))*100</f>
        <v>0.38384914174720564</v>
      </c>
      <c r="C9" s="2">
        <v>123456789</v>
      </c>
      <c r="D9" s="2">
        <v>123456789</v>
      </c>
    </row>
    <row r="10" spans="1:4" x14ac:dyDescent="0.45">
      <c r="A10" t="s">
        <v>143</v>
      </c>
      <c r="B10">
        <f>(LN(rgdp!B10)-LN(rgdp!B9))*100</f>
        <v>0.21827203871307432</v>
      </c>
      <c r="C10" s="2">
        <v>123456789</v>
      </c>
      <c r="D10" s="2">
        <v>123456789</v>
      </c>
    </row>
    <row r="11" spans="1:4" x14ac:dyDescent="0.45">
      <c r="A11" t="s">
        <v>144</v>
      </c>
      <c r="B11">
        <f>(LN(rgdp!B11)-LN(rgdp!B10))*100</f>
        <v>2.6043708534546184</v>
      </c>
      <c r="C11" s="2">
        <v>123456789</v>
      </c>
      <c r="D11" s="2">
        <v>123456789</v>
      </c>
    </row>
    <row r="12" spans="1:4" x14ac:dyDescent="0.45">
      <c r="A12" t="s">
        <v>145</v>
      </c>
      <c r="B12">
        <f>(LN(rgdp!B12)-LN(rgdp!B11))*100</f>
        <v>0.26648091374887883</v>
      </c>
      <c r="C12" s="2">
        <v>123456789</v>
      </c>
      <c r="D12" s="2">
        <v>123456789</v>
      </c>
    </row>
    <row r="13" spans="1:4" x14ac:dyDescent="0.45">
      <c r="A13" t="s">
        <v>146</v>
      </c>
      <c r="B13">
        <f>(LN(rgdp!B13)-LN(rgdp!B12))*100</f>
        <v>1.5405416347501699</v>
      </c>
      <c r="C13" s="2">
        <v>123456789</v>
      </c>
      <c r="D13" s="2">
        <v>123456789</v>
      </c>
    </row>
    <row r="14" spans="1:4" x14ac:dyDescent="0.45">
      <c r="A14" t="s">
        <v>147</v>
      </c>
      <c r="B14">
        <f>(LN(rgdp!B14)-LN(rgdp!B13))*100</f>
        <v>4.7909702499106643</v>
      </c>
      <c r="C14" s="2">
        <v>123456789</v>
      </c>
      <c r="D14" s="2">
        <v>123456789</v>
      </c>
    </row>
    <row r="15" spans="1:4" x14ac:dyDescent="0.45">
      <c r="A15" t="s">
        <v>148</v>
      </c>
      <c r="B15">
        <f>(LN(rgdp!B15)-LN(rgdp!B14))*100</f>
        <v>0.18932313301220915</v>
      </c>
      <c r="C15" s="2">
        <v>123456789</v>
      </c>
      <c r="D15" s="2">
        <v>123456789</v>
      </c>
    </row>
    <row r="16" spans="1:4" x14ac:dyDescent="0.45">
      <c r="A16" t="s">
        <v>149</v>
      </c>
      <c r="B16">
        <f>(LN(rgdp!B16)-LN(rgdp!B15))*100</f>
        <v>-0.93739067684666111</v>
      </c>
      <c r="C16" s="2">
        <v>123456789</v>
      </c>
      <c r="D16" s="2">
        <v>123456789</v>
      </c>
    </row>
    <row r="17" spans="1:4" x14ac:dyDescent="0.45">
      <c r="A17" t="s">
        <v>150</v>
      </c>
      <c r="B17">
        <f>(LN(rgdp!B17)-LN(rgdp!B16))*100</f>
        <v>-0.39167255475902607</v>
      </c>
      <c r="C17" s="2">
        <v>123456789</v>
      </c>
      <c r="D17" s="2">
        <v>123456789</v>
      </c>
    </row>
    <row r="18" spans="1:4" x14ac:dyDescent="0.45">
      <c r="A18" t="s">
        <v>151</v>
      </c>
      <c r="B18">
        <f>(LN(rgdp!B18)-LN(rgdp!B17))*100</f>
        <v>-2.8116222503294708</v>
      </c>
      <c r="C18" s="2">
        <v>123456789</v>
      </c>
      <c r="D18" s="2">
        <v>123456789</v>
      </c>
    </row>
    <row r="19" spans="1:4" x14ac:dyDescent="0.45">
      <c r="A19" t="s">
        <v>152</v>
      </c>
      <c r="B19">
        <f>(LN(rgdp!B19)-LN(rgdp!B18))*100</f>
        <v>1.4224143484367957</v>
      </c>
      <c r="C19" s="2">
        <v>123456789</v>
      </c>
      <c r="D19" s="2">
        <v>123456789</v>
      </c>
    </row>
    <row r="20" spans="1:4" x14ac:dyDescent="0.45">
      <c r="A20" t="s">
        <v>153</v>
      </c>
      <c r="B20">
        <f>(LN(rgdp!B20)-LN(rgdp!B19))*100</f>
        <v>0.59092116796417571</v>
      </c>
      <c r="C20" s="2">
        <v>123456789</v>
      </c>
      <c r="D20" s="2">
        <v>123456789</v>
      </c>
    </row>
    <row r="21" spans="1:4" x14ac:dyDescent="0.45">
      <c r="A21" t="s">
        <v>154</v>
      </c>
      <c r="B21">
        <f>(LN(rgdp!B21)-LN(rgdp!B20))*100</f>
        <v>-1.4709202111989228</v>
      </c>
      <c r="C21" s="2">
        <v>123456789</v>
      </c>
      <c r="D21" s="2">
        <v>123456789</v>
      </c>
    </row>
    <row r="22" spans="1:4" x14ac:dyDescent="0.45">
      <c r="A22" t="s">
        <v>155</v>
      </c>
      <c r="B22">
        <f>(LN(rgdp!B22)-LN(rgdp!B21))*100</f>
        <v>1.9373011905088333E-2</v>
      </c>
      <c r="C22" s="2">
        <v>123456789</v>
      </c>
      <c r="D22" s="2">
        <v>123456789</v>
      </c>
    </row>
    <row r="23" spans="1:4" x14ac:dyDescent="0.45">
      <c r="A23" t="s">
        <v>156</v>
      </c>
      <c r="B23">
        <f>(LN(rgdp!B23)-LN(rgdp!B22))*100</f>
        <v>-1.6330767522024559</v>
      </c>
      <c r="C23" s="2">
        <v>123456789</v>
      </c>
      <c r="D23" s="2">
        <v>123456789</v>
      </c>
    </row>
    <row r="24" spans="1:4" x14ac:dyDescent="0.45">
      <c r="A24" t="s">
        <v>157</v>
      </c>
      <c r="B24">
        <f>(LN(rgdp!B24)-LN(rgdp!B23))*100</f>
        <v>-0.3025028780696104</v>
      </c>
      <c r="C24" s="2">
        <v>123456789</v>
      </c>
      <c r="D24" s="2">
        <v>123456789</v>
      </c>
    </row>
    <row r="25" spans="1:4" x14ac:dyDescent="0.45">
      <c r="A25" t="s">
        <v>158</v>
      </c>
      <c r="B25">
        <f>(LN(rgdp!B25)-LN(rgdp!B24))*100</f>
        <v>1.1065549036255007</v>
      </c>
      <c r="C25" s="2">
        <v>123456789</v>
      </c>
      <c r="D25" s="2">
        <v>123456789</v>
      </c>
    </row>
    <row r="26" spans="1:4" x14ac:dyDescent="0.45">
      <c r="A26" t="s">
        <v>159</v>
      </c>
      <c r="B26">
        <f>(LN(rgdp!B26)-LN(rgdp!B25))*100</f>
        <v>1.6593020355589516</v>
      </c>
      <c r="C26" s="2">
        <v>123456789</v>
      </c>
      <c r="D26" s="2">
        <v>123456789</v>
      </c>
    </row>
    <row r="27" spans="1:4" x14ac:dyDescent="0.45">
      <c r="A27" t="s">
        <v>160</v>
      </c>
      <c r="B27">
        <f>(LN(rgdp!B27)-LN(rgdp!B26))*100</f>
        <v>-0.13726046459030528</v>
      </c>
      <c r="C27" s="2">
        <v>123456789</v>
      </c>
      <c r="D27" s="2">
        <v>123456789</v>
      </c>
    </row>
    <row r="28" spans="1:4" x14ac:dyDescent="0.45">
      <c r="A28" t="s">
        <v>161</v>
      </c>
      <c r="B28">
        <f>(LN(rgdp!B28)-LN(rgdp!B27))*100</f>
        <v>1.2316542685631759</v>
      </c>
      <c r="C28" s="2">
        <v>123456789</v>
      </c>
      <c r="D28" s="2">
        <v>123456789</v>
      </c>
    </row>
    <row r="29" spans="1:4" x14ac:dyDescent="0.45">
      <c r="A29" t="s">
        <v>162</v>
      </c>
      <c r="B29">
        <f>(LN(rgdp!B29)-LN(rgdp!B28))*100</f>
        <v>2.0798276552415729</v>
      </c>
      <c r="C29" s="2">
        <v>123456789</v>
      </c>
      <c r="D29" s="2">
        <v>123456789</v>
      </c>
    </row>
    <row r="30" spans="1:4" x14ac:dyDescent="0.45">
      <c r="A30" t="s">
        <v>163</v>
      </c>
      <c r="B30">
        <f>(LN(rgdp!B30)-LN(rgdp!B29))*100</f>
        <v>6.3628501016488315E-2</v>
      </c>
      <c r="C30" s="2">
        <v>123456789</v>
      </c>
      <c r="D30" s="2">
        <v>123456789</v>
      </c>
    </row>
    <row r="31" spans="1:4" x14ac:dyDescent="0.45">
      <c r="A31" t="s">
        <v>164</v>
      </c>
      <c r="B31">
        <f>(LN(rgdp!B31)-LN(rgdp!B30))*100</f>
        <v>-0.68904008944628004</v>
      </c>
      <c r="C31" s="2">
        <v>123456789</v>
      </c>
      <c r="D31" s="2">
        <v>123456789</v>
      </c>
    </row>
    <row r="32" spans="1:4" x14ac:dyDescent="0.45">
      <c r="A32" t="s">
        <v>165</v>
      </c>
      <c r="B32">
        <f>(LN(rgdp!B32)-LN(rgdp!B31))*100</f>
        <v>0.64588131284857297</v>
      </c>
      <c r="C32" s="2">
        <v>123456789</v>
      </c>
      <c r="D32" s="2">
        <v>123456789</v>
      </c>
    </row>
    <row r="33" spans="1:4" x14ac:dyDescent="0.45">
      <c r="A33" t="s">
        <v>166</v>
      </c>
      <c r="B33">
        <f>(LN(rgdp!B33)-LN(rgdp!B32))*100</f>
        <v>1.683447013812156</v>
      </c>
      <c r="C33" s="2">
        <v>123456789</v>
      </c>
      <c r="D33" s="2">
        <v>123456789</v>
      </c>
    </row>
    <row r="34" spans="1:4" x14ac:dyDescent="0.45">
      <c r="A34" t="s">
        <v>167</v>
      </c>
      <c r="B34">
        <f>(LN(rgdp!B34)-LN(rgdp!B33))*100</f>
        <v>0.93313614158549996</v>
      </c>
      <c r="C34" s="2">
        <v>123456789</v>
      </c>
      <c r="D34" s="2">
        <v>123456789</v>
      </c>
    </row>
    <row r="35" spans="1:4" x14ac:dyDescent="0.45">
      <c r="A35" t="s">
        <v>168</v>
      </c>
      <c r="B35">
        <f>(LN(rgdp!B35)-LN(rgdp!B34))*100</f>
        <v>1.1390753285553501</v>
      </c>
      <c r="C35" s="2">
        <v>123456789</v>
      </c>
      <c r="D35" s="2">
        <v>123456789</v>
      </c>
    </row>
    <row r="36" spans="1:4" x14ac:dyDescent="0.45">
      <c r="A36" t="s">
        <v>169</v>
      </c>
      <c r="B36">
        <f>(LN(rgdp!B36)-LN(rgdp!B35))*100</f>
        <v>1.351395971813929</v>
      </c>
      <c r="C36" s="2">
        <v>123456789</v>
      </c>
      <c r="D36" s="2">
        <v>123456789</v>
      </c>
    </row>
    <row r="37" spans="1:4" x14ac:dyDescent="0.45">
      <c r="A37" t="s">
        <v>170</v>
      </c>
      <c r="B37">
        <f>(LN(rgdp!B37)-LN(rgdp!B36))*100</f>
        <v>0.88610024062045767</v>
      </c>
      <c r="C37" s="2">
        <v>123456789</v>
      </c>
      <c r="D37" s="2">
        <v>123456789</v>
      </c>
    </row>
    <row r="38" spans="1:4" x14ac:dyDescent="0.45">
      <c r="A38" t="s">
        <v>171</v>
      </c>
      <c r="B38">
        <f>(LN(rgdp!B38)-LN(rgdp!B37))*100</f>
        <v>-0.30082283804571119</v>
      </c>
      <c r="C38" s="2">
        <v>123456789</v>
      </c>
      <c r="D38" s="2">
        <v>123456789</v>
      </c>
    </row>
    <row r="39" spans="1:4" x14ac:dyDescent="0.45">
      <c r="A39" t="s">
        <v>172</v>
      </c>
      <c r="B39">
        <f>(LN(rgdp!B39)-LN(rgdp!B38))*100</f>
        <v>4.2614542126257149</v>
      </c>
      <c r="C39" s="2">
        <v>123456789</v>
      </c>
      <c r="D39" s="2">
        <v>123456789</v>
      </c>
    </row>
    <row r="40" spans="1:4" x14ac:dyDescent="0.45">
      <c r="A40" t="s">
        <v>173</v>
      </c>
      <c r="B40">
        <f>(LN(rgdp!B40)-LN(rgdp!B39))*100</f>
        <v>-2.2292105074390278</v>
      </c>
      <c r="C40" s="2">
        <v>123456789</v>
      </c>
      <c r="D40" s="2">
        <v>123456789</v>
      </c>
    </row>
    <row r="41" spans="1:4" x14ac:dyDescent="0.45">
      <c r="A41" t="s">
        <v>174</v>
      </c>
      <c r="B41">
        <f>(LN(rgdp!B41)-LN(rgdp!B40))*100</f>
        <v>1.0172100280476215</v>
      </c>
      <c r="C41" s="2">
        <v>123456789</v>
      </c>
      <c r="D41" s="2">
        <v>123456789</v>
      </c>
    </row>
    <row r="42" spans="1:4" x14ac:dyDescent="0.45">
      <c r="A42" t="s">
        <v>175</v>
      </c>
      <c r="B42">
        <f>(LN(rgdp!B42)-LN(rgdp!B41))*100</f>
        <v>-0.98931146154299654</v>
      </c>
      <c r="C42" s="2">
        <v>123456789</v>
      </c>
      <c r="D42" s="2">
        <v>123456789</v>
      </c>
    </row>
    <row r="43" spans="1:4" x14ac:dyDescent="0.45">
      <c r="A43" t="s">
        <v>176</v>
      </c>
      <c r="B43">
        <f>(LN(rgdp!B43)-LN(rgdp!B42))*100</f>
        <v>-1.9701867163167464</v>
      </c>
      <c r="C43" s="2">
        <v>123456789</v>
      </c>
      <c r="D43" s="2">
        <v>123456789</v>
      </c>
    </row>
    <row r="44" spans="1:4" x14ac:dyDescent="0.45">
      <c r="A44" t="s">
        <v>177</v>
      </c>
      <c r="B44">
        <f>(LN(rgdp!B44)-LN(rgdp!B43))*100</f>
        <v>-0.10929250888018771</v>
      </c>
      <c r="C44" s="2">
        <v>123456789</v>
      </c>
      <c r="D44" s="2">
        <v>123456789</v>
      </c>
    </row>
    <row r="45" spans="1:4" x14ac:dyDescent="0.45">
      <c r="A45" t="s">
        <v>178</v>
      </c>
      <c r="B45">
        <f>(LN(rgdp!B45)-LN(rgdp!B44))*100</f>
        <v>-1.0270492365849648</v>
      </c>
      <c r="C45" s="2">
        <v>123456789</v>
      </c>
      <c r="D45" s="2">
        <v>123456789</v>
      </c>
    </row>
    <row r="46" spans="1:4" x14ac:dyDescent="0.45">
      <c r="A46" t="s">
        <v>179</v>
      </c>
      <c r="B46">
        <f>(LN(rgdp!B46)-LN(rgdp!B45))*100</f>
        <v>-8.4939578951903627E-2</v>
      </c>
      <c r="C46" s="2">
        <v>123456789</v>
      </c>
      <c r="D46" s="2">
        <v>123456789</v>
      </c>
    </row>
    <row r="47" spans="1:4" x14ac:dyDescent="0.45">
      <c r="A47" t="s">
        <v>180</v>
      </c>
      <c r="B47">
        <f>(LN(rgdp!B47)-LN(rgdp!B46))*100</f>
        <v>0.31877232306900538</v>
      </c>
      <c r="C47" s="2">
        <v>123456789</v>
      </c>
      <c r="D47" s="2">
        <v>123456789</v>
      </c>
    </row>
    <row r="48" spans="1:4" x14ac:dyDescent="0.45">
      <c r="A48" t="s">
        <v>181</v>
      </c>
      <c r="B48">
        <f>(LN(rgdp!B48)-LN(rgdp!B47))*100</f>
        <v>1.15647739182414</v>
      </c>
      <c r="C48" s="2">
        <v>123456789</v>
      </c>
      <c r="D48" s="2">
        <v>123456789</v>
      </c>
    </row>
    <row r="49" spans="1:4" x14ac:dyDescent="0.45">
      <c r="A49" t="s">
        <v>182</v>
      </c>
      <c r="B49">
        <f>(LN(rgdp!B49)-LN(rgdp!B48))*100</f>
        <v>0.13199103537075985</v>
      </c>
      <c r="C49" s="2">
        <v>123456789</v>
      </c>
      <c r="D49" s="2">
        <v>123456789</v>
      </c>
    </row>
    <row r="50" spans="1:4" x14ac:dyDescent="0.45">
      <c r="A50" t="s">
        <v>183</v>
      </c>
      <c r="B50">
        <f>(LN(rgdp!B50)-LN(rgdp!B49))*100</f>
        <v>0.1611637698969659</v>
      </c>
      <c r="C50" s="2">
        <v>123456789</v>
      </c>
      <c r="D50" s="2">
        <v>123456789</v>
      </c>
    </row>
    <row r="51" spans="1:4" x14ac:dyDescent="0.45">
      <c r="A51" t="s">
        <v>184</v>
      </c>
      <c r="B51">
        <f>(LN(rgdp!B51)-LN(rgdp!B50))*100</f>
        <v>1.0276246933095479</v>
      </c>
      <c r="C51" s="2">
        <v>123456789</v>
      </c>
      <c r="D51" s="2">
        <v>123456789</v>
      </c>
    </row>
    <row r="52" spans="1:4" x14ac:dyDescent="0.45">
      <c r="A52" t="s">
        <v>185</v>
      </c>
      <c r="B52">
        <f>(LN(rgdp!B52)-LN(rgdp!B51))*100</f>
        <v>0.21413136501884367</v>
      </c>
      <c r="C52" s="2">
        <v>123456789</v>
      </c>
      <c r="D52" s="2">
        <v>123456789</v>
      </c>
    </row>
    <row r="53" spans="1:4" x14ac:dyDescent="0.45">
      <c r="A53" t="s">
        <v>186</v>
      </c>
      <c r="B53">
        <f>(LN(rgdp!B53)-LN(rgdp!B52))*100</f>
        <v>0.68078463468541628</v>
      </c>
      <c r="C53" s="2">
        <v>123456789</v>
      </c>
      <c r="D53" s="2">
        <v>123456789</v>
      </c>
    </row>
    <row r="54" spans="1:4" x14ac:dyDescent="0.45">
      <c r="A54" t="s">
        <v>187</v>
      </c>
      <c r="B54">
        <f>(LN(rgdp!B54)-LN(rgdp!B53))*100</f>
        <v>1.9447673043044844</v>
      </c>
      <c r="C54" s="2">
        <v>123456789</v>
      </c>
      <c r="D54" s="2">
        <v>123456789</v>
      </c>
    </row>
    <row r="55" spans="1:4" x14ac:dyDescent="0.45">
      <c r="A55" t="s">
        <v>188</v>
      </c>
      <c r="B55">
        <f>(LN(rgdp!B55)-LN(rgdp!B54))*100</f>
        <v>0.68990504492543181</v>
      </c>
      <c r="C55" s="2">
        <v>123456789</v>
      </c>
      <c r="D55" s="2">
        <v>123456789</v>
      </c>
    </row>
    <row r="56" spans="1:4" x14ac:dyDescent="0.45">
      <c r="A56" t="s">
        <v>189</v>
      </c>
      <c r="B56">
        <f>(LN(rgdp!B56)-LN(rgdp!B55))*100</f>
        <v>1.1488276499695971</v>
      </c>
      <c r="C56" s="2">
        <v>123456789</v>
      </c>
      <c r="D56" s="2">
        <v>123456789</v>
      </c>
    </row>
    <row r="57" spans="1:4" x14ac:dyDescent="0.45">
      <c r="A57" t="s">
        <v>190</v>
      </c>
      <c r="B57">
        <f>(LN(rgdp!B57)-LN(rgdp!B56))*100</f>
        <v>0.74813890332343647</v>
      </c>
      <c r="C57" s="2">
        <v>123456789</v>
      </c>
      <c r="D57" s="2">
        <v>123456789</v>
      </c>
    </row>
    <row r="58" spans="1:4" x14ac:dyDescent="0.45">
      <c r="A58" t="s">
        <v>191</v>
      </c>
      <c r="B58">
        <f>(LN(rgdp!B58)-LN(rgdp!B57))*100</f>
        <v>0.84882097705563098</v>
      </c>
      <c r="C58" s="2">
        <v>123456789</v>
      </c>
      <c r="D58" s="2">
        <v>123456789</v>
      </c>
    </row>
    <row r="59" spans="1:4" x14ac:dyDescent="0.45">
      <c r="A59" t="s">
        <v>192</v>
      </c>
      <c r="B59">
        <f>(LN(rgdp!B59)-LN(rgdp!B58))*100</f>
        <v>-1.0025277486199968</v>
      </c>
      <c r="C59" s="2">
        <v>123456789</v>
      </c>
      <c r="D59" s="2">
        <v>123456789</v>
      </c>
    </row>
    <row r="60" spans="1:4" x14ac:dyDescent="0.45">
      <c r="A60" t="s">
        <v>193</v>
      </c>
      <c r="B60">
        <f>(LN(rgdp!B60)-LN(rgdp!B59))*100</f>
        <v>0.72874472447406191</v>
      </c>
      <c r="C60" s="2">
        <v>123456789</v>
      </c>
      <c r="D60" s="2">
        <v>123456789</v>
      </c>
    </row>
    <row r="61" spans="1:4" x14ac:dyDescent="0.45">
      <c r="A61" t="s">
        <v>194</v>
      </c>
      <c r="B61">
        <f>(LN(rgdp!B61)-LN(rgdp!B60))*100</f>
        <v>1.7989607773976957</v>
      </c>
      <c r="C61" s="2">
        <v>123456789</v>
      </c>
      <c r="D61" s="2">
        <v>123456789</v>
      </c>
    </row>
    <row r="62" spans="1:4" x14ac:dyDescent="0.45">
      <c r="A62" t="s">
        <v>195</v>
      </c>
      <c r="B62">
        <f>(LN(rgdp!B62)-LN(rgdp!B61))*100</f>
        <v>0.97255918152683307</v>
      </c>
      <c r="C62" s="2">
        <v>123456789</v>
      </c>
      <c r="D62" s="2">
        <v>123456789</v>
      </c>
    </row>
    <row r="63" spans="1:4" x14ac:dyDescent="0.45">
      <c r="A63" t="s">
        <v>196</v>
      </c>
      <c r="B63">
        <f>(LN(rgdp!B63)-LN(rgdp!B62))*100</f>
        <v>2.0990924334473249</v>
      </c>
      <c r="C63" s="2">
        <v>123456789</v>
      </c>
      <c r="D63" s="2">
        <v>123456789</v>
      </c>
    </row>
    <row r="64" spans="1:4" x14ac:dyDescent="0.45">
      <c r="A64" t="s">
        <v>197</v>
      </c>
      <c r="B64">
        <f>(LN(rgdp!B64)-LN(rgdp!B63))*100</f>
        <v>-1.8299027876444995E-2</v>
      </c>
      <c r="C64" s="2">
        <v>123456789</v>
      </c>
      <c r="D64" s="2">
        <v>123456789</v>
      </c>
    </row>
    <row r="65" spans="1:4" x14ac:dyDescent="0.45">
      <c r="A65" t="s">
        <v>198</v>
      </c>
      <c r="B65">
        <f>(LN(rgdp!B65)-LN(rgdp!B64))*100</f>
        <v>6.5736844146080387E-2</v>
      </c>
      <c r="C65" s="2">
        <v>123456789</v>
      </c>
      <c r="D65" s="2">
        <v>123456789</v>
      </c>
    </row>
    <row r="66" spans="1:4" x14ac:dyDescent="0.45">
      <c r="A66" t="s">
        <v>199</v>
      </c>
      <c r="B66">
        <f>(LN(rgdp!B66)-LN(rgdp!B65))*100</f>
        <v>1.0373652169262115</v>
      </c>
      <c r="C66" s="2">
        <v>123456789</v>
      </c>
      <c r="D66" s="2">
        <v>123456789</v>
      </c>
    </row>
    <row r="67" spans="1:4" x14ac:dyDescent="0.45">
      <c r="A67" t="s">
        <v>200</v>
      </c>
      <c r="B67">
        <f>(LN(rgdp!B67)-LN(rgdp!B66))*100</f>
        <v>0.88694002724647447</v>
      </c>
      <c r="C67" s="2">
        <v>123456789</v>
      </c>
      <c r="D67" s="2">
        <v>123456789</v>
      </c>
    </row>
    <row r="68" spans="1:4" x14ac:dyDescent="0.45">
      <c r="A68" t="s">
        <v>201</v>
      </c>
      <c r="B68">
        <f>(LN(rgdp!B68)-LN(rgdp!B67))*100</f>
        <v>0.63470337558584333</v>
      </c>
      <c r="C68" s="2">
        <v>123456789</v>
      </c>
      <c r="D68" s="2">
        <v>123456789</v>
      </c>
    </row>
    <row r="69" spans="1:4" x14ac:dyDescent="0.45">
      <c r="A69" t="s">
        <v>202</v>
      </c>
      <c r="B69">
        <f>(LN(rgdp!B69)-LN(rgdp!B68))*100</f>
        <v>1.9155707503049513</v>
      </c>
      <c r="C69" s="2">
        <v>123456789</v>
      </c>
      <c r="D69" s="2">
        <v>123456789</v>
      </c>
    </row>
    <row r="70" spans="1:4" x14ac:dyDescent="0.45">
      <c r="A70" t="s">
        <v>203</v>
      </c>
      <c r="B70">
        <f>(LN(rgdp!B70)-LN(rgdp!B69))*100</f>
        <v>0.70504677537961413</v>
      </c>
      <c r="C70" s="2">
        <v>123456789</v>
      </c>
      <c r="D70" s="2">
        <v>123456789</v>
      </c>
    </row>
    <row r="71" spans="1:4" x14ac:dyDescent="0.45">
      <c r="A71" t="s">
        <v>204</v>
      </c>
      <c r="B71">
        <f>(LN(rgdp!B71)-LN(rgdp!B70))*100</f>
        <v>1.4728211199587449</v>
      </c>
      <c r="C71" s="2">
        <v>123456789</v>
      </c>
      <c r="D71" s="2">
        <v>123456789</v>
      </c>
    </row>
    <row r="72" spans="1:4" x14ac:dyDescent="0.45">
      <c r="A72" t="s">
        <v>205</v>
      </c>
      <c r="B72">
        <f>(LN(rgdp!B72)-LN(rgdp!B71))*100</f>
        <v>2.4551479539342225</v>
      </c>
      <c r="C72" s="2">
        <v>123456789</v>
      </c>
      <c r="D72" s="2">
        <v>123456789</v>
      </c>
    </row>
    <row r="73" spans="1:4" x14ac:dyDescent="0.45">
      <c r="A73" t="s">
        <v>206</v>
      </c>
      <c r="B73">
        <f>(LN(rgdp!B73)-LN(rgdp!B72))*100</f>
        <v>1.1463201140941237</v>
      </c>
      <c r="C73" s="2">
        <v>123456789</v>
      </c>
      <c r="D73" s="2">
        <v>123456789</v>
      </c>
    </row>
    <row r="74" spans="1:4" x14ac:dyDescent="0.45">
      <c r="A74" t="s">
        <v>207</v>
      </c>
      <c r="B74">
        <f>(LN(rgdp!B74)-LN(rgdp!B73))*100</f>
        <v>1.6173382875441789</v>
      </c>
      <c r="C74" s="2">
        <v>123456789</v>
      </c>
      <c r="D74" s="2">
        <v>123456789</v>
      </c>
    </row>
    <row r="75" spans="1:4" x14ac:dyDescent="0.45">
      <c r="A75" t="s">
        <v>208</v>
      </c>
      <c r="B75">
        <f>(LN(rgdp!B75)-LN(rgdp!B74))*100</f>
        <v>0.53316913677949884</v>
      </c>
      <c r="C75" s="2">
        <v>123456789</v>
      </c>
      <c r="D75" s="2">
        <v>123456789</v>
      </c>
    </row>
    <row r="76" spans="1:4" x14ac:dyDescent="0.45">
      <c r="A76" t="s">
        <v>209</v>
      </c>
      <c r="B76">
        <f>(LN(rgdp!B76)-LN(rgdp!B75))*100</f>
        <v>1.2422215758716604</v>
      </c>
      <c r="C76" s="2">
        <v>123456789</v>
      </c>
      <c r="D76" s="2">
        <v>123456789</v>
      </c>
    </row>
    <row r="77" spans="1:4" x14ac:dyDescent="0.45">
      <c r="A77" t="s">
        <v>210</v>
      </c>
      <c r="B77">
        <f>(LN(rgdp!B77)-LN(rgdp!B76))*100</f>
        <v>0.80213109504079227</v>
      </c>
      <c r="C77" s="2">
        <v>123456789</v>
      </c>
      <c r="D77" s="2">
        <v>123456789</v>
      </c>
    </row>
    <row r="78" spans="1:4" x14ac:dyDescent="0.45">
      <c r="A78" t="s">
        <v>211</v>
      </c>
      <c r="B78">
        <f>(LN(rgdp!B78)-LN(rgdp!B77))*100</f>
        <v>0.49775045097391057</v>
      </c>
      <c r="C78" s="2">
        <v>123456789</v>
      </c>
      <c r="D78" s="2">
        <v>123456789</v>
      </c>
    </row>
    <row r="79" spans="1:4" x14ac:dyDescent="0.45">
      <c r="A79" t="s">
        <v>212</v>
      </c>
      <c r="B79">
        <f>(LN(rgdp!B79)-LN(rgdp!B78))*100</f>
        <v>0.62243818592406797</v>
      </c>
      <c r="C79" s="2">
        <v>123456789</v>
      </c>
      <c r="D79" s="2">
        <v>123456789</v>
      </c>
    </row>
    <row r="80" spans="1:4" x14ac:dyDescent="0.45">
      <c r="A80" t="s">
        <v>213</v>
      </c>
      <c r="B80">
        <f>(LN(rgdp!B80)-LN(rgdp!B79))*100</f>
        <v>0.16487219515806117</v>
      </c>
      <c r="C80" s="2">
        <v>123456789</v>
      </c>
      <c r="D80" s="2">
        <v>123456789</v>
      </c>
    </row>
    <row r="81" spans="1:4" x14ac:dyDescent="0.45">
      <c r="A81" t="s">
        <v>214</v>
      </c>
      <c r="B81">
        <f>(LN(rgdp!B81)-LN(rgdp!B80))*100</f>
        <v>-1.7216695999522358E-2</v>
      </c>
      <c r="C81" s="2">
        <v>123456789</v>
      </c>
      <c r="D81" s="2">
        <v>123456789</v>
      </c>
    </row>
    <row r="82" spans="1:4" x14ac:dyDescent="0.45">
      <c r="A82" t="s">
        <v>215</v>
      </c>
      <c r="B82">
        <f>(LN(rgdp!B82)-LN(rgdp!B81))*100</f>
        <v>0.51521582568234692</v>
      </c>
      <c r="C82" s="2">
        <v>123456789</v>
      </c>
      <c r="D82" s="2">
        <v>123456789</v>
      </c>
    </row>
    <row r="83" spans="1:4" x14ac:dyDescent="0.45">
      <c r="A83" t="s">
        <v>216</v>
      </c>
      <c r="B83">
        <f>(LN(rgdp!B83)-LN(rgdp!B82))*100</f>
        <v>0.66688363982603249</v>
      </c>
      <c r="C83" s="2">
        <v>123456789</v>
      </c>
      <c r="D83" s="2">
        <v>123456789</v>
      </c>
    </row>
    <row r="84" spans="1:4" x14ac:dyDescent="0.45">
      <c r="A84" t="s">
        <v>217</v>
      </c>
      <c r="B84">
        <f>(LN(rgdp!B84)-LN(rgdp!B83))*100</f>
        <v>-1.0965749474607378</v>
      </c>
      <c r="C84" s="2">
        <v>123456789</v>
      </c>
      <c r="D84" s="2">
        <v>123456789</v>
      </c>
    </row>
    <row r="85" spans="1:4" x14ac:dyDescent="0.45">
      <c r="A85" t="s">
        <v>218</v>
      </c>
      <c r="B85">
        <f>(LN(rgdp!B85)-LN(rgdp!B84))*100</f>
        <v>-0.50812915218614307</v>
      </c>
      <c r="C85" s="2">
        <v>123456789</v>
      </c>
      <c r="D85" s="2">
        <v>123456789</v>
      </c>
    </row>
    <row r="86" spans="1:4" x14ac:dyDescent="0.45">
      <c r="A86" t="s">
        <v>219</v>
      </c>
      <c r="B86">
        <f>(LN(rgdp!B86)-LN(rgdp!B85))*100</f>
        <v>-0.49495018212724062</v>
      </c>
      <c r="C86" s="2">
        <v>123456789</v>
      </c>
      <c r="D86" s="2">
        <v>123456789</v>
      </c>
    </row>
    <row r="87" spans="1:4" x14ac:dyDescent="0.45">
      <c r="A87" t="s">
        <v>220</v>
      </c>
      <c r="B87">
        <f>(LN(rgdp!B87)-LN(rgdp!B86))*100</f>
        <v>-0.12090929531964889</v>
      </c>
      <c r="C87" s="2">
        <v>123456789</v>
      </c>
      <c r="D87" s="2">
        <v>123456789</v>
      </c>
    </row>
    <row r="88" spans="1:4" x14ac:dyDescent="0.45">
      <c r="A88" t="s">
        <v>221</v>
      </c>
      <c r="B88">
        <f>(LN(rgdp!B88)-LN(rgdp!B87))*100</f>
        <v>-0.19558310074252461</v>
      </c>
      <c r="C88" s="2">
        <v>123456789</v>
      </c>
      <c r="D88" s="2">
        <v>123456789</v>
      </c>
    </row>
    <row r="89" spans="1:4" x14ac:dyDescent="0.45">
      <c r="A89" t="s">
        <v>222</v>
      </c>
      <c r="B89">
        <f>(LN(rgdp!B89)-LN(rgdp!B88))*100</f>
        <v>0.12837780746988159</v>
      </c>
      <c r="C89" s="2">
        <v>123456789</v>
      </c>
      <c r="D89" s="2">
        <v>123456789</v>
      </c>
    </row>
    <row r="90" spans="1:4" x14ac:dyDescent="0.45">
      <c r="A90" t="s">
        <v>223</v>
      </c>
      <c r="B90">
        <f>(LN(rgdp!B90)-LN(rgdp!B89))*100</f>
        <v>-1.0714180496051995E-2</v>
      </c>
      <c r="C90" s="2">
        <v>123456789</v>
      </c>
      <c r="D90" s="2">
        <v>123456789</v>
      </c>
    </row>
    <row r="91" spans="1:4" x14ac:dyDescent="0.45">
      <c r="A91" t="s">
        <v>224</v>
      </c>
      <c r="B91">
        <f>(LN(rgdp!B91)-LN(rgdp!B90))*100</f>
        <v>-0.1517288259474725</v>
      </c>
      <c r="C91" s="2">
        <v>123456789</v>
      </c>
      <c r="D91" s="2">
        <v>123456789</v>
      </c>
    </row>
    <row r="92" spans="1:4" x14ac:dyDescent="0.45">
      <c r="A92" t="s">
        <v>225</v>
      </c>
      <c r="B92">
        <f>(LN(rgdp!B92)-LN(rgdp!B91))*100</f>
        <v>0.47799600704010459</v>
      </c>
      <c r="C92" s="2">
        <v>123456789</v>
      </c>
      <c r="D92" s="2">
        <v>123456789</v>
      </c>
    </row>
    <row r="93" spans="1:4" x14ac:dyDescent="0.45">
      <c r="A93" t="s">
        <v>226</v>
      </c>
      <c r="B93">
        <f>(LN(rgdp!B93)-LN(rgdp!B92))*100</f>
        <v>0.76627300757703409</v>
      </c>
      <c r="C93" s="2">
        <v>123456789</v>
      </c>
      <c r="D93" s="2">
        <v>123456789</v>
      </c>
    </row>
    <row r="94" spans="1:4" x14ac:dyDescent="0.45">
      <c r="A94" t="s">
        <v>227</v>
      </c>
      <c r="B94">
        <f>(LN(rgdp!B94)-LN(rgdp!B93))*100</f>
        <v>0.51586556045801757</v>
      </c>
      <c r="C94" s="2">
        <v>123456789</v>
      </c>
      <c r="D94" s="2">
        <v>123456789</v>
      </c>
    </row>
    <row r="95" spans="1:4" x14ac:dyDescent="0.45">
      <c r="A95" t="s">
        <v>228</v>
      </c>
      <c r="B95">
        <f>(LN(rgdp!B95)-LN(rgdp!B94))*100</f>
        <v>0.4405496233209405</v>
      </c>
      <c r="C95" s="2">
        <v>123456789</v>
      </c>
      <c r="D95" s="2">
        <v>123456789</v>
      </c>
    </row>
    <row r="96" spans="1:4" x14ac:dyDescent="0.45">
      <c r="A96" t="s">
        <v>229</v>
      </c>
      <c r="B96">
        <f>(LN(rgdp!B96)-LN(rgdp!B95))*100</f>
        <v>0.9088727334891189</v>
      </c>
      <c r="C96" s="2">
        <v>123456789</v>
      </c>
      <c r="D96" s="2">
        <v>123456789</v>
      </c>
    </row>
    <row r="97" spans="1:4" x14ac:dyDescent="0.45">
      <c r="A97" t="s">
        <v>230</v>
      </c>
      <c r="B97">
        <f>(LN(rgdp!B97)-LN(rgdp!B96))*100</f>
        <v>0.67879280987064305</v>
      </c>
      <c r="C97" s="2">
        <v>123456789</v>
      </c>
      <c r="D97" s="2">
        <v>123456789</v>
      </c>
    </row>
    <row r="98" spans="1:4" x14ac:dyDescent="0.45">
      <c r="A98" t="s">
        <v>231</v>
      </c>
      <c r="B98">
        <f>(LN(rgdp!B98)-LN(rgdp!B97))*100</f>
        <v>0.99799201162227291</v>
      </c>
      <c r="C98" s="2">
        <v>123456789</v>
      </c>
      <c r="D98" s="2">
        <v>123456789</v>
      </c>
    </row>
    <row r="99" spans="1:4" x14ac:dyDescent="0.45">
      <c r="A99" t="s">
        <v>232</v>
      </c>
      <c r="B99">
        <f>(LN(rgdp!B99)-LN(rgdp!B98))*100</f>
        <v>0.90681286455058796</v>
      </c>
      <c r="C99" s="2">
        <v>123456789</v>
      </c>
      <c r="D99" s="2">
        <v>123456789</v>
      </c>
    </row>
    <row r="100" spans="1:4" x14ac:dyDescent="0.45">
      <c r="A100" t="s">
        <v>233</v>
      </c>
      <c r="B100">
        <f>(LN(rgdp!B100)-LN(rgdp!B99))*100</f>
        <v>1.0030923011875359</v>
      </c>
      <c r="C100" s="2">
        <v>123456789</v>
      </c>
      <c r="D100" s="2">
        <v>123456789</v>
      </c>
    </row>
    <row r="101" spans="1:4" x14ac:dyDescent="0.45">
      <c r="A101" t="s">
        <v>234</v>
      </c>
      <c r="B101">
        <f>(LN(rgdp!B101)-LN(rgdp!B100))*100</f>
        <v>0.42886983722514316</v>
      </c>
      <c r="C101" s="2">
        <v>123456789</v>
      </c>
      <c r="D101" s="2">
        <v>123456789</v>
      </c>
    </row>
    <row r="102" spans="1:4" x14ac:dyDescent="0.45">
      <c r="A102" t="s">
        <v>235</v>
      </c>
      <c r="B102">
        <f>(LN(rgdp!B102)-LN(rgdp!B101))*100</f>
        <v>0.52599636141987816</v>
      </c>
      <c r="C102" s="2">
        <v>123456789</v>
      </c>
      <c r="D102" s="2">
        <v>123456789</v>
      </c>
    </row>
    <row r="103" spans="1:4" x14ac:dyDescent="0.45">
      <c r="A103" t="s">
        <v>236</v>
      </c>
      <c r="B103">
        <f>(LN(rgdp!B103)-LN(rgdp!B102))*100</f>
        <v>0.21572678350327834</v>
      </c>
      <c r="C103" s="2">
        <v>123456789</v>
      </c>
      <c r="D103" s="2">
        <v>123456789</v>
      </c>
    </row>
    <row r="104" spans="1:4" x14ac:dyDescent="0.45">
      <c r="A104" t="s">
        <v>237</v>
      </c>
      <c r="B104">
        <f>(LN(rgdp!B104)-LN(rgdp!B103))*100</f>
        <v>1.1185561735835847</v>
      </c>
      <c r="C104" s="2">
        <v>123456789</v>
      </c>
      <c r="D104" s="2">
        <v>123456789</v>
      </c>
    </row>
    <row r="105" spans="1:4" x14ac:dyDescent="0.45">
      <c r="A105" t="s">
        <v>238</v>
      </c>
      <c r="B105">
        <f>(LN(rgdp!B105)-LN(rgdp!B104))*100</f>
        <v>0.3273245207301656</v>
      </c>
      <c r="C105" s="2">
        <v>123456789</v>
      </c>
      <c r="D105" s="2">
        <v>123456789</v>
      </c>
    </row>
    <row r="106" spans="1:4" x14ac:dyDescent="0.45">
      <c r="A106" t="s">
        <v>239</v>
      </c>
      <c r="B106">
        <f>(LN(rgdp!B106)-LN(rgdp!B105))*100</f>
        <v>0.7038903621873871</v>
      </c>
      <c r="C106" s="2">
        <v>123456789</v>
      </c>
      <c r="D106" s="2">
        <v>123456789</v>
      </c>
    </row>
    <row r="107" spans="1:4" x14ac:dyDescent="0.45">
      <c r="A107" t="s">
        <v>240</v>
      </c>
      <c r="B107">
        <f>(LN(rgdp!B107)-LN(rgdp!B106))*100</f>
        <v>0.31574624552561659</v>
      </c>
      <c r="C107" s="2">
        <v>123456789</v>
      </c>
      <c r="D107" s="2">
        <v>123456789</v>
      </c>
    </row>
    <row r="108" spans="1:4" x14ac:dyDescent="0.45">
      <c r="A108" t="s">
        <v>241</v>
      </c>
      <c r="B108">
        <f>(LN(rgdp!B108)-LN(rgdp!B107))*100</f>
        <v>0.88975758725666765</v>
      </c>
      <c r="C108" s="2">
        <v>123456789</v>
      </c>
      <c r="D108" s="2">
        <v>123456789</v>
      </c>
    </row>
    <row r="109" spans="1:4" x14ac:dyDescent="0.45">
      <c r="A109" t="s">
        <v>242</v>
      </c>
      <c r="B109">
        <f>(LN(rgdp!B109)-LN(rgdp!B108))*100</f>
        <v>1.338660246340595</v>
      </c>
      <c r="C109" s="2">
        <v>123456789</v>
      </c>
      <c r="D109" s="2">
        <v>123456789</v>
      </c>
    </row>
    <row r="110" spans="1:4" x14ac:dyDescent="0.45">
      <c r="A110" t="s">
        <v>243</v>
      </c>
      <c r="B110">
        <f>(LN(rgdp!B110)-LN(rgdp!B109))*100</f>
        <v>1.5912416749408465</v>
      </c>
      <c r="C110" s="2">
        <v>123456789</v>
      </c>
      <c r="D110" s="2">
        <v>123456789</v>
      </c>
    </row>
    <row r="111" spans="1:4" x14ac:dyDescent="0.45">
      <c r="A111" t="s">
        <v>244</v>
      </c>
      <c r="B111">
        <f>(LN(rgdp!B111)-LN(rgdp!B110))*100</f>
        <v>1.1072150832614369</v>
      </c>
      <c r="C111" s="2">
        <v>123456789</v>
      </c>
      <c r="D111" s="2">
        <v>123456789</v>
      </c>
    </row>
    <row r="112" spans="1:4" x14ac:dyDescent="0.45">
      <c r="A112" t="s">
        <v>245</v>
      </c>
      <c r="B112">
        <f>(LN(rgdp!B112)-LN(rgdp!B111))*100</f>
        <v>0.89442404644479723</v>
      </c>
      <c r="C112" s="2">
        <v>123456789</v>
      </c>
      <c r="D112" s="2">
        <v>123456789</v>
      </c>
    </row>
    <row r="113" spans="1:4" x14ac:dyDescent="0.45">
      <c r="A113" t="s">
        <v>246</v>
      </c>
      <c r="B113">
        <f>(LN(rgdp!B113)-LN(rgdp!B112))*100</f>
        <v>1.4592844836768037</v>
      </c>
      <c r="C113" s="2">
        <v>123456789</v>
      </c>
      <c r="D113" s="2">
        <v>123456789</v>
      </c>
    </row>
    <row r="114" spans="1:4" x14ac:dyDescent="0.45">
      <c r="A114" t="s">
        <v>247</v>
      </c>
      <c r="B114">
        <f>(LN(rgdp!B114)-LN(rgdp!B113))*100</f>
        <v>0.71101288942543306</v>
      </c>
      <c r="C114" s="2">
        <v>123456789</v>
      </c>
      <c r="D114" s="2">
        <v>123456789</v>
      </c>
    </row>
    <row r="115" spans="1:4" x14ac:dyDescent="0.45">
      <c r="A115" t="s">
        <v>248</v>
      </c>
      <c r="B115">
        <f>(LN(rgdp!B115)-LN(rgdp!B114))*100</f>
        <v>0.57460926650136912</v>
      </c>
      <c r="C115" s="2">
        <v>123456789</v>
      </c>
      <c r="D115" s="2">
        <v>123456789</v>
      </c>
    </row>
    <row r="116" spans="1:4" x14ac:dyDescent="0.45">
      <c r="A116" t="s">
        <v>249</v>
      </c>
      <c r="B116">
        <f>(LN(rgdp!B116)-LN(rgdp!B115))*100</f>
        <v>0.15821646998368522</v>
      </c>
      <c r="C116" s="2">
        <v>123456789</v>
      </c>
      <c r="D116" s="2">
        <v>123456789</v>
      </c>
    </row>
    <row r="117" spans="1:4" x14ac:dyDescent="0.45">
      <c r="A117" t="s">
        <v>250</v>
      </c>
      <c r="B117">
        <f>(LN(rgdp!B117)-LN(rgdp!B116))*100</f>
        <v>0.64799959768340187</v>
      </c>
      <c r="C117" s="2">
        <v>123456789</v>
      </c>
      <c r="D117" s="2">
        <v>123456789</v>
      </c>
    </row>
    <row r="118" spans="1:4" x14ac:dyDescent="0.45">
      <c r="A118" t="s">
        <v>251</v>
      </c>
      <c r="B118">
        <f>(LN(rgdp!B118)-LN(rgdp!B117))*100</f>
        <v>0.68212444545423523</v>
      </c>
      <c r="C118" s="2">
        <v>123456789</v>
      </c>
      <c r="D118" s="2">
        <v>123456789</v>
      </c>
    </row>
    <row r="119" spans="1:4" x14ac:dyDescent="0.45">
      <c r="A119" t="s">
        <v>252</v>
      </c>
      <c r="B119">
        <f>(LN(rgdp!B119)-LN(rgdp!B118))*100</f>
        <v>0.36385357596167012</v>
      </c>
      <c r="C119" s="2">
        <v>123456789</v>
      </c>
      <c r="D119" s="2">
        <v>123456789</v>
      </c>
    </row>
    <row r="120" spans="1:4" x14ac:dyDescent="0.45">
      <c r="A120" t="s">
        <v>253</v>
      </c>
      <c r="B120">
        <f>(LN(rgdp!B120)-LN(rgdp!B119))*100</f>
        <v>1.6597559470776346</v>
      </c>
      <c r="C120" s="2">
        <v>123456789</v>
      </c>
      <c r="D120" s="2">
        <v>123456789</v>
      </c>
    </row>
    <row r="121" spans="1:4" x14ac:dyDescent="0.45">
      <c r="A121" t="s">
        <v>254</v>
      </c>
      <c r="B121">
        <f>(LN(rgdp!B121)-LN(rgdp!B120))*100</f>
        <v>1.5963686054993431</v>
      </c>
      <c r="C121" s="2">
        <v>123456789</v>
      </c>
      <c r="D121" s="2">
        <v>123456789</v>
      </c>
    </row>
    <row r="122" spans="1:4" x14ac:dyDescent="0.45">
      <c r="A122" t="s">
        <v>255</v>
      </c>
      <c r="B122">
        <f>(LN(rgdp!B122)-LN(rgdp!B121))*100</f>
        <v>1.3248225430102067</v>
      </c>
      <c r="C122" s="2">
        <v>123456789</v>
      </c>
      <c r="D122" s="2">
        <v>123456789</v>
      </c>
    </row>
    <row r="123" spans="1:4" x14ac:dyDescent="0.45">
      <c r="A123" t="s">
        <v>256</v>
      </c>
      <c r="B123">
        <f>(LN(rgdp!B123)-LN(rgdp!B122))*100</f>
        <v>0.7179317970706478</v>
      </c>
      <c r="C123" s="2">
        <v>123456789</v>
      </c>
      <c r="D123" s="2">
        <v>123456789</v>
      </c>
    </row>
    <row r="124" spans="1:4" x14ac:dyDescent="0.45">
      <c r="A124" t="s">
        <v>257</v>
      </c>
      <c r="B124">
        <f>(LN(rgdp!B124)-LN(rgdp!B123))*100</f>
        <v>0.60703749985098199</v>
      </c>
      <c r="C124" s="2">
        <v>123456789</v>
      </c>
      <c r="D124" s="2">
        <v>123456789</v>
      </c>
    </row>
    <row r="125" spans="1:4" x14ac:dyDescent="0.45">
      <c r="A125" t="s">
        <v>258</v>
      </c>
      <c r="B125">
        <f>(LN(rgdp!B125)-LN(rgdp!B124))*100</f>
        <v>0.59193532691530493</v>
      </c>
      <c r="C125" s="2">
        <v>123456789</v>
      </c>
      <c r="D125" s="2">
        <v>123456789</v>
      </c>
    </row>
    <row r="126" spans="1:4" x14ac:dyDescent="0.45">
      <c r="A126" t="s">
        <v>259</v>
      </c>
      <c r="B126">
        <f>(LN(rgdp!B126)-LN(rgdp!B125))*100</f>
        <v>0.82781037093333509</v>
      </c>
      <c r="C126" s="2">
        <v>123456789</v>
      </c>
      <c r="D126" s="2">
        <v>123456789</v>
      </c>
    </row>
    <row r="127" spans="1:4" x14ac:dyDescent="0.45">
      <c r="A127" t="s">
        <v>260</v>
      </c>
      <c r="B127">
        <f>(LN(rgdp!B127)-LN(rgdp!B126))*100</f>
        <v>0.40983622490617932</v>
      </c>
      <c r="C127" s="2">
        <v>123456789</v>
      </c>
      <c r="D127" s="2">
        <v>123456789</v>
      </c>
    </row>
    <row r="128" spans="1:4" x14ac:dyDescent="0.45">
      <c r="A128" t="s">
        <v>261</v>
      </c>
      <c r="B128">
        <f>(LN(rgdp!B128)-LN(rgdp!B127))*100</f>
        <v>0.47023860228119219</v>
      </c>
      <c r="C128" s="2">
        <v>123456789</v>
      </c>
      <c r="D128" s="2">
        <v>123456789</v>
      </c>
    </row>
    <row r="129" spans="1:4" x14ac:dyDescent="0.45">
      <c r="A129" t="s">
        <v>262</v>
      </c>
      <c r="B129">
        <f>(LN(rgdp!B129)-LN(rgdp!B128))*100</f>
        <v>0.26874835672909825</v>
      </c>
      <c r="C129" s="2">
        <v>123456789</v>
      </c>
      <c r="D129" s="2">
        <v>123456789</v>
      </c>
    </row>
    <row r="130" spans="1:4" x14ac:dyDescent="0.45">
      <c r="A130" t="s">
        <v>263</v>
      </c>
      <c r="B130">
        <f>(LN(rgdp!B130)-LN(rgdp!B129))*100</f>
        <v>0.30317840339897373</v>
      </c>
      <c r="C130" s="2">
        <v>123456789</v>
      </c>
      <c r="D130" s="2">
        <v>123456789</v>
      </c>
    </row>
    <row r="131" spans="1:4" x14ac:dyDescent="0.45">
      <c r="A131" t="s">
        <v>264</v>
      </c>
      <c r="B131">
        <f>(LN(rgdp!B131)-LN(rgdp!B130))*100</f>
        <v>0.5255795900410476</v>
      </c>
      <c r="C131" s="2">
        <v>123456789</v>
      </c>
      <c r="D131" s="2">
        <v>123456789</v>
      </c>
    </row>
    <row r="132" spans="1:4" x14ac:dyDescent="0.45">
      <c r="A132" t="s">
        <v>265</v>
      </c>
      <c r="B132">
        <f>(LN(rgdp!B132)-LN(rgdp!B131))*100</f>
        <v>0.58485895344055905</v>
      </c>
      <c r="C132" s="2">
        <v>123456789</v>
      </c>
      <c r="D132" s="2">
        <v>123456789</v>
      </c>
    </row>
    <row r="133" spans="1:4" x14ac:dyDescent="0.45">
      <c r="A133" t="s">
        <v>266</v>
      </c>
      <c r="B133">
        <f>(LN(rgdp!B133)-LN(rgdp!B132))*100</f>
        <v>0.65780257939636044</v>
      </c>
      <c r="C133" s="2">
        <v>123456789</v>
      </c>
      <c r="D133" s="2">
        <v>123456789</v>
      </c>
    </row>
    <row r="134" spans="1:4" x14ac:dyDescent="0.45">
      <c r="A134" t="s">
        <v>267</v>
      </c>
      <c r="B134">
        <f>(LN(rgdp!B134)-LN(rgdp!B133))*100</f>
        <v>0.8406324808332144</v>
      </c>
      <c r="C134" s="2">
        <v>123456789</v>
      </c>
      <c r="D134" s="2">
        <v>123456789</v>
      </c>
    </row>
    <row r="135" spans="1:4" x14ac:dyDescent="0.45">
      <c r="A135" t="s">
        <v>268</v>
      </c>
      <c r="B135">
        <f>(LN(rgdp!B135)-LN(rgdp!B134))*100</f>
        <v>0.92387325644143203</v>
      </c>
      <c r="C135" s="2">
        <v>123456789</v>
      </c>
      <c r="D135" s="2">
        <v>123456789</v>
      </c>
    </row>
    <row r="136" spans="1:4" x14ac:dyDescent="0.45">
      <c r="A136" t="s">
        <v>269</v>
      </c>
      <c r="B136">
        <f>(LN(rgdp!B136)-LN(rgdp!B135))*100</f>
        <v>1.0375782791598454</v>
      </c>
      <c r="C136" s="2">
        <v>123456789</v>
      </c>
      <c r="D136" s="2">
        <v>123456789</v>
      </c>
    </row>
    <row r="137" spans="1:4" x14ac:dyDescent="0.45">
      <c r="A137" t="s">
        <v>270</v>
      </c>
      <c r="B137">
        <f>(LN(rgdp!B137)-LN(rgdp!B136))*100</f>
        <v>0.78040704551902706</v>
      </c>
      <c r="C137" s="2">
        <v>123456789</v>
      </c>
      <c r="D137" s="2">
        <v>123456789</v>
      </c>
    </row>
    <row r="138" spans="1:4" x14ac:dyDescent="0.45">
      <c r="A138" t="s">
        <v>271</v>
      </c>
      <c r="B138">
        <f>(LN(rgdp!B138)-LN(rgdp!B137))*100</f>
        <v>0.31672986161144223</v>
      </c>
      <c r="C138" s="2">
        <v>123456789</v>
      </c>
      <c r="D138" s="2">
        <v>123456789</v>
      </c>
    </row>
    <row r="139" spans="1:4" x14ac:dyDescent="0.45">
      <c r="A139" t="s">
        <v>272</v>
      </c>
      <c r="B139">
        <f>(LN(rgdp!B139)-LN(rgdp!B138))*100</f>
        <v>0.47941861492120097</v>
      </c>
      <c r="C139" s="2">
        <v>123456789</v>
      </c>
      <c r="D139" s="2">
        <v>123456789</v>
      </c>
    </row>
    <row r="140" spans="1:4" x14ac:dyDescent="0.45">
      <c r="A140" t="s">
        <v>273</v>
      </c>
      <c r="B140">
        <f>(LN(rgdp!B140)-LN(rgdp!B139))*100</f>
        <v>0.35689219598484812</v>
      </c>
      <c r="C140" s="2">
        <v>123456789</v>
      </c>
      <c r="D140" s="2">
        <v>123456789</v>
      </c>
    </row>
    <row r="141" spans="1:4" x14ac:dyDescent="0.45">
      <c r="A141" t="s">
        <v>274</v>
      </c>
      <c r="B141">
        <f>(LN(rgdp!B141)-LN(rgdp!B140))*100</f>
        <v>0.455321401231501</v>
      </c>
      <c r="C141" s="2">
        <v>123456789</v>
      </c>
      <c r="D141" s="2">
        <v>123456789</v>
      </c>
    </row>
    <row r="142" spans="1:4" x14ac:dyDescent="0.45">
      <c r="A142" t="s">
        <v>275</v>
      </c>
      <c r="B142">
        <f>(LN(rgdp!B142)-LN(rgdp!B141))*100</f>
        <v>0.76852520453272177</v>
      </c>
      <c r="C142" s="2">
        <v>123456789</v>
      </c>
      <c r="D142" s="2">
        <v>123456789</v>
      </c>
    </row>
    <row r="143" spans="1:4" x14ac:dyDescent="0.45">
      <c r="A143" t="s">
        <v>276</v>
      </c>
      <c r="B143">
        <f>(LN(rgdp!B143)-LN(rgdp!B142))*100</f>
        <v>0.82867656634011411</v>
      </c>
      <c r="C143" s="2">
        <v>123456789</v>
      </c>
      <c r="D143" s="2">
        <v>123456789</v>
      </c>
    </row>
    <row r="144" spans="1:4" x14ac:dyDescent="0.45">
      <c r="A144" t="s">
        <v>277</v>
      </c>
      <c r="B144">
        <f>(LN(rgdp!B144)-LN(rgdp!B143))*100</f>
        <v>0.91636121059259779</v>
      </c>
      <c r="C144" s="2">
        <v>123456789</v>
      </c>
      <c r="D144" s="2">
        <v>123456789</v>
      </c>
    </row>
    <row r="145" spans="1:4" x14ac:dyDescent="0.45">
      <c r="A145" t="s">
        <v>278</v>
      </c>
      <c r="B145">
        <f>(LN(rgdp!B145)-LN(rgdp!B144))*100</f>
        <v>1.0406079105353072</v>
      </c>
      <c r="C145" s="2">
        <v>123456789</v>
      </c>
      <c r="D145" s="2">
        <v>123456789</v>
      </c>
    </row>
    <row r="146" spans="1:4" x14ac:dyDescent="0.45">
      <c r="A146" t="s">
        <v>279</v>
      </c>
      <c r="B146">
        <f>(LN(rgdp!B146)-LN(rgdp!B145))*100</f>
        <v>0.35940377366028287</v>
      </c>
      <c r="C146" s="2">
        <v>123456789</v>
      </c>
      <c r="D146" s="2">
        <v>123456789</v>
      </c>
    </row>
    <row r="147" spans="1:4" x14ac:dyDescent="0.45">
      <c r="A147" t="s">
        <v>280</v>
      </c>
      <c r="B147">
        <f>(LN(rgdp!B147)-LN(rgdp!B146))*100</f>
        <v>0.26491171542595282</v>
      </c>
      <c r="C147" s="2">
        <v>123456789</v>
      </c>
      <c r="D147" s="2">
        <v>123456789</v>
      </c>
    </row>
    <row r="148" spans="1:4" x14ac:dyDescent="0.45">
      <c r="A148" t="s">
        <v>281</v>
      </c>
      <c r="B148">
        <f>(LN(rgdp!B148)-LN(rgdp!B147))*100</f>
        <v>0.15707697322309144</v>
      </c>
      <c r="C148" s="2">
        <v>123456789</v>
      </c>
      <c r="D148" s="2">
        <v>123456789</v>
      </c>
    </row>
    <row r="149" spans="1:4" x14ac:dyDescent="0.45">
      <c r="A149" t="s">
        <v>282</v>
      </c>
      <c r="B149">
        <f>(LN(rgdp!B149)-LN(rgdp!B148))*100</f>
        <v>0.35501183862720609</v>
      </c>
      <c r="C149" s="2">
        <v>123456789</v>
      </c>
      <c r="D149" s="2">
        <v>123456789</v>
      </c>
    </row>
    <row r="150" spans="1:4" x14ac:dyDescent="0.45">
      <c r="A150" t="s">
        <v>283</v>
      </c>
      <c r="B150">
        <f>(LN(rgdp!B150)-LN(rgdp!B149))*100</f>
        <v>1.0916455885114473</v>
      </c>
      <c r="C150" s="2">
        <v>123456789</v>
      </c>
      <c r="D150" s="2">
        <v>123456789</v>
      </c>
    </row>
    <row r="151" spans="1:4" x14ac:dyDescent="0.45">
      <c r="A151" t="s">
        <v>284</v>
      </c>
      <c r="B151">
        <f>(LN(rgdp!B151)-LN(rgdp!B150))*100</f>
        <v>0.93593290278359831</v>
      </c>
      <c r="C151" s="2">
        <v>123456789</v>
      </c>
      <c r="D151" s="2">
        <v>123456789</v>
      </c>
    </row>
    <row r="152" spans="1:4" x14ac:dyDescent="0.45">
      <c r="A152" t="s">
        <v>285</v>
      </c>
      <c r="B152">
        <f>(LN(rgdp!B152)-LN(rgdp!B151))*100</f>
        <v>0.93795187368037602</v>
      </c>
      <c r="C152" s="2">
        <v>123456789</v>
      </c>
      <c r="D152" s="2">
        <v>123456789</v>
      </c>
    </row>
    <row r="153" spans="1:4" x14ac:dyDescent="0.45">
      <c r="A153" t="s">
        <v>286</v>
      </c>
      <c r="B153">
        <f>(LN(rgdp!B153)-LN(rgdp!B152))*100</f>
        <v>0.84167872962730428</v>
      </c>
      <c r="C153" s="2">
        <v>123456789</v>
      </c>
      <c r="D153" s="2">
        <v>123456789</v>
      </c>
    </row>
    <row r="154" spans="1:4" x14ac:dyDescent="0.45">
      <c r="A154" t="s">
        <v>287</v>
      </c>
      <c r="B154">
        <f>(LN(rgdp!B154)-LN(rgdp!B153))*100</f>
        <v>0.37329469557949579</v>
      </c>
      <c r="C154" s="2">
        <v>123456789</v>
      </c>
      <c r="D154" s="2">
        <v>123456789</v>
      </c>
    </row>
    <row r="155" spans="1:4" x14ac:dyDescent="0.45">
      <c r="A155" t="s">
        <v>288</v>
      </c>
      <c r="B155">
        <f>(LN(rgdp!B155)-LN(rgdp!B154))*100</f>
        <v>-0.53818564039627148</v>
      </c>
      <c r="C155" s="2">
        <v>123456789</v>
      </c>
      <c r="D155" s="2">
        <v>123456789</v>
      </c>
    </row>
    <row r="156" spans="1:4" x14ac:dyDescent="0.45">
      <c r="A156" t="s">
        <v>289</v>
      </c>
      <c r="B156">
        <f>(LN(rgdp!B156)-LN(rgdp!B155))*100</f>
        <v>-1.6553265136105111</v>
      </c>
      <c r="C156" s="2">
        <v>123456789</v>
      </c>
      <c r="D156" s="2">
        <v>123456789</v>
      </c>
    </row>
    <row r="157" spans="1:4" x14ac:dyDescent="0.45">
      <c r="A157" t="s">
        <v>290</v>
      </c>
      <c r="B157">
        <f>(LN(rgdp!B157)-LN(rgdp!B156))*100</f>
        <v>-2.1387055609700667</v>
      </c>
      <c r="C157" s="2">
        <v>123456789</v>
      </c>
      <c r="D157" s="2">
        <v>123456789</v>
      </c>
    </row>
    <row r="158" spans="1:4" x14ac:dyDescent="0.45">
      <c r="A158" t="s">
        <v>291</v>
      </c>
      <c r="B158">
        <f>(LN(rgdp!B158)-LN(rgdp!B157))*100</f>
        <v>-2.0436451940485156</v>
      </c>
      <c r="C158" s="2">
        <v>123456789</v>
      </c>
      <c r="D158" s="2">
        <v>123456789</v>
      </c>
    </row>
    <row r="159" spans="1:4" x14ac:dyDescent="0.45">
      <c r="A159" t="s">
        <v>292</v>
      </c>
      <c r="B159">
        <f>(LN(rgdp!B159)-LN(rgdp!B158))*100</f>
        <v>-0.28963642883823582</v>
      </c>
      <c r="C159" s="2">
        <v>123456789</v>
      </c>
      <c r="D159" s="2">
        <v>123456789</v>
      </c>
    </row>
    <row r="160" spans="1:4" x14ac:dyDescent="0.45">
      <c r="A160" t="s">
        <v>293</v>
      </c>
      <c r="B160">
        <f>(LN(rgdp!B160)-LN(rgdp!B159))*100</f>
        <v>0.12399867211403404</v>
      </c>
      <c r="C160" s="2">
        <v>123456789</v>
      </c>
      <c r="D160" s="2">
        <v>123456789</v>
      </c>
    </row>
    <row r="161" spans="1:4" x14ac:dyDescent="0.45">
      <c r="A161" t="s">
        <v>294</v>
      </c>
      <c r="B161">
        <f>(LN(rgdp!B161)-LN(rgdp!B160))*100</f>
        <v>0.33281528242525837</v>
      </c>
      <c r="C161" s="2">
        <v>123456789</v>
      </c>
      <c r="D161" s="2">
        <v>123456789</v>
      </c>
    </row>
    <row r="162" spans="1:4" x14ac:dyDescent="0.45">
      <c r="A162" t="s">
        <v>295</v>
      </c>
      <c r="B162">
        <f>(LN(rgdp!B162)-LN(rgdp!B161))*100</f>
        <v>0.83621738992114558</v>
      </c>
      <c r="C162" s="2">
        <v>123456789</v>
      </c>
      <c r="D162" s="2">
        <v>123456789</v>
      </c>
    </row>
    <row r="163" spans="1:4" x14ac:dyDescent="0.45">
      <c r="A163" t="s">
        <v>296</v>
      </c>
      <c r="B163">
        <f>(LN(rgdp!B163)-LN(rgdp!B162))*100</f>
        <v>1.1357875225320058</v>
      </c>
      <c r="C163" s="2">
        <v>123456789</v>
      </c>
      <c r="D163" s="2">
        <v>123456789</v>
      </c>
    </row>
    <row r="164" spans="1:4" x14ac:dyDescent="0.45">
      <c r="A164" t="s">
        <v>297</v>
      </c>
      <c r="B164">
        <f>(LN(rgdp!B164)-LN(rgdp!B163))*100</f>
        <v>0.5861656553129535</v>
      </c>
      <c r="C164" s="2">
        <v>123456789</v>
      </c>
      <c r="D164" s="2">
        <v>123456789</v>
      </c>
    </row>
    <row r="165" spans="1:4" x14ac:dyDescent="0.45">
      <c r="A165" t="s">
        <v>298</v>
      </c>
      <c r="B165">
        <f>(LN(rgdp!B165)-LN(rgdp!B164))*100</f>
        <v>5.0547719182603146E-2</v>
      </c>
      <c r="C165" s="2">
        <v>123456789</v>
      </c>
      <c r="D165" s="2">
        <v>123456789</v>
      </c>
    </row>
    <row r="166" spans="1:4" x14ac:dyDescent="0.45">
      <c r="A166" t="s">
        <v>299</v>
      </c>
      <c r="B166">
        <f>(LN(rgdp!B166)-LN(rgdp!B165))*100</f>
        <v>0.16383924118219539</v>
      </c>
      <c r="C166" s="2">
        <v>123456789</v>
      </c>
      <c r="D166" s="2">
        <v>123456789</v>
      </c>
    </row>
    <row r="167" spans="1:4" x14ac:dyDescent="0.45">
      <c r="A167" t="s">
        <v>300</v>
      </c>
      <c r="B167">
        <f>(LN(rgdp!B167)-LN(rgdp!B166))*100</f>
        <v>-4.7994044013499604E-2</v>
      </c>
      <c r="C167" s="2">
        <v>123456789</v>
      </c>
      <c r="D167" s="2">
        <v>123456789</v>
      </c>
    </row>
    <row r="168" spans="1:4" x14ac:dyDescent="0.45">
      <c r="A168" t="s">
        <v>301</v>
      </c>
      <c r="B168">
        <f>(LN(rgdp!B168)-LN(rgdp!B167))*100</f>
        <v>0.17369274160934367</v>
      </c>
      <c r="C168" s="2">
        <v>123456789</v>
      </c>
      <c r="D168" s="2">
        <v>123456789</v>
      </c>
    </row>
    <row r="169" spans="1:4" x14ac:dyDescent="0.45">
      <c r="A169" t="s">
        <v>302</v>
      </c>
      <c r="B169">
        <f>(LN(rgdp!B169)-LN(rgdp!B168))*100</f>
        <v>8.2772568614863928E-2</v>
      </c>
      <c r="C169" s="2">
        <v>123456789</v>
      </c>
      <c r="D169" s="2">
        <v>123456789</v>
      </c>
    </row>
    <row r="170" spans="1:4" x14ac:dyDescent="0.45">
      <c r="A170" t="s">
        <v>303</v>
      </c>
      <c r="B170">
        <f>(LN(rgdp!B170)-LN(rgdp!B169))*100</f>
        <v>0.93914513814716827</v>
      </c>
      <c r="C170" s="2">
        <v>123456789</v>
      </c>
      <c r="D170" s="2">
        <v>123456789</v>
      </c>
    </row>
    <row r="171" spans="1:4" x14ac:dyDescent="0.45">
      <c r="A171" t="s">
        <v>304</v>
      </c>
      <c r="B171">
        <f>(LN(rgdp!B171)-LN(rgdp!B170))*100</f>
        <v>-5.3029669946802471E-2</v>
      </c>
      <c r="C171" s="2">
        <v>123456789</v>
      </c>
      <c r="D171" s="2">
        <v>123456789</v>
      </c>
    </row>
    <row r="172" spans="1:4" x14ac:dyDescent="0.45">
      <c r="A172" t="s">
        <v>305</v>
      </c>
      <c r="B172">
        <f>(LN(rgdp!B172)-LN(rgdp!B171))*100</f>
        <v>1.0309396502854895</v>
      </c>
      <c r="C172" s="2">
        <v>123456789</v>
      </c>
      <c r="D172" s="2">
        <v>123456789</v>
      </c>
    </row>
    <row r="173" spans="1:4" x14ac:dyDescent="0.45">
      <c r="A173" t="s">
        <v>306</v>
      </c>
      <c r="B173">
        <f>(LN(rgdp!B173)-LN(rgdp!B172))*100</f>
        <v>-0.14447847693137561</v>
      </c>
      <c r="C173" s="2">
        <v>123456789</v>
      </c>
      <c r="D173" s="2">
        <v>123456789</v>
      </c>
    </row>
    <row r="174" spans="1:4" x14ac:dyDescent="0.45">
      <c r="A174" t="s">
        <v>307</v>
      </c>
      <c r="B174">
        <f>(LN(rgdp!B174)-LN(rgdp!B173))*100</f>
        <v>0.26494794265730093</v>
      </c>
      <c r="C174" s="2">
        <v>123456789</v>
      </c>
      <c r="D174" s="2">
        <v>123456789</v>
      </c>
    </row>
    <row r="175" spans="1:4" x14ac:dyDescent="0.45">
      <c r="A175" t="s">
        <v>308</v>
      </c>
      <c r="B175">
        <f>(LN(rgdp!B175)-LN(rgdp!B174))*100</f>
        <v>0.66291328711862718</v>
      </c>
      <c r="C175" s="2">
        <v>123456789</v>
      </c>
      <c r="D175" s="2">
        <v>123456789</v>
      </c>
    </row>
    <row r="176" spans="1:4" x14ac:dyDescent="0.45">
      <c r="A176" t="s">
        <v>309</v>
      </c>
      <c r="B176">
        <f>(LN(rgdp!B176)-LN(rgdp!B175))*100</f>
        <v>0.76318071231007423</v>
      </c>
      <c r="C176" s="2">
        <v>123456789</v>
      </c>
      <c r="D176" s="2">
        <v>123456789</v>
      </c>
    </row>
    <row r="177" spans="1:4" x14ac:dyDescent="0.45">
      <c r="A177" t="s">
        <v>310</v>
      </c>
      <c r="B177">
        <f>(LN(rgdp!B177)-LN(rgdp!B176))*100</f>
        <v>0.6572737915266913</v>
      </c>
      <c r="C177" s="2">
        <v>123456789</v>
      </c>
      <c r="D177" s="2">
        <v>123456789</v>
      </c>
    </row>
    <row r="178" spans="1:4" x14ac:dyDescent="0.45">
      <c r="A178" t="s">
        <v>311</v>
      </c>
      <c r="B178">
        <f>(LN(rgdp!B178)-LN(rgdp!B177))*100</f>
        <v>0.79788418071604639</v>
      </c>
      <c r="C178" s="2">
        <v>123456789</v>
      </c>
      <c r="D178" s="2">
        <v>123456789</v>
      </c>
    </row>
    <row r="179" spans="1:4" x14ac:dyDescent="0.45">
      <c r="A179" t="s">
        <v>312</v>
      </c>
      <c r="B179">
        <f>(LN(rgdp!B179)-LN(rgdp!B178))*100</f>
        <v>0.93644919641437951</v>
      </c>
      <c r="C179" s="2">
        <v>123456789</v>
      </c>
      <c r="D179" s="2">
        <v>123456789</v>
      </c>
    </row>
    <row r="180" spans="1:4" x14ac:dyDescent="0.45">
      <c r="A180" t="s">
        <v>313</v>
      </c>
      <c r="B180">
        <f>(LN(rgdp!B180)-LN(rgdp!B179))*100</f>
        <v>0.81073726683094094</v>
      </c>
      <c r="C180" s="2">
        <v>123456789</v>
      </c>
      <c r="D180" s="2">
        <v>123456789</v>
      </c>
    </row>
    <row r="181" spans="1:4" x14ac:dyDescent="0.45">
      <c r="A181" t="s">
        <v>314</v>
      </c>
      <c r="B181">
        <f>(LN(rgdp!B181)-LN(rgdp!B180))*100</f>
        <v>0.65773242281235156</v>
      </c>
      <c r="C181" s="2">
        <v>123456789</v>
      </c>
      <c r="D181" s="2">
        <v>123456789</v>
      </c>
    </row>
    <row r="182" spans="1:4" x14ac:dyDescent="0.45">
      <c r="A182" t="s">
        <v>315</v>
      </c>
      <c r="B182">
        <f>(LN(rgdp!B182)-LN(rgdp!B181))*100</f>
        <v>0.30319488453880439</v>
      </c>
      <c r="C182" s="2">
        <v>123456789</v>
      </c>
      <c r="D182" s="2">
        <v>123456789</v>
      </c>
    </row>
    <row r="183" spans="1:4" x14ac:dyDescent="0.45">
      <c r="A183" t="s">
        <v>316</v>
      </c>
      <c r="B183">
        <f>(LN(rgdp!B183)-LN(rgdp!B182))*100</f>
        <v>0.45551121887097423</v>
      </c>
      <c r="C183" s="2">
        <v>123456789</v>
      </c>
      <c r="D183" s="2">
        <v>123456789</v>
      </c>
    </row>
    <row r="184" spans="1:4" x14ac:dyDescent="0.45">
      <c r="A184" t="s">
        <v>317</v>
      </c>
      <c r="B184">
        <f>(LN(rgdp!B184)-LN(rgdp!B183))*100</f>
        <v>0.38699124089323078</v>
      </c>
      <c r="C184" s="2">
        <v>123456789</v>
      </c>
      <c r="D184" s="2">
        <v>123456789</v>
      </c>
    </row>
    <row r="185" spans="1:4" x14ac:dyDescent="0.45">
      <c r="A185" t="s">
        <v>318</v>
      </c>
      <c r="B185">
        <f>(LN(rgdp!B185)-LN(rgdp!B184))*100</f>
        <v>0.59747111973429412</v>
      </c>
      <c r="C185" s="2">
        <v>123456789</v>
      </c>
      <c r="D185" s="2">
        <v>123456789</v>
      </c>
    </row>
    <row r="186" spans="1:4" x14ac:dyDescent="0.45">
      <c r="A186" t="s">
        <v>319</v>
      </c>
      <c r="B186">
        <f>(LN(rgdp!B186)-LN(rgdp!B185))*100</f>
        <v>0.50213927220443821</v>
      </c>
      <c r="C186" s="2">
        <v>123456789</v>
      </c>
      <c r="D186" s="2">
        <v>123456789</v>
      </c>
    </row>
    <row r="187" spans="1:4" x14ac:dyDescent="0.45">
      <c r="A187" t="s">
        <v>320</v>
      </c>
      <c r="B187">
        <f>(LN(rgdp!B187)-LN(rgdp!B186))*100</f>
        <v>0.73287141174862569</v>
      </c>
      <c r="C187" s="2">
        <v>123456789</v>
      </c>
      <c r="D187" s="2">
        <v>123456789</v>
      </c>
    </row>
    <row r="188" spans="1:4" x14ac:dyDescent="0.45">
      <c r="A188" t="s">
        <v>321</v>
      </c>
      <c r="B188">
        <f>(LN(rgdp!B188)-LN(rgdp!B187))*100</f>
        <v>0.44051049942055442</v>
      </c>
      <c r="C188" s="2">
        <v>123456789</v>
      </c>
      <c r="D188" s="2">
        <v>123456789</v>
      </c>
    </row>
    <row r="189" spans="1:4" x14ac:dyDescent="0.45">
      <c r="A189" t="s">
        <v>322</v>
      </c>
      <c r="B189">
        <f>(LN(rgdp!B189)-LN(rgdp!B188))*100</f>
        <v>0.61708693702353656</v>
      </c>
      <c r="C189" s="2">
        <v>123456789</v>
      </c>
      <c r="D189" s="2">
        <v>123456789</v>
      </c>
    </row>
    <row r="190" spans="1:4" x14ac:dyDescent="0.45">
      <c r="A190" t="s">
        <v>323</v>
      </c>
      <c r="B190">
        <f>(LN(rgdp!B190)-LN(rgdp!B189))*100</f>
        <v>0.94945018881364973</v>
      </c>
      <c r="C190" s="2">
        <v>123456789</v>
      </c>
      <c r="D190" s="2">
        <v>123456789</v>
      </c>
    </row>
    <row r="191" spans="1:4" x14ac:dyDescent="0.45">
      <c r="A191" t="s">
        <v>324</v>
      </c>
      <c r="B191">
        <f>(LN(rgdp!B191)-LN(rgdp!B190))*100</f>
        <v>0.84950453022756278</v>
      </c>
      <c r="C191" s="2">
        <v>123456789</v>
      </c>
      <c r="D191" s="2">
        <v>123456789</v>
      </c>
    </row>
    <row r="192" spans="1:4" x14ac:dyDescent="0.45">
      <c r="A192" t="s">
        <v>325</v>
      </c>
      <c r="B192">
        <f>(LN(rgdp!B192)-LN(rgdp!B191))*100</f>
        <v>0.67447630204728881</v>
      </c>
      <c r="C192" s="2">
        <v>123456789</v>
      </c>
      <c r="D192" s="2">
        <v>123456789</v>
      </c>
    </row>
    <row r="193" spans="1:4" x14ac:dyDescent="0.45">
      <c r="A193" t="s">
        <v>326</v>
      </c>
      <c r="B193">
        <f>(LN(rgdp!B193)-LN(rgdp!B192))*100</f>
        <v>0.74773897247659704</v>
      </c>
      <c r="C193" s="2">
        <v>123456789</v>
      </c>
      <c r="D193" s="2">
        <v>123456789</v>
      </c>
    </row>
    <row r="194" spans="1:4" x14ac:dyDescent="0.45">
      <c r="A194" t="s">
        <v>327</v>
      </c>
      <c r="B194">
        <f>(LN(rgdp!B194)-LN(rgdp!B193))*100</f>
        <v>7.8481120650231162E-2</v>
      </c>
      <c r="C194" s="2">
        <v>123456789</v>
      </c>
      <c r="D194" s="2">
        <v>123456789</v>
      </c>
    </row>
    <row r="195" spans="1:4" x14ac:dyDescent="0.45">
      <c r="A195" t="s">
        <v>328</v>
      </c>
      <c r="B195">
        <f>(LN(rgdp!B195)-LN(rgdp!B194))*100</f>
        <v>0.21732651484605015</v>
      </c>
      <c r="C195" s="2">
        <v>123456789</v>
      </c>
      <c r="D195" s="2">
        <v>123456789</v>
      </c>
    </row>
    <row r="196" spans="1:4" x14ac:dyDescent="0.45">
      <c r="A196" t="s">
        <v>329</v>
      </c>
      <c r="B196">
        <f>(LN(rgdp!B196)-LN(rgdp!B195))*100</f>
        <v>0.31656284908745391</v>
      </c>
      <c r="C196" s="2">
        <v>123456789</v>
      </c>
      <c r="D196" s="2">
        <v>123456789</v>
      </c>
    </row>
    <row r="197" spans="1:4" x14ac:dyDescent="0.45">
      <c r="A197" t="s">
        <v>330</v>
      </c>
      <c r="B197">
        <f>(LN(rgdp!B197)-LN(rgdp!B196))*100</f>
        <v>0.12966779361018865</v>
      </c>
      <c r="C197" s="2">
        <v>123456789</v>
      </c>
      <c r="D197" s="2">
        <v>123456789</v>
      </c>
    </row>
    <row r="198" spans="1:4" x14ac:dyDescent="0.45">
      <c r="A198" t="s">
        <v>331</v>
      </c>
      <c r="B198">
        <f>(LN(rgdp!B198)-LN(rgdp!B197))*100</f>
        <v>0.50257115549836584</v>
      </c>
      <c r="C198" s="2">
        <v>123456789</v>
      </c>
      <c r="D198" s="2">
        <v>123456789</v>
      </c>
    </row>
    <row r="199" spans="1:4" x14ac:dyDescent="0.45">
      <c r="A199" t="s">
        <v>332</v>
      </c>
      <c r="B199">
        <f>(LN(rgdp!B199)-LN(rgdp!B198))*100</f>
        <v>0.21301021090707195</v>
      </c>
      <c r="C199" s="2">
        <v>123456789</v>
      </c>
      <c r="D199" s="2">
        <v>123456789</v>
      </c>
    </row>
    <row r="200" spans="1:4" x14ac:dyDescent="0.45">
      <c r="A200" t="s">
        <v>333</v>
      </c>
      <c r="B200">
        <f>(LN(rgdp!B200)-LN(rgdp!B199))*100</f>
        <v>0.54911751516186769</v>
      </c>
      <c r="C200" s="2">
        <v>123456789</v>
      </c>
      <c r="D200" s="2">
        <v>123456789</v>
      </c>
    </row>
    <row r="201" spans="1:4" x14ac:dyDescent="0.45">
      <c r="A201" t="s">
        <v>334</v>
      </c>
      <c r="B201">
        <f>(LN(rgdp!B201)-LN(rgdp!B200))*100</f>
        <v>5.9651011774519702E-3</v>
      </c>
      <c r="C201" s="2">
        <v>123456789</v>
      </c>
      <c r="D201" s="2">
        <v>123456789</v>
      </c>
    </row>
    <row r="202" spans="1:4" x14ac:dyDescent="0.45">
      <c r="A202" t="s">
        <v>335</v>
      </c>
      <c r="B202">
        <f>(LN(rgdp!B202)-LN(rgdp!B201))*100</f>
        <v>-2.7832850774435869</v>
      </c>
      <c r="C202" s="2">
        <v>123456789</v>
      </c>
      <c r="D202" s="2">
        <v>123456789</v>
      </c>
    </row>
    <row r="203" spans="1:4" x14ac:dyDescent="0.45">
      <c r="A203" t="s">
        <v>336</v>
      </c>
      <c r="B203">
        <f>(LN(rgdp!B203)-LN(rgdp!B202))*100</f>
        <v>-22.197124967626536</v>
      </c>
      <c r="C203" s="2">
        <v>123456789</v>
      </c>
      <c r="D203" s="2">
        <v>123456789</v>
      </c>
    </row>
    <row r="204" spans="1:4" x14ac:dyDescent="0.45">
      <c r="A204" t="s">
        <v>337</v>
      </c>
      <c r="B204">
        <f>(LN(rgdp!B204)-LN(rgdp!B203))*100</f>
        <v>15.670178383890665</v>
      </c>
      <c r="C204" s="2">
        <v>123456789</v>
      </c>
      <c r="D204" s="2">
        <v>123456789</v>
      </c>
    </row>
    <row r="205" spans="1:4" x14ac:dyDescent="0.45">
      <c r="A205" t="s">
        <v>338</v>
      </c>
      <c r="B205">
        <f>(LN(rgdp!B205)-LN(rgdp!B204))*100</f>
        <v>1.35871169522499</v>
      </c>
      <c r="C205" s="2">
        <v>123456789</v>
      </c>
      <c r="D205" s="2">
        <v>123456789</v>
      </c>
    </row>
    <row r="206" spans="1:4" x14ac:dyDescent="0.45">
      <c r="A206" t="s">
        <v>339</v>
      </c>
      <c r="B206">
        <f>(LN(rgdp!B206)-LN(rgdp!B205))*100</f>
        <v>-1.0819954664249565</v>
      </c>
      <c r="C206" s="2">
        <v>123456789</v>
      </c>
      <c r="D206" s="2">
        <v>123456789</v>
      </c>
    </row>
    <row r="207" spans="1:4" x14ac:dyDescent="0.45">
      <c r="A207" t="s">
        <v>340</v>
      </c>
      <c r="B207">
        <f>(LN(rgdp!B207)-LN(rgdp!B206))*100</f>
        <v>6.7493049005459937</v>
      </c>
      <c r="C207" s="2">
        <v>123456789</v>
      </c>
      <c r="D207" s="2">
        <v>123456789</v>
      </c>
    </row>
    <row r="208" spans="1:4" x14ac:dyDescent="0.45">
      <c r="A208" t="s">
        <v>341</v>
      </c>
      <c r="B208">
        <f>(LN(rgdp!B208)-LN(rgdp!B207))*100</f>
        <v>1.672579596299606</v>
      </c>
      <c r="C208" s="2">
        <v>123456789</v>
      </c>
      <c r="D208" s="2">
        <v>123456789</v>
      </c>
    </row>
    <row r="209" spans="1:4" x14ac:dyDescent="0.45">
      <c r="A209" t="s">
        <v>342</v>
      </c>
      <c r="B209">
        <f>(LN(rgdp!B209)-LN(rgdp!B208))*100</f>
        <v>1.3682452321560845</v>
      </c>
      <c r="C209" s="2">
        <v>123456789</v>
      </c>
      <c r="D209" s="2">
        <v>123456789</v>
      </c>
    </row>
    <row r="210" spans="1:4" x14ac:dyDescent="0.45">
      <c r="A210" t="s">
        <v>343</v>
      </c>
      <c r="B210">
        <f>(LN(rgdp!B210)-LN(rgdp!B209))*100</f>
        <v>1.0082495530546964</v>
      </c>
      <c r="C210" s="2">
        <v>123456789</v>
      </c>
      <c r="D210" s="2">
        <v>123456789</v>
      </c>
    </row>
    <row r="211" spans="1:4" x14ac:dyDescent="0.45">
      <c r="A211" t="s">
        <v>344</v>
      </c>
      <c r="B211">
        <f>(LN(rgdp!B211)-LN(rgdp!B210))*100</f>
        <v>0.55637600038327406</v>
      </c>
      <c r="C211" s="2">
        <v>123456789</v>
      </c>
      <c r="D211" s="2">
        <v>123456789</v>
      </c>
    </row>
    <row r="212" spans="1:4" x14ac:dyDescent="0.45">
      <c r="A212" t="s">
        <v>345</v>
      </c>
      <c r="B212">
        <f>(LN(rgdp!B212)-LN(rgdp!B211))*100</f>
        <v>0.10106571296066846</v>
      </c>
      <c r="C212" s="2">
        <v>123456789</v>
      </c>
      <c r="D212" s="2">
        <v>123456789</v>
      </c>
    </row>
    <row r="213" spans="1:4" x14ac:dyDescent="0.45">
      <c r="A213" t="s">
        <v>346</v>
      </c>
      <c r="B213">
        <f>(LN(rgdp!B213)-LN(rgdp!B212))*100</f>
        <v>0.25991295632881162</v>
      </c>
      <c r="C213" s="2">
        <v>123456789</v>
      </c>
      <c r="D213" s="2">
        <v>123456789</v>
      </c>
    </row>
    <row r="214" spans="1:4" x14ac:dyDescent="0.45">
      <c r="A214" t="s">
        <v>347</v>
      </c>
      <c r="B214">
        <f>(LN(rgdp!B214)-LN(rgdp!B213))*100</f>
        <v>5.6457694876321796E-2</v>
      </c>
      <c r="C214" s="2">
        <v>123456789</v>
      </c>
      <c r="D214" s="2">
        <v>123456789</v>
      </c>
    </row>
    <row r="215" spans="1:4" x14ac:dyDescent="0.45">
      <c r="A215" t="s">
        <v>348</v>
      </c>
      <c r="B215">
        <f>(LN(rgdp!B215)-LN(rgdp!B214))*100</f>
        <v>4.134338495838108E-2</v>
      </c>
      <c r="C215" s="2">
        <v>123456789</v>
      </c>
      <c r="D215" s="2">
        <v>123456789</v>
      </c>
    </row>
    <row r="216" spans="1:4" x14ac:dyDescent="0.45">
      <c r="A216" t="s">
        <v>349</v>
      </c>
      <c r="B216">
        <f>(LN(rgdp!B216)-LN(rgdp!B215))*100</f>
        <v>-0.23988452908128011</v>
      </c>
      <c r="C216" s="2">
        <v>123456789</v>
      </c>
      <c r="D216" s="2">
        <v>123456789</v>
      </c>
    </row>
    <row r="217" spans="1:4" x14ac:dyDescent="0.45">
      <c r="A217" t="s">
        <v>350</v>
      </c>
      <c r="B217">
        <f>(LN(rgdp!B217)-LN(rgdp!B216))*100</f>
        <v>-0.32195923307849483</v>
      </c>
      <c r="C217" s="2">
        <v>123456789</v>
      </c>
      <c r="D217" s="2">
        <v>123456789</v>
      </c>
    </row>
    <row r="218" spans="1:4" x14ac:dyDescent="0.45">
      <c r="A218" t="s">
        <v>351</v>
      </c>
      <c r="B218">
        <f>(LN(rgdp!B218)-LN(rgdp!B217))*100</f>
        <v>0.82921972784895104</v>
      </c>
      <c r="C218" s="2">
        <v>123456789</v>
      </c>
      <c r="D218" s="2">
        <v>123456789</v>
      </c>
    </row>
    <row r="219" spans="1:4" x14ac:dyDescent="0.45">
      <c r="A219" t="s">
        <v>352</v>
      </c>
      <c r="B219">
        <f>(LN(rgdp!B219)-LN(rgdp!B218))*100</f>
        <v>0.61157507397719968</v>
      </c>
      <c r="C219" s="2">
        <v>123456789</v>
      </c>
      <c r="D219" s="2">
        <v>123456789</v>
      </c>
    </row>
    <row r="220" spans="1:4" x14ac:dyDescent="0.45">
      <c r="A220" t="s">
        <v>353</v>
      </c>
      <c r="B220">
        <f>(LN(rgdp!B220)-LN(rgdp!B219))*100</f>
        <v>0.23980034839485853</v>
      </c>
      <c r="C220" s="2">
        <v>123456789</v>
      </c>
      <c r="D220" s="2">
        <v>123456789</v>
      </c>
    </row>
    <row r="221" spans="1:4" x14ac:dyDescent="0.45">
      <c r="A221" t="s">
        <v>354</v>
      </c>
      <c r="B221">
        <f>(LN(rgdp!B221)-LN(rgdp!B220))*100</f>
        <v>0.23836820821330207</v>
      </c>
      <c r="C221" s="2">
        <v>123456789</v>
      </c>
      <c r="D221" s="2">
        <v>123456789</v>
      </c>
    </row>
    <row r="222" spans="1:4" x14ac:dyDescent="0.45">
      <c r="A222" t="s">
        <v>355</v>
      </c>
      <c r="B222">
        <f>(LN(rgdp!B222)-LN(rgdp!B221))*100</f>
        <v>0.65885221974042452</v>
      </c>
      <c r="C222" s="2">
        <v>123456789</v>
      </c>
      <c r="D222" s="2">
        <v>123456789</v>
      </c>
    </row>
    <row r="223" spans="1:4" x14ac:dyDescent="0.45">
      <c r="A223" t="s">
        <v>356</v>
      </c>
      <c r="B223">
        <f>(LN(rgdp!B223)-LN(rgdp!B222))*100</f>
        <v>0.27735646423554527</v>
      </c>
      <c r="C223" s="2">
        <v>123456789</v>
      </c>
      <c r="D223" s="2">
        <v>123456789</v>
      </c>
    </row>
    <row r="224" spans="1:4" x14ac:dyDescent="0.45">
      <c r="A224" s="40" t="s">
        <v>357</v>
      </c>
      <c r="B224" s="40">
        <f>(LN(rgdp!B224)-LN(rgdp!B223))*100</f>
        <v>8.161253205294372E-2</v>
      </c>
      <c r="C224" s="2">
        <v>123456789</v>
      </c>
      <c r="D224" s="2">
        <v>123456789</v>
      </c>
    </row>
    <row r="225" spans="1:4" x14ac:dyDescent="0.45">
      <c r="A225" s="40" t="s">
        <v>438</v>
      </c>
      <c r="B225" s="40">
        <f>(LN(rgdp!B225)-LN(rgdp!B224))*100</f>
        <v>-6.9564825957080245E-2</v>
      </c>
      <c r="C225" s="2">
        <v>123456789</v>
      </c>
      <c r="D225" s="2">
        <v>123456789</v>
      </c>
    </row>
    <row r="226" spans="1:4" x14ac:dyDescent="0.45">
      <c r="A226" s="4" t="s">
        <v>441</v>
      </c>
      <c r="B226" s="4">
        <v>-6.9559999999999997E-2</v>
      </c>
      <c r="C226" s="2">
        <v>123456789</v>
      </c>
      <c r="D226" s="2">
        <v>123456789</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D9F4-BB16-4E34-83CE-6F2A4D0A742E}">
  <sheetPr>
    <tabColor theme="9" tint="0.79998168889431442"/>
  </sheetPr>
  <dimension ref="A1:D226"/>
  <sheetViews>
    <sheetView topLeftCell="A218" workbookViewId="0">
      <selection activeCell="C231" sqref="C231"/>
    </sheetView>
  </sheetViews>
  <sheetFormatPr defaultRowHeight="14.25" x14ac:dyDescent="0.45"/>
  <cols>
    <col min="2" max="2" width="8.796875" bestFit="1" customWidth="1"/>
    <col min="3" max="4" width="9.796875" bestFit="1" customWidth="1"/>
  </cols>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f>AVERAGE(g4rgdp!B6:B9)</f>
        <v>3.550958882580435</v>
      </c>
      <c r="C9" s="2">
        <v>123456789</v>
      </c>
      <c r="D9" s="2">
        <v>123456789</v>
      </c>
    </row>
    <row r="10" spans="1:4" x14ac:dyDescent="0.45">
      <c r="A10" t="s">
        <v>143</v>
      </c>
      <c r="B10">
        <f>AVERAGE(g4rgdp!B7:B10)</f>
        <v>3.6277669464980011</v>
      </c>
      <c r="C10" s="2">
        <v>123456789</v>
      </c>
      <c r="D10" s="2">
        <v>123456789</v>
      </c>
    </row>
    <row r="11" spans="1:4" x14ac:dyDescent="0.45">
      <c r="A11" t="s">
        <v>144</v>
      </c>
      <c r="B11">
        <f>AVERAGE(g4rgdp!B8:B11)</f>
        <v>4.0587111086131777</v>
      </c>
      <c r="C11" s="2">
        <v>123456789</v>
      </c>
      <c r="D11" s="2">
        <v>123456789</v>
      </c>
    </row>
    <row r="12" spans="1:4" x14ac:dyDescent="0.45">
      <c r="A12" t="s">
        <v>145</v>
      </c>
      <c r="B12">
        <f>AVERAGE(g4rgdp!B9:B12)</f>
        <v>3.9499475351047142</v>
      </c>
      <c r="C12" s="2">
        <v>123456789</v>
      </c>
      <c r="D12" s="2">
        <v>123456789</v>
      </c>
    </row>
    <row r="13" spans="1:4" x14ac:dyDescent="0.45">
      <c r="A13" t="s">
        <v>146</v>
      </c>
      <c r="B13">
        <f>AVERAGE(g4rgdp!B10:B13)</f>
        <v>4.2646456605485383</v>
      </c>
      <c r="C13" s="2">
        <v>123456789</v>
      </c>
      <c r="D13" s="2">
        <v>123456789</v>
      </c>
    </row>
    <row r="14" spans="1:4" x14ac:dyDescent="0.45">
      <c r="A14" t="s">
        <v>147</v>
      </c>
      <c r="B14">
        <f>AVERAGE(g4rgdp!B11:B14)</f>
        <v>5.549455321685004</v>
      </c>
      <c r="C14" s="2">
        <v>123456789</v>
      </c>
      <c r="D14" s="2">
        <v>123456789</v>
      </c>
    </row>
    <row r="15" spans="1:4" x14ac:dyDescent="0.45">
      <c r="A15" t="s">
        <v>148</v>
      </c>
      <c r="B15">
        <f>AVERAGE(g4rgdp!B12:B15)</f>
        <v>6.0230794929041931</v>
      </c>
      <c r="C15" s="2">
        <v>123456789</v>
      </c>
      <c r="D15" s="2">
        <v>123456789</v>
      </c>
    </row>
    <row r="16" spans="1:4" x14ac:dyDescent="0.45">
      <c r="A16" t="s">
        <v>149</v>
      </c>
      <c r="B16">
        <f>AVERAGE(g4rgdp!B13:B16)</f>
        <v>6.5506973411948444</v>
      </c>
      <c r="C16" s="2">
        <v>123456789</v>
      </c>
      <c r="D16" s="2">
        <v>123456789</v>
      </c>
    </row>
    <row r="17" spans="1:4" x14ac:dyDescent="0.45">
      <c r="A17" t="s">
        <v>150</v>
      </c>
      <c r="B17">
        <f>AVERAGE(g4rgdp!B14:B17)</f>
        <v>6.3060885188574556</v>
      </c>
      <c r="C17" s="2">
        <v>123456789</v>
      </c>
      <c r="D17" s="2">
        <v>123456789</v>
      </c>
    </row>
    <row r="18" spans="1:4" x14ac:dyDescent="0.45">
      <c r="A18" t="s">
        <v>151</v>
      </c>
      <c r="B18">
        <f>AVERAGE(g4rgdp!B15:B18)</f>
        <v>3.0176570186606355</v>
      </c>
      <c r="C18" s="2">
        <v>123456789</v>
      </c>
      <c r="D18" s="2">
        <v>123456789</v>
      </c>
    </row>
    <row r="19" spans="1:4" x14ac:dyDescent="0.45">
      <c r="A19" t="s">
        <v>152</v>
      </c>
      <c r="B19">
        <f>AVERAGE(g4rgdp!B16:B19)</f>
        <v>0.64126025243056439</v>
      </c>
      <c r="C19" s="2">
        <v>123456789</v>
      </c>
      <c r="D19" s="2">
        <v>123456789</v>
      </c>
    </row>
    <row r="20" spans="1:4" x14ac:dyDescent="0.45">
      <c r="A20" t="s">
        <v>153</v>
      </c>
      <c r="B20">
        <f>AVERAGE(g4rgdp!B17:B20)</f>
        <v>-1.0520906549479125</v>
      </c>
      <c r="C20" s="2">
        <v>123456789</v>
      </c>
      <c r="D20" s="2">
        <v>123456789</v>
      </c>
    </row>
    <row r="21" spans="1:4" x14ac:dyDescent="0.45">
      <c r="A21" t="s">
        <v>154</v>
      </c>
      <c r="B21">
        <f>AVERAGE(g4rgdp!B18:B21)</f>
        <v>-2.5321999290590647</v>
      </c>
      <c r="C21" s="2">
        <v>123456789</v>
      </c>
      <c r="D21" s="2">
        <v>123456789</v>
      </c>
    </row>
    <row r="22" spans="1:4" x14ac:dyDescent="0.45">
      <c r="A22" t="s">
        <v>155</v>
      </c>
      <c r="B22">
        <f>AVERAGE(g4rgdp!B19:B22)</f>
        <v>-1.4039122625515432</v>
      </c>
      <c r="C22" s="2">
        <v>123456789</v>
      </c>
      <c r="D22" s="2">
        <v>123456789</v>
      </c>
    </row>
    <row r="23" spans="1:4" x14ac:dyDescent="0.45">
      <c r="A23" t="s">
        <v>156</v>
      </c>
      <c r="B23">
        <f>AVERAGE(g4rgdp!B20:B23)</f>
        <v>-1.3477701750599813</v>
      </c>
      <c r="C23" s="2">
        <v>123456789</v>
      </c>
      <c r="D23" s="2">
        <v>123456789</v>
      </c>
    </row>
    <row r="24" spans="1:4" x14ac:dyDescent="0.45">
      <c r="A24" t="s">
        <v>157</v>
      </c>
      <c r="B24">
        <f>AVERAGE(g4rgdp!B21:B24)</f>
        <v>-1.8970620602795751</v>
      </c>
      <c r="C24" s="2">
        <v>123456789</v>
      </c>
      <c r="D24" s="2">
        <v>123456789</v>
      </c>
    </row>
    <row r="25" spans="1:4" x14ac:dyDescent="0.45">
      <c r="A25" t="s">
        <v>158</v>
      </c>
      <c r="B25">
        <f>AVERAGE(g4rgdp!B22:B25)</f>
        <v>-1.5321732526830889</v>
      </c>
      <c r="C25" s="2">
        <v>123456789</v>
      </c>
      <c r="D25" s="2">
        <v>123456789</v>
      </c>
    </row>
    <row r="26" spans="1:4" x14ac:dyDescent="0.45">
      <c r="A26" t="s">
        <v>159</v>
      </c>
      <c r="B26">
        <f>AVERAGE(g4rgdp!B23:B26)</f>
        <v>-1.4650510047317766</v>
      </c>
      <c r="C26" s="2">
        <v>123456789</v>
      </c>
      <c r="D26" s="2">
        <v>123456789</v>
      </c>
    </row>
    <row r="27" spans="1:4" x14ac:dyDescent="0.45">
      <c r="A27" t="s">
        <v>160</v>
      </c>
      <c r="B27">
        <f>AVERAGE(g4rgdp!B24:B27)</f>
        <v>-0.26010190971761382</v>
      </c>
      <c r="C27" s="2">
        <v>123456789</v>
      </c>
      <c r="D27" s="2">
        <v>123456789</v>
      </c>
    </row>
    <row r="28" spans="1:4" x14ac:dyDescent="0.45">
      <c r="A28" t="s">
        <v>161</v>
      </c>
      <c r="B28">
        <f>AVERAGE(g4rgdp!B25:B28)</f>
        <v>1.5517424834631921</v>
      </c>
      <c r="C28" s="2">
        <v>123456789</v>
      </c>
      <c r="D28" s="2">
        <v>123456789</v>
      </c>
    </row>
    <row r="29" spans="1:4" x14ac:dyDescent="0.45">
      <c r="A29" t="s">
        <v>162</v>
      </c>
      <c r="B29">
        <f>AVERAGE(g4rgdp!B26:B29)</f>
        <v>2.9625362858419102</v>
      </c>
      <c r="C29" s="2">
        <v>123456789</v>
      </c>
      <c r="D29" s="2">
        <v>123456789</v>
      </c>
    </row>
    <row r="30" spans="1:4" x14ac:dyDescent="0.45">
      <c r="A30" t="s">
        <v>163</v>
      </c>
      <c r="B30">
        <f>AVERAGE(g4rgdp!B27:B30)</f>
        <v>3.5644294486715467</v>
      </c>
      <c r="C30" s="2">
        <v>123456789</v>
      </c>
      <c r="D30" s="2">
        <v>123456789</v>
      </c>
    </row>
    <row r="31" spans="1:4" x14ac:dyDescent="0.45">
      <c r="A31" t="s">
        <v>164</v>
      </c>
      <c r="B31">
        <f>AVERAGE(g4rgdp!B28:B31)</f>
        <v>3.6544236333841518</v>
      </c>
      <c r="C31" s="2">
        <v>123456789</v>
      </c>
      <c r="D31" s="2">
        <v>123456789</v>
      </c>
    </row>
    <row r="32" spans="1:4" x14ac:dyDescent="0.45">
      <c r="A32" t="s">
        <v>165</v>
      </c>
      <c r="B32">
        <f>AVERAGE(g4rgdp!B29:B32)</f>
        <v>3.2144352925099096</v>
      </c>
      <c r="C32" s="2">
        <v>123456789</v>
      </c>
      <c r="D32" s="2">
        <v>123456789</v>
      </c>
    </row>
    <row r="33" spans="1:4" x14ac:dyDescent="0.45">
      <c r="A33" t="s">
        <v>166</v>
      </c>
      <c r="B33">
        <f>AVERAGE(g4rgdp!B30:B33)</f>
        <v>2.4320336033742951</v>
      </c>
      <c r="C33" s="2">
        <v>123456789</v>
      </c>
      <c r="D33" s="2">
        <v>123456789</v>
      </c>
    </row>
    <row r="34" spans="1:4" x14ac:dyDescent="0.45">
      <c r="A34" t="s">
        <v>167</v>
      </c>
      <c r="B34">
        <f>AVERAGE(g4rgdp!B31:B34)</f>
        <v>2.2659272080165493</v>
      </c>
      <c r="C34" s="2">
        <v>123456789</v>
      </c>
      <c r="D34" s="2">
        <v>123456789</v>
      </c>
    </row>
    <row r="35" spans="1:4" x14ac:dyDescent="0.45">
      <c r="A35" t="s">
        <v>168</v>
      </c>
      <c r="B35">
        <f>AVERAGE(g4rgdp!B32:B35)</f>
        <v>2.6947945733732048</v>
      </c>
      <c r="C35" s="2">
        <v>123456789</v>
      </c>
      <c r="D35" s="2">
        <v>123456789</v>
      </c>
    </row>
    <row r="36" spans="1:4" x14ac:dyDescent="0.45">
      <c r="A36" t="s">
        <v>169</v>
      </c>
      <c r="B36">
        <f>AVERAGE(g4rgdp!B33:B36)</f>
        <v>3.4464838423998501</v>
      </c>
      <c r="C36" s="2">
        <v>123456789</v>
      </c>
      <c r="D36" s="2">
        <v>123456789</v>
      </c>
    </row>
    <row r="37" spans="1:4" x14ac:dyDescent="0.45">
      <c r="A37" t="s">
        <v>170</v>
      </c>
      <c r="B37">
        <f>AVERAGE(g4rgdp!B34:B37)</f>
        <v>4.0979315784859249</v>
      </c>
      <c r="C37" s="2">
        <v>123456789</v>
      </c>
      <c r="D37" s="2">
        <v>123456789</v>
      </c>
    </row>
    <row r="38" spans="1:4" x14ac:dyDescent="0.45">
      <c r="A38" t="s">
        <v>171</v>
      </c>
      <c r="B38">
        <f>AVERAGE(g4rgdp!B35:B38)</f>
        <v>4.2235126595219441</v>
      </c>
      <c r="C38" s="2">
        <v>123456789</v>
      </c>
      <c r="D38" s="2">
        <v>123456789</v>
      </c>
    </row>
    <row r="39" spans="1:4" x14ac:dyDescent="0.45">
      <c r="A39" t="s">
        <v>172</v>
      </c>
      <c r="B39">
        <f>AVERAGE(g4rgdp!B36:B39)</f>
        <v>4.6726596070751469</v>
      </c>
      <c r="C39" s="2">
        <v>123456789</v>
      </c>
      <c r="D39" s="2">
        <v>123456789</v>
      </c>
    </row>
    <row r="40" spans="1:4" x14ac:dyDescent="0.45">
      <c r="A40" t="s">
        <v>173</v>
      </c>
      <c r="B40">
        <f>AVERAGE(g4rgdp!B37:B40)</f>
        <v>4.0502762700737716</v>
      </c>
      <c r="C40" s="2">
        <v>123456789</v>
      </c>
      <c r="D40" s="2">
        <v>123456789</v>
      </c>
    </row>
    <row r="41" spans="1:4" x14ac:dyDescent="0.45">
      <c r="A41" t="s">
        <v>174</v>
      </c>
      <c r="B41">
        <f>AVERAGE(g4rgdp!B38:B41)</f>
        <v>3.6600070732271117</v>
      </c>
      <c r="C41" s="2">
        <v>123456789</v>
      </c>
      <c r="D41" s="2">
        <v>123456789</v>
      </c>
    </row>
    <row r="42" spans="1:4" x14ac:dyDescent="0.45">
      <c r="A42" t="s">
        <v>175</v>
      </c>
      <c r="B42">
        <f>AVERAGE(g4rgdp!B39:B42)</f>
        <v>3.4061054654139333</v>
      </c>
      <c r="C42" s="2">
        <v>123456789</v>
      </c>
      <c r="D42" s="2">
        <v>123456789</v>
      </c>
    </row>
    <row r="43" spans="1:4" x14ac:dyDescent="0.45">
      <c r="A43" t="s">
        <v>176</v>
      </c>
      <c r="B43">
        <f>AVERAGE(g4rgdp!B40:B43)</f>
        <v>0.81369890434754844</v>
      </c>
      <c r="C43" s="2">
        <v>123456789</v>
      </c>
      <c r="D43" s="2">
        <v>123456789</v>
      </c>
    </row>
    <row r="44" spans="1:4" x14ac:dyDescent="0.45">
      <c r="A44" t="s">
        <v>177</v>
      </c>
      <c r="B44">
        <f>AVERAGE(g4rgdp!B41:B44)</f>
        <v>-0.35357653726588723</v>
      </c>
      <c r="C44" s="2">
        <v>123456789</v>
      </c>
      <c r="D44" s="2">
        <v>123456789</v>
      </c>
    </row>
    <row r="45" spans="1:4" x14ac:dyDescent="0.45">
      <c r="A45" t="s">
        <v>178</v>
      </c>
      <c r="B45">
        <f>AVERAGE(g4rgdp!B42:B45)</f>
        <v>-2.0646942418942604</v>
      </c>
      <c r="C45" s="2">
        <v>123456789</v>
      </c>
      <c r="D45" s="2">
        <v>123456789</v>
      </c>
    </row>
    <row r="46" spans="1:4" x14ac:dyDescent="0.45">
      <c r="A46" t="s">
        <v>179</v>
      </c>
      <c r="B46">
        <f>AVERAGE(g4rgdp!B43:B46)</f>
        <v>-3.3775968200005391</v>
      </c>
      <c r="C46" s="2">
        <v>123456789</v>
      </c>
      <c r="D46" s="2">
        <v>123456789</v>
      </c>
    </row>
    <row r="47" spans="1:4" x14ac:dyDescent="0.45">
      <c r="A47" t="s">
        <v>180</v>
      </c>
      <c r="B47">
        <f>AVERAGE(g4rgdp!B44:B47)</f>
        <v>-2.5603494060247645</v>
      </c>
      <c r="C47" s="2">
        <v>123456789</v>
      </c>
      <c r="D47" s="2">
        <v>123456789</v>
      </c>
    </row>
    <row r="48" spans="1:4" x14ac:dyDescent="0.45">
      <c r="A48" t="s">
        <v>181</v>
      </c>
      <c r="B48">
        <f>AVERAGE(g4rgdp!B45:B48)</f>
        <v>-1.956639016512618</v>
      </c>
      <c r="C48" s="2">
        <v>123456789</v>
      </c>
      <c r="D48" s="2">
        <v>123456789</v>
      </c>
    </row>
    <row r="49" spans="1:4" x14ac:dyDescent="0.45">
      <c r="A49" t="s">
        <v>182</v>
      </c>
      <c r="B49">
        <f>AVERAGE(g4rgdp!B46:B49)</f>
        <v>-0.5521037428533937</v>
      </c>
      <c r="C49" s="2">
        <v>123456789</v>
      </c>
      <c r="D49" s="2">
        <v>123456789</v>
      </c>
    </row>
    <row r="50" spans="1:4" x14ac:dyDescent="0.45">
      <c r="A50" t="s">
        <v>183</v>
      </c>
      <c r="B50">
        <f>AVERAGE(g4rgdp!B47:B50)</f>
        <v>0.68786439737027472</v>
      </c>
      <c r="C50" s="2">
        <v>123456789</v>
      </c>
      <c r="D50" s="2">
        <v>123456789</v>
      </c>
    </row>
    <row r="51" spans="1:4" x14ac:dyDescent="0.45">
      <c r="A51" t="s">
        <v>184</v>
      </c>
      <c r="B51">
        <f>AVERAGE(g4rgdp!B48:B51)</f>
        <v>1.5328058703076408</v>
      </c>
      <c r="C51" s="2">
        <v>123456789</v>
      </c>
      <c r="D51" s="2">
        <v>123456789</v>
      </c>
    </row>
    <row r="52" spans="1:4" x14ac:dyDescent="0.45">
      <c r="A52" t="s">
        <v>185</v>
      </c>
      <c r="B52">
        <f>AVERAGE(g4rgdp!B49:B52)</f>
        <v>1.8257183613676009</v>
      </c>
      <c r="C52" s="2">
        <v>123456789</v>
      </c>
      <c r="D52" s="2">
        <v>123456789</v>
      </c>
    </row>
    <row r="53" spans="1:4" x14ac:dyDescent="0.45">
      <c r="A53" t="s">
        <v>186</v>
      </c>
      <c r="B53">
        <f>AVERAGE(g4rgdp!B50:B53)</f>
        <v>1.9660691842672939</v>
      </c>
      <c r="C53" s="2">
        <v>123456789</v>
      </c>
      <c r="D53" s="2">
        <v>123456789</v>
      </c>
    </row>
    <row r="54" spans="1:4" x14ac:dyDescent="0.45">
      <c r="A54" t="s">
        <v>187</v>
      </c>
      <c r="B54">
        <f>AVERAGE(g4rgdp!B51:B54)</f>
        <v>2.4907950535566492</v>
      </c>
      <c r="C54" s="2">
        <v>123456789</v>
      </c>
      <c r="D54" s="2">
        <v>123456789</v>
      </c>
    </row>
    <row r="55" spans="1:4" x14ac:dyDescent="0.45">
      <c r="A55" t="s">
        <v>188</v>
      </c>
      <c r="B55">
        <f>AVERAGE(g4rgdp!B52:B55)</f>
        <v>2.7538779181898398</v>
      </c>
      <c r="C55" s="2">
        <v>123456789</v>
      </c>
      <c r="D55" s="2">
        <v>123456789</v>
      </c>
    </row>
    <row r="56" spans="1:4" x14ac:dyDescent="0.45">
      <c r="A56" t="s">
        <v>189</v>
      </c>
      <c r="B56">
        <f>AVERAGE(g4rgdp!B53:B56)</f>
        <v>3.4862213607620429</v>
      </c>
      <c r="C56" s="2">
        <v>123456789</v>
      </c>
      <c r="D56" s="2">
        <v>123456789</v>
      </c>
    </row>
    <row r="57" spans="1:4" x14ac:dyDescent="0.45">
      <c r="A57" t="s">
        <v>190</v>
      </c>
      <c r="B57">
        <f>AVERAGE(g4rgdp!B54:B57)</f>
        <v>4.0982049706650869</v>
      </c>
      <c r="C57" s="2">
        <v>123456789</v>
      </c>
      <c r="D57" s="2">
        <v>123456789</v>
      </c>
    </row>
    <row r="58" spans="1:4" x14ac:dyDescent="0.45">
      <c r="A58" t="s">
        <v>191</v>
      </c>
      <c r="B58">
        <f>AVERAGE(g4rgdp!B55:B58)</f>
        <v>3.990301115154038</v>
      </c>
      <c r="C58" s="2">
        <v>123456789</v>
      </c>
      <c r="D58" s="2">
        <v>123456789</v>
      </c>
    </row>
    <row r="59" spans="1:4" x14ac:dyDescent="0.45">
      <c r="A59" t="s">
        <v>192</v>
      </c>
      <c r="B59">
        <f>AVERAGE(g4rgdp!B56:B59)</f>
        <v>3.5437189733526608</v>
      </c>
      <c r="C59" s="2">
        <v>123456789</v>
      </c>
      <c r="D59" s="2">
        <v>123456789</v>
      </c>
    </row>
    <row r="60" spans="1:4" x14ac:dyDescent="0.45">
      <c r="A60" t="s">
        <v>193</v>
      </c>
      <c r="B60">
        <f>AVERAGE(g4rgdp!B57:B60)</f>
        <v>2.7584420289397116</v>
      </c>
      <c r="C60" s="2">
        <v>123456789</v>
      </c>
      <c r="D60" s="2">
        <v>123456789</v>
      </c>
    </row>
    <row r="61" spans="1:4" x14ac:dyDescent="0.45">
      <c r="A61" t="s">
        <v>194</v>
      </c>
      <c r="B61">
        <f>AVERAGE(g4rgdp!B58:B61)</f>
        <v>2.2190319858858221</v>
      </c>
      <c r="C61" s="2">
        <v>123456789</v>
      </c>
      <c r="D61" s="2">
        <v>123456789</v>
      </c>
    </row>
    <row r="62" spans="1:4" x14ac:dyDescent="0.45">
      <c r="A62" t="s">
        <v>195</v>
      </c>
      <c r="B62">
        <f>AVERAGE(g4rgdp!B59:B62)</f>
        <v>1.9845430757619464</v>
      </c>
      <c r="C62" s="2">
        <v>123456789</v>
      </c>
      <c r="D62" s="2">
        <v>123456789</v>
      </c>
    </row>
    <row r="63" spans="1:4" x14ac:dyDescent="0.45">
      <c r="A63" t="s">
        <v>196</v>
      </c>
      <c r="B63">
        <f>AVERAGE(g4rgdp!B60:B63)</f>
        <v>2.9485674095412584</v>
      </c>
      <c r="C63" s="2">
        <v>123456789</v>
      </c>
      <c r="D63" s="2">
        <v>123456789</v>
      </c>
    </row>
    <row r="64" spans="1:4" x14ac:dyDescent="0.45">
      <c r="A64" t="s">
        <v>197</v>
      </c>
      <c r="B64">
        <f>AVERAGE(g4rgdp!B61:B64)</f>
        <v>3.8308515366068274</v>
      </c>
      <c r="C64" s="2">
        <v>123456789</v>
      </c>
      <c r="D64" s="2">
        <v>123456789</v>
      </c>
    </row>
    <row r="65" spans="1:4" x14ac:dyDescent="0.45">
      <c r="A65" t="s">
        <v>198</v>
      </c>
      <c r="B65">
        <f>AVERAGE(g4rgdp!B62:B65)</f>
        <v>4.0171242118409278</v>
      </c>
      <c r="C65" s="2">
        <v>123456789</v>
      </c>
      <c r="D65" s="2">
        <v>123456789</v>
      </c>
    </row>
    <row r="66" spans="1:4" x14ac:dyDescent="0.45">
      <c r="A66" t="s">
        <v>199</v>
      </c>
      <c r="B66">
        <f>AVERAGE(g4rgdp!B63:B66)</f>
        <v>4.1886638448070723</v>
      </c>
      <c r="C66" s="2">
        <v>123456789</v>
      </c>
      <c r="D66" s="2">
        <v>123456789</v>
      </c>
    </row>
    <row r="67" spans="1:4" x14ac:dyDescent="0.45">
      <c r="A67" t="s">
        <v>200</v>
      </c>
      <c r="B67">
        <f>AVERAGE(g4rgdp!B64:B67)</f>
        <v>3.2817603307061738</v>
      </c>
      <c r="C67" s="2">
        <v>123456789</v>
      </c>
      <c r="D67" s="2">
        <v>123456789</v>
      </c>
    </row>
    <row r="68" spans="1:4" x14ac:dyDescent="0.45">
      <c r="A68" t="s">
        <v>201</v>
      </c>
      <c r="B68">
        <f>AVERAGE(g4rgdp!B65:B68)</f>
        <v>2.7248683555584741</v>
      </c>
      <c r="C68" s="2">
        <v>123456789</v>
      </c>
      <c r="D68" s="2">
        <v>123456789</v>
      </c>
    </row>
    <row r="69" spans="1:4" x14ac:dyDescent="0.45">
      <c r="A69" t="s">
        <v>202</v>
      </c>
      <c r="B69">
        <f>AVERAGE(g4rgdp!B66:B69)</f>
        <v>3.0637408402633959</v>
      </c>
      <c r="C69" s="2">
        <v>123456789</v>
      </c>
      <c r="D69" s="2">
        <v>123456789</v>
      </c>
    </row>
    <row r="70" spans="1:4" x14ac:dyDescent="0.45">
      <c r="A70" t="s">
        <v>203</v>
      </c>
      <c r="B70">
        <f>AVERAGE(g4rgdp!B67:B70)</f>
        <v>3.3033322057318237</v>
      </c>
      <c r="C70" s="2">
        <v>123456789</v>
      </c>
      <c r="D70" s="2">
        <v>123456789</v>
      </c>
    </row>
    <row r="71" spans="1:4" x14ac:dyDescent="0.45">
      <c r="A71" t="s">
        <v>204</v>
      </c>
      <c r="B71">
        <f>AVERAGE(g4rgdp!B68:B71)</f>
        <v>3.9924319459285318</v>
      </c>
      <c r="C71" s="2">
        <v>123456789</v>
      </c>
      <c r="D71" s="2">
        <v>123456789</v>
      </c>
    </row>
    <row r="72" spans="1:4" x14ac:dyDescent="0.45">
      <c r="A72" t="s">
        <v>205</v>
      </c>
      <c r="B72">
        <f>AVERAGE(g4rgdp!B69:B72)</f>
        <v>4.9733922298467625</v>
      </c>
      <c r="C72" s="2">
        <v>123456789</v>
      </c>
      <c r="D72" s="2">
        <v>123456789</v>
      </c>
    </row>
    <row r="73" spans="1:4" x14ac:dyDescent="0.45">
      <c r="A73" t="s">
        <v>206</v>
      </c>
      <c r="B73">
        <f>AVERAGE(g4rgdp!B70:B73)</f>
        <v>5.2995813781725687</v>
      </c>
      <c r="C73" s="2">
        <v>123456789</v>
      </c>
      <c r="D73" s="2">
        <v>123456789</v>
      </c>
    </row>
    <row r="74" spans="1:4" x14ac:dyDescent="0.45">
      <c r="A74" t="s">
        <v>207</v>
      </c>
      <c r="B74">
        <f>AVERAGE(g4rgdp!B71:B74)</f>
        <v>5.9369230149261654</v>
      </c>
      <c r="C74" s="2">
        <v>123456789</v>
      </c>
      <c r="D74" s="2">
        <v>123456789</v>
      </c>
    </row>
    <row r="75" spans="1:4" x14ac:dyDescent="0.45">
      <c r="A75" t="s">
        <v>208</v>
      </c>
      <c r="B75">
        <f>AVERAGE(g4rgdp!B72:B75)</f>
        <v>6.1928813827068829</v>
      </c>
      <c r="C75" s="2">
        <v>123456789</v>
      </c>
      <c r="D75" s="2">
        <v>123456789</v>
      </c>
    </row>
    <row r="76" spans="1:4" x14ac:dyDescent="0.45">
      <c r="A76" t="s">
        <v>209</v>
      </c>
      <c r="B76">
        <f>AVERAGE(g4rgdp!B73:B76)</f>
        <v>5.6904970113848652</v>
      </c>
      <c r="C76" s="2">
        <v>123456789</v>
      </c>
      <c r="D76" s="2">
        <v>123456789</v>
      </c>
    </row>
    <row r="77" spans="1:4" x14ac:dyDescent="0.45">
      <c r="A77" t="s">
        <v>210</v>
      </c>
      <c r="B77">
        <f>AVERAGE(g4rgdp!B74:B77)</f>
        <v>5.2943780443522215</v>
      </c>
      <c r="C77" s="2">
        <v>123456789</v>
      </c>
      <c r="D77" s="2">
        <v>123456789</v>
      </c>
    </row>
    <row r="78" spans="1:4" x14ac:dyDescent="0.45">
      <c r="A78" t="s">
        <v>211</v>
      </c>
      <c r="B78">
        <f>AVERAGE(g4rgdp!B75:B78)</f>
        <v>4.3902892401358695</v>
      </c>
      <c r="C78" s="2">
        <v>123456789</v>
      </c>
      <c r="D78" s="2">
        <v>123456789</v>
      </c>
    </row>
    <row r="79" spans="1:4" x14ac:dyDescent="0.45">
      <c r="A79" t="s">
        <v>212</v>
      </c>
      <c r="B79">
        <f>AVERAGE(g4rgdp!B76:B79)</f>
        <v>3.7434306940004713</v>
      </c>
      <c r="C79" s="2">
        <v>123456789</v>
      </c>
      <c r="D79" s="2">
        <v>123456789</v>
      </c>
    </row>
    <row r="80" spans="1:4" x14ac:dyDescent="0.45">
      <c r="A80" t="s">
        <v>213</v>
      </c>
      <c r="B80">
        <f>AVERAGE(g4rgdp!B77:B80)</f>
        <v>3.1304663972023139</v>
      </c>
      <c r="C80" s="2">
        <v>123456789</v>
      </c>
      <c r="D80" s="2">
        <v>123456789</v>
      </c>
    </row>
    <row r="81" spans="1:4" x14ac:dyDescent="0.45">
      <c r="A81" t="s">
        <v>214</v>
      </c>
      <c r="B81">
        <f>AVERAGE(g4rgdp!B78:B81)</f>
        <v>2.3987124074074107</v>
      </c>
      <c r="C81" s="2">
        <v>123456789</v>
      </c>
      <c r="D81" s="2">
        <v>123456789</v>
      </c>
    </row>
    <row r="82" spans="1:4" x14ac:dyDescent="0.45">
      <c r="A82" t="s">
        <v>215</v>
      </c>
      <c r="B82">
        <f>AVERAGE(g4rgdp!B79:B82)</f>
        <v>1.9512217204321836</v>
      </c>
      <c r="C82" s="2">
        <v>123456789</v>
      </c>
      <c r="D82" s="2">
        <v>123456789</v>
      </c>
    </row>
    <row r="83" spans="1:4" x14ac:dyDescent="0.45">
      <c r="A83" t="s">
        <v>216</v>
      </c>
      <c r="B83">
        <f>AVERAGE(g4rgdp!B80:B83)</f>
        <v>1.4925251346463053</v>
      </c>
      <c r="C83" s="2">
        <v>123456789</v>
      </c>
      <c r="D83" s="2">
        <v>123456789</v>
      </c>
    </row>
    <row r="84" spans="1:4" x14ac:dyDescent="0.45">
      <c r="A84" t="s">
        <v>217</v>
      </c>
      <c r="B84">
        <f>AVERAGE(g4rgdp!B81:B84)</f>
        <v>0.98780410838412713</v>
      </c>
      <c r="C84" s="2">
        <v>123456789</v>
      </c>
      <c r="D84" s="2">
        <v>123456789</v>
      </c>
    </row>
    <row r="85" spans="1:4" x14ac:dyDescent="0.45">
      <c r="A85" t="s">
        <v>218</v>
      </c>
      <c r="B85">
        <f>AVERAGE(g4rgdp!B82:B85)</f>
        <v>0.56519191583537243</v>
      </c>
      <c r="C85" s="2">
        <v>123456789</v>
      </c>
      <c r="D85" s="2">
        <v>123456789</v>
      </c>
    </row>
    <row r="86" spans="1:4" x14ac:dyDescent="0.45">
      <c r="A86" t="s">
        <v>219</v>
      </c>
      <c r="B86">
        <f>AVERAGE(g4rgdp!B83:B86)</f>
        <v>-0.11432812234288825</v>
      </c>
      <c r="C86" s="2">
        <v>123456789</v>
      </c>
      <c r="D86" s="2">
        <v>123456789</v>
      </c>
    </row>
    <row r="87" spans="1:4" x14ac:dyDescent="0.45">
      <c r="A87" t="s">
        <v>220</v>
      </c>
      <c r="B87">
        <f>AVERAGE(g4rgdp!B84:B87)</f>
        <v>-1.0019077577830604</v>
      </c>
      <c r="C87" s="2">
        <v>123456789</v>
      </c>
      <c r="D87" s="2">
        <v>123456789</v>
      </c>
    </row>
    <row r="88" spans="1:4" x14ac:dyDescent="0.45">
      <c r="A88" t="s">
        <v>221</v>
      </c>
      <c r="B88">
        <f>AVERAGE(g4rgdp!B85:B88)</f>
        <v>-1.3488776458889795</v>
      </c>
      <c r="C88" s="2">
        <v>123456789</v>
      </c>
      <c r="D88" s="2">
        <v>123456789</v>
      </c>
    </row>
    <row r="89" spans="1:4" x14ac:dyDescent="0.45">
      <c r="A89" t="s">
        <v>222</v>
      </c>
      <c r="B89">
        <f>AVERAGE(g4rgdp!B86:B89)</f>
        <v>-1.4139926800342373</v>
      </c>
      <c r="C89" s="2">
        <v>123456789</v>
      </c>
      <c r="D89" s="2">
        <v>123456789</v>
      </c>
    </row>
    <row r="90" spans="1:4" x14ac:dyDescent="0.45">
      <c r="A90" t="s">
        <v>223</v>
      </c>
      <c r="B90">
        <f>AVERAGE(g4rgdp!B87:B90)</f>
        <v>-1.105507211819301</v>
      </c>
      <c r="C90" s="2">
        <v>123456789</v>
      </c>
      <c r="D90" s="2">
        <v>123456789</v>
      </c>
    </row>
    <row r="91" spans="1:4" x14ac:dyDescent="0.45">
      <c r="A91" t="s">
        <v>224</v>
      </c>
      <c r="B91">
        <f>AVERAGE(g4rgdp!B88:B91)</f>
        <v>-0.60777839247490029</v>
      </c>
      <c r="C91" s="2">
        <v>123456789</v>
      </c>
      <c r="D91" s="2">
        <v>123456789</v>
      </c>
    </row>
    <row r="92" spans="1:4" x14ac:dyDescent="0.45">
      <c r="A92" t="s">
        <v>225</v>
      </c>
      <c r="B92">
        <f>AVERAGE(g4rgdp!B89:B92)</f>
        <v>-0.16690275786439557</v>
      </c>
      <c r="C92" s="2">
        <v>123456789</v>
      </c>
      <c r="D92" s="2">
        <v>123456789</v>
      </c>
    </row>
    <row r="93" spans="1:4" x14ac:dyDescent="0.45">
      <c r="A93" t="s">
        <v>226</v>
      </c>
      <c r="B93">
        <f>AVERAGE(g4rgdp!B90:B93)</f>
        <v>0.27431993685889111</v>
      </c>
      <c r="C93" s="2">
        <v>123456789</v>
      </c>
      <c r="D93" s="2">
        <v>123456789</v>
      </c>
    </row>
    <row r="94" spans="1:4" x14ac:dyDescent="0.45">
      <c r="A94" t="s">
        <v>227</v>
      </c>
      <c r="B94">
        <f>AVERAGE(g4rgdp!B91:B94)</f>
        <v>0.72612856641289802</v>
      </c>
      <c r="C94" s="2">
        <v>123456789</v>
      </c>
      <c r="D94" s="2">
        <v>123456789</v>
      </c>
    </row>
    <row r="95" spans="1:4" x14ac:dyDescent="0.45">
      <c r="A95" t="s">
        <v>228</v>
      </c>
      <c r="B95">
        <f>AVERAGE(g4rgdp!B92:B95)</f>
        <v>1.3337116909409641</v>
      </c>
      <c r="C95" s="2">
        <v>123456789</v>
      </c>
      <c r="D95" s="2">
        <v>123456789</v>
      </c>
    </row>
    <row r="96" spans="1:4" x14ac:dyDescent="0.45">
      <c r="A96" t="s">
        <v>229</v>
      </c>
      <c r="B96">
        <f>AVERAGE(g4rgdp!B93:B96)</f>
        <v>1.8806192201356264</v>
      </c>
      <c r="C96" s="2">
        <v>123456789</v>
      </c>
      <c r="D96" s="2">
        <v>123456789</v>
      </c>
    </row>
    <row r="97" spans="1:4" x14ac:dyDescent="0.45">
      <c r="A97" t="s">
        <v>230</v>
      </c>
      <c r="B97">
        <f>AVERAGE(g4rgdp!B94:B97)</f>
        <v>2.2461828998769029</v>
      </c>
      <c r="C97" s="2">
        <v>123456789</v>
      </c>
      <c r="D97" s="2">
        <v>123456789</v>
      </c>
    </row>
    <row r="98" spans="1:4" x14ac:dyDescent="0.45">
      <c r="A98" t="s">
        <v>231</v>
      </c>
      <c r="B98">
        <f>AVERAGE(g4rgdp!B95:B98)</f>
        <v>2.6006332571707258</v>
      </c>
      <c r="C98" s="2">
        <v>123456789</v>
      </c>
      <c r="D98" s="2">
        <v>123456789</v>
      </c>
    </row>
    <row r="99" spans="1:4" x14ac:dyDescent="0.45">
      <c r="A99" t="s">
        <v>232</v>
      </c>
      <c r="B99">
        <f>AVERAGE(g4rgdp!B96:B99)</f>
        <v>2.9235798124548573</v>
      </c>
      <c r="C99" s="2">
        <v>123456789</v>
      </c>
      <c r="D99" s="2">
        <v>123456789</v>
      </c>
    </row>
    <row r="100" spans="1:4" x14ac:dyDescent="0.45">
      <c r="A100" t="s">
        <v>233</v>
      </c>
      <c r="B100">
        <f>AVERAGE(g4rgdp!B97:B100)</f>
        <v>3.1623620780513395</v>
      </c>
      <c r="C100" s="2">
        <v>123456789</v>
      </c>
      <c r="D100" s="2">
        <v>123456789</v>
      </c>
    </row>
    <row r="101" spans="1:4" x14ac:dyDescent="0.45">
      <c r="A101" t="s">
        <v>234</v>
      </c>
      <c r="B101">
        <f>AVERAGE(g4rgdp!B98:B101)</f>
        <v>3.3605336499130445</v>
      </c>
      <c r="C101" s="2">
        <v>123456789</v>
      </c>
      <c r="D101" s="2">
        <v>123456789</v>
      </c>
    </row>
    <row r="102" spans="1:4" x14ac:dyDescent="0.45">
      <c r="A102" t="s">
        <v>235</v>
      </c>
      <c r="B102">
        <f>AVERAGE(g4rgdp!B99:B102)</f>
        <v>3.3201746964330869</v>
      </c>
      <c r="C102" s="2">
        <v>123456789</v>
      </c>
      <c r="D102" s="2">
        <v>123456789</v>
      </c>
    </row>
    <row r="103" spans="1:4" x14ac:dyDescent="0.45">
      <c r="A103" t="s">
        <v>236</v>
      </c>
      <c r="B103">
        <f>AVERAGE(g4rgdp!B100:B103)</f>
        <v>2.9904784123838901</v>
      </c>
      <c r="C103" s="2">
        <v>123456789</v>
      </c>
      <c r="D103" s="2">
        <v>123456789</v>
      </c>
    </row>
    <row r="104" spans="1:4" x14ac:dyDescent="0.45">
      <c r="A104" t="s">
        <v>237</v>
      </c>
      <c r="B104">
        <f>AVERAGE(g4rgdp!B101:B104)</f>
        <v>2.6660932045091013</v>
      </c>
      <c r="C104" s="2">
        <v>123456789</v>
      </c>
      <c r="D104" s="2">
        <v>123456789</v>
      </c>
    </row>
    <row r="105" spans="1:4" x14ac:dyDescent="0.45">
      <c r="A105" t="s">
        <v>238</v>
      </c>
      <c r="B105">
        <f>AVERAGE(g4rgdp!B102:B105)</f>
        <v>2.378802410671943</v>
      </c>
      <c r="C105" s="2">
        <v>123456789</v>
      </c>
      <c r="D105" s="2">
        <v>123456789</v>
      </c>
    </row>
    <row r="106" spans="1:4" x14ac:dyDescent="0.45">
      <c r="A106" t="s">
        <v>239</v>
      </c>
      <c r="B106">
        <f>AVERAGE(g4rgdp!B103:B106)</f>
        <v>2.2539840295772606</v>
      </c>
      <c r="C106" s="2">
        <v>123456789</v>
      </c>
      <c r="D106" s="2">
        <v>123456789</v>
      </c>
    </row>
    <row r="107" spans="1:4" x14ac:dyDescent="0.45">
      <c r="A107" t="s">
        <v>240</v>
      </c>
      <c r="B107">
        <f>AVERAGE(g4rgdp!B104:B107)</f>
        <v>2.3269420342499902</v>
      </c>
      <c r="C107" s="2">
        <v>123456789</v>
      </c>
      <c r="D107" s="2">
        <v>123456789</v>
      </c>
    </row>
    <row r="108" spans="1:4" x14ac:dyDescent="0.45">
      <c r="A108" t="s">
        <v>241</v>
      </c>
      <c r="B108">
        <f>AVERAGE(g4rgdp!B105:B108)</f>
        <v>2.3138344242419784</v>
      </c>
      <c r="C108" s="2">
        <v>123456789</v>
      </c>
      <c r="D108" s="2">
        <v>123456789</v>
      </c>
    </row>
    <row r="109" spans="1:4" x14ac:dyDescent="0.45">
      <c r="A109" t="s">
        <v>242</v>
      </c>
      <c r="B109">
        <f>AVERAGE(g4rgdp!B106:B109)</f>
        <v>2.5789470747603183</v>
      </c>
      <c r="C109" s="2">
        <v>123456789</v>
      </c>
      <c r="D109" s="2">
        <v>123456789</v>
      </c>
    </row>
    <row r="110" spans="1:4" x14ac:dyDescent="0.45">
      <c r="A110" t="s">
        <v>243</v>
      </c>
      <c r="B110">
        <f>AVERAGE(g4rgdp!B107:B110)</f>
        <v>3.0214240532751457</v>
      </c>
      <c r="C110" s="2">
        <v>123456789</v>
      </c>
      <c r="D110" s="2">
        <v>123456789</v>
      </c>
    </row>
    <row r="111" spans="1:4" x14ac:dyDescent="0.45">
      <c r="A111" t="s">
        <v>244</v>
      </c>
      <c r="B111">
        <f>AVERAGE(g4rgdp!B108:B111)</f>
        <v>3.6367633757183437</v>
      </c>
      <c r="C111" s="2">
        <v>123456789</v>
      </c>
      <c r="D111" s="2">
        <v>123456789</v>
      </c>
    </row>
    <row r="112" spans="1:4" x14ac:dyDescent="0.45">
      <c r="A112" t="s">
        <v>245</v>
      </c>
      <c r="B112">
        <f>AVERAGE(g4rgdp!B109:B112)</f>
        <v>4.3104689595403034</v>
      </c>
      <c r="C112" s="2">
        <v>123456789</v>
      </c>
      <c r="D112" s="2">
        <v>123456789</v>
      </c>
    </row>
    <row r="113" spans="1:4" x14ac:dyDescent="0.45">
      <c r="A113" t="s">
        <v>246</v>
      </c>
      <c r="B113">
        <f>AVERAGE(g4rgdp!B110:B113)</f>
        <v>4.7614966712937079</v>
      </c>
      <c r="C113" s="2">
        <v>123456789</v>
      </c>
      <c r="D113" s="2">
        <v>123456789</v>
      </c>
    </row>
    <row r="114" spans="1:4" x14ac:dyDescent="0.45">
      <c r="A114" t="s">
        <v>247</v>
      </c>
      <c r="B114">
        <f>AVERAGE(g4rgdp!B111:B114)</f>
        <v>4.7706293584798942</v>
      </c>
      <c r="C114" s="2">
        <v>123456789</v>
      </c>
      <c r="D114" s="2">
        <v>123456789</v>
      </c>
    </row>
    <row r="115" spans="1:4" x14ac:dyDescent="0.45">
      <c r="A115" t="s">
        <v>248</v>
      </c>
      <c r="B115">
        <f>AVERAGE(g4rgdp!B112:B115)</f>
        <v>4.4487433820421085</v>
      </c>
      <c r="C115" s="2">
        <v>123456789</v>
      </c>
      <c r="D115" s="2">
        <v>123456789</v>
      </c>
    </row>
    <row r="116" spans="1:4" x14ac:dyDescent="0.45">
      <c r="A116" t="s">
        <v>249</v>
      </c>
      <c r="B116">
        <f>AVERAGE(g4rgdp!B113:B116)</f>
        <v>3.9416388966920124</v>
      </c>
      <c r="C116" s="2">
        <v>123456789</v>
      </c>
      <c r="D116" s="2">
        <v>123456789</v>
      </c>
    </row>
    <row r="117" spans="1:4" x14ac:dyDescent="0.45">
      <c r="A117" t="s">
        <v>250</v>
      </c>
      <c r="B117">
        <f>AVERAGE(g4rgdp!B114:B117)</f>
        <v>3.2015571305095136</v>
      </c>
      <c r="C117" s="2">
        <v>123456789</v>
      </c>
      <c r="D117" s="2">
        <v>123456789</v>
      </c>
    </row>
    <row r="118" spans="1:4" x14ac:dyDescent="0.45">
      <c r="A118" t="s">
        <v>251</v>
      </c>
      <c r="B118">
        <f>AVERAGE(g4rgdp!B115:B118)</f>
        <v>2.6743104497130687</v>
      </c>
      <c r="C118" s="2">
        <v>123456789</v>
      </c>
      <c r="D118" s="2">
        <v>123456789</v>
      </c>
    </row>
    <row r="119" spans="1:4" x14ac:dyDescent="0.45">
      <c r="A119" t="s">
        <v>252</v>
      </c>
      <c r="B119">
        <f>AVERAGE(g4rgdp!B116:B119)</f>
        <v>2.2275263004717161</v>
      </c>
      <c r="C119" s="2">
        <v>123456789</v>
      </c>
      <c r="D119" s="2">
        <v>123456789</v>
      </c>
    </row>
    <row r="120" spans="1:4" x14ac:dyDescent="0.45">
      <c r="A120" t="s">
        <v>253</v>
      </c>
      <c r="B120">
        <f>AVERAGE(g4rgdp!B117:B120)</f>
        <v>2.3401789146191287</v>
      </c>
      <c r="C120" s="2">
        <v>123456789</v>
      </c>
      <c r="D120" s="2">
        <v>123456789</v>
      </c>
    </row>
    <row r="121" spans="1:4" x14ac:dyDescent="0.45">
      <c r="A121" t="s">
        <v>254</v>
      </c>
      <c r="B121">
        <f>AVERAGE(g4rgdp!B118:B121)</f>
        <v>2.8927450022188772</v>
      </c>
      <c r="C121" s="2">
        <v>123456789</v>
      </c>
      <c r="D121" s="2">
        <v>123456789</v>
      </c>
    </row>
    <row r="122" spans="1:4" x14ac:dyDescent="0.45">
      <c r="A122" t="s">
        <v>255</v>
      </c>
      <c r="B122">
        <f>AVERAGE(g4rgdp!B119:B122)</f>
        <v>3.613207725200418</v>
      </c>
      <c r="C122" s="2">
        <v>123456789</v>
      </c>
      <c r="D122" s="2">
        <v>123456789</v>
      </c>
    </row>
    <row r="123" spans="1:4" x14ac:dyDescent="0.45">
      <c r="A123" t="s">
        <v>256</v>
      </c>
      <c r="B123">
        <f>AVERAGE(g4rgdp!B120:B123)</f>
        <v>4.474878926094128</v>
      </c>
      <c r="C123" s="2">
        <v>123456789</v>
      </c>
      <c r="D123" s="2">
        <v>123456789</v>
      </c>
    </row>
    <row r="124" spans="1:4" x14ac:dyDescent="0.45">
      <c r="A124" t="s">
        <v>257</v>
      </c>
      <c r="B124">
        <f>AVERAGE(g4rgdp!B121:B124)</f>
        <v>4.6979856459076874</v>
      </c>
      <c r="C124" s="2">
        <v>123456789</v>
      </c>
      <c r="D124" s="2">
        <v>123456789</v>
      </c>
    </row>
    <row r="125" spans="1:4" x14ac:dyDescent="0.45">
      <c r="A125" t="s">
        <v>258</v>
      </c>
      <c r="B125">
        <f>AVERAGE(g4rgdp!B122:B125)</f>
        <v>4.432891794121252</v>
      </c>
      <c r="C125" s="2">
        <v>123456789</v>
      </c>
      <c r="D125" s="2">
        <v>123456789</v>
      </c>
    </row>
    <row r="126" spans="1:4" x14ac:dyDescent="0.45">
      <c r="A126" t="s">
        <v>259</v>
      </c>
      <c r="B126">
        <f>AVERAGE(g4rgdp!B123:B126)</f>
        <v>3.8828703749266058</v>
      </c>
      <c r="C126" s="2">
        <v>123456789</v>
      </c>
      <c r="D126" s="2">
        <v>123456789</v>
      </c>
    </row>
    <row r="127" spans="1:4" x14ac:dyDescent="0.45">
      <c r="A127" t="s">
        <v>260</v>
      </c>
      <c r="B127">
        <f>AVERAGE(g4rgdp!B124:B127)</f>
        <v>3.1673055074135981</v>
      </c>
      <c r="C127" s="2">
        <v>123456789</v>
      </c>
      <c r="D127" s="2">
        <v>123456789</v>
      </c>
    </row>
    <row r="128" spans="1:4" x14ac:dyDescent="0.45">
      <c r="A128" t="s">
        <v>261</v>
      </c>
      <c r="B128">
        <f>AVERAGE(g4rgdp!B125:B128)</f>
        <v>2.680720527314806</v>
      </c>
      <c r="C128" s="2">
        <v>123456789</v>
      </c>
      <c r="D128" s="2">
        <v>123456789</v>
      </c>
    </row>
    <row r="129" spans="1:4" x14ac:dyDescent="0.45">
      <c r="A129" t="s">
        <v>262</v>
      </c>
      <c r="B129">
        <f>AVERAGE(g4rgdp!B126:B129)</f>
        <v>2.3644471243154719</v>
      </c>
      <c r="C129" s="2">
        <v>123456789</v>
      </c>
      <c r="D129" s="2">
        <v>123456789</v>
      </c>
    </row>
    <row r="130" spans="1:4" x14ac:dyDescent="0.45">
      <c r="A130" t="s">
        <v>263</v>
      </c>
      <c r="B130">
        <f>AVERAGE(g4rgdp!B127:B130)</f>
        <v>2.0412687724517653</v>
      </c>
      <c r="C130" s="2">
        <v>123456789</v>
      </c>
      <c r="D130" s="2">
        <v>123456789</v>
      </c>
    </row>
    <row r="131" spans="1:4" x14ac:dyDescent="0.45">
      <c r="A131" t="s">
        <v>264</v>
      </c>
      <c r="B131">
        <f>AVERAGE(g4rgdp!B128:B131)</f>
        <v>1.8240501549128929</v>
      </c>
      <c r="C131" s="2">
        <v>123456789</v>
      </c>
      <c r="D131" s="2">
        <v>123456789</v>
      </c>
    </row>
    <row r="132" spans="1:4" x14ac:dyDescent="0.45">
      <c r="A132" t="s">
        <v>265</v>
      </c>
      <c r="B132">
        <f>AVERAGE(g4rgdp!B129:B132)</f>
        <v>1.6696863495563097</v>
      </c>
      <c r="C132" s="2">
        <v>123456789</v>
      </c>
      <c r="D132" s="2">
        <v>123456789</v>
      </c>
    </row>
    <row r="133" spans="1:4" x14ac:dyDescent="0.45">
      <c r="A133" t="s">
        <v>266</v>
      </c>
      <c r="B133">
        <f>AVERAGE(g4rgdp!B130:B133)</f>
        <v>1.6933828424130937</v>
      </c>
      <c r="C133" s="2">
        <v>123456789</v>
      </c>
      <c r="D133" s="2">
        <v>123456789</v>
      </c>
    </row>
    <row r="134" spans="1:4" x14ac:dyDescent="0.45">
      <c r="A134" t="s">
        <v>267</v>
      </c>
      <c r="B134">
        <f>AVERAGE(g4rgdp!B131:B134)</f>
        <v>1.9826008465120282</v>
      </c>
      <c r="C134" s="2">
        <v>123456789</v>
      </c>
      <c r="D134" s="2">
        <v>123456789</v>
      </c>
    </row>
    <row r="135" spans="1:4" x14ac:dyDescent="0.45">
      <c r="A135" t="s">
        <v>268</v>
      </c>
      <c r="B135">
        <f>AVERAGE(g4rgdp!B132:B135)</f>
        <v>2.3424564259273417</v>
      </c>
      <c r="C135" s="2">
        <v>123456789</v>
      </c>
      <c r="D135" s="2">
        <v>123456789</v>
      </c>
    </row>
    <row r="136" spans="1:4" x14ac:dyDescent="0.45">
      <c r="A136" t="s">
        <v>269</v>
      </c>
      <c r="B136">
        <f>AVERAGE(g4rgdp!B133:B136)</f>
        <v>2.7868367489826351</v>
      </c>
      <c r="C136" s="2">
        <v>123456789</v>
      </c>
      <c r="D136" s="2">
        <v>123456789</v>
      </c>
    </row>
    <row r="137" spans="1:4" x14ac:dyDescent="0.45">
      <c r="A137" t="s">
        <v>270</v>
      </c>
      <c r="B137">
        <f>AVERAGE(g4rgdp!B134:B137)</f>
        <v>3.1646046329017796</v>
      </c>
      <c r="C137" s="2">
        <v>123456789</v>
      </c>
      <c r="D137" s="2">
        <v>123456789</v>
      </c>
    </row>
    <row r="138" spans="1:4" x14ac:dyDescent="0.45">
      <c r="A138" t="s">
        <v>271</v>
      </c>
      <c r="B138">
        <f>AVERAGE(g4rgdp!B135:B138)</f>
        <v>3.2770333426569209</v>
      </c>
      <c r="C138" s="2">
        <v>123456789</v>
      </c>
      <c r="D138" s="2">
        <v>123456789</v>
      </c>
    </row>
    <row r="139" spans="1:4" x14ac:dyDescent="0.45">
      <c r="A139" t="s">
        <v>272</v>
      </c>
      <c r="B139">
        <f>AVERAGE(g4rgdp!B136:B139)</f>
        <v>3.1787749754319083</v>
      </c>
      <c r="C139" s="2">
        <v>123456789</v>
      </c>
      <c r="D139" s="2">
        <v>123456789</v>
      </c>
    </row>
    <row r="140" spans="1:4" x14ac:dyDescent="0.45">
      <c r="A140" t="s">
        <v>273</v>
      </c>
      <c r="B140">
        <f>AVERAGE(g4rgdp!B137:B140)</f>
        <v>2.7971652559833249</v>
      </c>
      <c r="C140" s="2">
        <v>123456789</v>
      </c>
      <c r="D140" s="2">
        <v>123456789</v>
      </c>
    </row>
    <row r="141" spans="1:4" x14ac:dyDescent="0.45">
      <c r="A141" t="s">
        <v>274</v>
      </c>
      <c r="B141">
        <f>AVERAGE(g4rgdp!B138:B141)</f>
        <v>2.3036330089321932</v>
      </c>
      <c r="C141" s="2">
        <v>123456789</v>
      </c>
      <c r="D141" s="2">
        <v>123456789</v>
      </c>
    </row>
    <row r="142" spans="1:4" x14ac:dyDescent="0.45">
      <c r="A142" t="s">
        <v>275</v>
      </c>
      <c r="B142">
        <f>AVERAGE(g4rgdp!B139:B142)</f>
        <v>2.0540252524168245</v>
      </c>
      <c r="C142" s="2">
        <v>123456789</v>
      </c>
      <c r="D142" s="2">
        <v>123456789</v>
      </c>
    </row>
    <row r="143" spans="1:4" x14ac:dyDescent="0.45">
      <c r="A143" t="s">
        <v>276</v>
      </c>
      <c r="B143">
        <f>AVERAGE(g4rgdp!B140:B143)</f>
        <v>2.0028456441362419</v>
      </c>
      <c r="C143" s="2">
        <v>123456789</v>
      </c>
      <c r="D143" s="2">
        <v>123456789</v>
      </c>
    </row>
    <row r="144" spans="1:4" x14ac:dyDescent="0.45">
      <c r="A144" t="s">
        <v>277</v>
      </c>
      <c r="B144">
        <f>AVERAGE(g4rgdp!B141:B144)</f>
        <v>2.261704810301346</v>
      </c>
      <c r="C144" s="2">
        <v>123456789</v>
      </c>
      <c r="D144" s="2">
        <v>123456789</v>
      </c>
    </row>
    <row r="145" spans="1:4" x14ac:dyDescent="0.45">
      <c r="A145" t="s">
        <v>278</v>
      </c>
      <c r="B145">
        <f>AVERAGE(g4rgdp!B142:B145)</f>
        <v>2.7481570148642831</v>
      </c>
      <c r="C145" s="2">
        <v>123456789</v>
      </c>
      <c r="D145" s="2">
        <v>123456789</v>
      </c>
    </row>
    <row r="146" spans="1:4" x14ac:dyDescent="0.45">
      <c r="A146" t="s">
        <v>279</v>
      </c>
      <c r="B146">
        <f>AVERAGE(g4rgdp!B143:B146)</f>
        <v>3.0193800259787906</v>
      </c>
      <c r="C146" s="2">
        <v>123456789</v>
      </c>
      <c r="D146" s="2">
        <v>123456789</v>
      </c>
    </row>
    <row r="147" spans="1:4" x14ac:dyDescent="0.45">
      <c r="A147" t="s">
        <v>280</v>
      </c>
      <c r="B147">
        <f>AVERAGE(g4rgdp!B144:B147)</f>
        <v>3.0623473365100295</v>
      </c>
      <c r="C147" s="2">
        <v>123456789</v>
      </c>
      <c r="D147" s="2">
        <v>123456789</v>
      </c>
    </row>
    <row r="148" spans="1:4" x14ac:dyDescent="0.45">
      <c r="A148" t="s">
        <v>281</v>
      </c>
      <c r="B148">
        <f>AVERAGE(g4rgdp!B145:B148)</f>
        <v>2.7756263340469545</v>
      </c>
      <c r="C148" s="2">
        <v>123456789</v>
      </c>
      <c r="D148" s="2">
        <v>123456789</v>
      </c>
    </row>
    <row r="149" spans="1:4" x14ac:dyDescent="0.45">
      <c r="A149" t="s">
        <v>282</v>
      </c>
      <c r="B149">
        <f>AVERAGE(g4rgdp!B146:B149)</f>
        <v>2.1711846862809026</v>
      </c>
      <c r="C149" s="2">
        <v>123456789</v>
      </c>
      <c r="D149" s="2">
        <v>123456789</v>
      </c>
    </row>
    <row r="150" spans="1:4" x14ac:dyDescent="0.45">
      <c r="A150" t="s">
        <v>283</v>
      </c>
      <c r="B150">
        <f>AVERAGE(g4rgdp!B147:B150)</f>
        <v>1.8520838499457515</v>
      </c>
      <c r="C150" s="2">
        <v>123456789</v>
      </c>
      <c r="D150" s="2">
        <v>123456789</v>
      </c>
    </row>
    <row r="151" spans="1:4" x14ac:dyDescent="0.45">
      <c r="A151" t="s">
        <v>284</v>
      </c>
      <c r="B151">
        <f>AVERAGE(g4rgdp!B148:B151)</f>
        <v>1.8416795231785521</v>
      </c>
      <c r="C151" s="2">
        <v>123456789</v>
      </c>
      <c r="D151" s="2">
        <v>123456789</v>
      </c>
    </row>
    <row r="152" spans="1:4" x14ac:dyDescent="0.45">
      <c r="A152" t="s">
        <v>285</v>
      </c>
      <c r="B152">
        <f>AVERAGE(g4rgdp!B149:B152)</f>
        <v>2.2163149808680505</v>
      </c>
      <c r="C152" s="2">
        <v>123456789</v>
      </c>
      <c r="D152" s="2">
        <v>123456789</v>
      </c>
    </row>
    <row r="153" spans="1:4" x14ac:dyDescent="0.45">
      <c r="A153" t="s">
        <v>286</v>
      </c>
      <c r="B153">
        <f>AVERAGE(g4rgdp!B150:B153)</f>
        <v>2.8840161792845986</v>
      </c>
      <c r="C153" s="2">
        <v>123456789</v>
      </c>
      <c r="D153" s="2">
        <v>123456789</v>
      </c>
    </row>
    <row r="154" spans="1:4" x14ac:dyDescent="0.45">
      <c r="A154" t="s">
        <v>287</v>
      </c>
      <c r="B154">
        <f>AVERAGE(g4rgdp!B151:B154)</f>
        <v>3.1890692007553678</v>
      </c>
      <c r="C154" s="2">
        <v>123456789</v>
      </c>
      <c r="D154" s="2">
        <v>123456789</v>
      </c>
    </row>
    <row r="155" spans="1:4" x14ac:dyDescent="0.45">
      <c r="A155" t="s">
        <v>288</v>
      </c>
      <c r="B155">
        <f>AVERAGE(g4rgdp!B152:B155)</f>
        <v>2.9578372895917582</v>
      </c>
      <c r="C155" s="2">
        <v>123456789</v>
      </c>
      <c r="D155" s="2">
        <v>123456789</v>
      </c>
    </row>
    <row r="156" spans="1:4" x14ac:dyDescent="0.45">
      <c r="A156" t="s">
        <v>289</v>
      </c>
      <c r="B156">
        <f>AVERAGE(g4rgdp!B153:B156)</f>
        <v>1.8830670564911056</v>
      </c>
      <c r="C156" s="2">
        <v>123456789</v>
      </c>
      <c r="D156" s="2">
        <v>123456789</v>
      </c>
    </row>
    <row r="157" spans="1:4" x14ac:dyDescent="0.45">
      <c r="A157" t="s">
        <v>290</v>
      </c>
      <c r="B157">
        <f>AVERAGE(g4rgdp!B154:B157)</f>
        <v>-5.8465972008914235E-2</v>
      </c>
      <c r="C157" s="2">
        <v>123456789</v>
      </c>
      <c r="D157" s="2">
        <v>123456789</v>
      </c>
    </row>
    <row r="158" spans="1:4" x14ac:dyDescent="0.45">
      <c r="A158" t="s">
        <v>291</v>
      </c>
      <c r="B158">
        <f>AVERAGE(g4rgdp!B155:B158)</f>
        <v>-2.4246462496829491</v>
      </c>
      <c r="C158" s="2">
        <v>123456789</v>
      </c>
      <c r="D158" s="2">
        <v>123456789</v>
      </c>
    </row>
    <row r="159" spans="1:4" x14ac:dyDescent="0.45">
      <c r="A159" t="s">
        <v>292</v>
      </c>
      <c r="B159">
        <f>AVERAGE(g4rgdp!B156:B159)</f>
        <v>-4.3601595886725075</v>
      </c>
      <c r="C159" s="2">
        <v>123456789</v>
      </c>
      <c r="D159" s="2">
        <v>123456789</v>
      </c>
    </row>
    <row r="160" spans="1:4" x14ac:dyDescent="0.45">
      <c r="A160" t="s">
        <v>293</v>
      </c>
      <c r="B160">
        <f>AVERAGE(g4rgdp!B157:B160)</f>
        <v>-5.2025220344082079</v>
      </c>
      <c r="C160" s="2">
        <v>123456789</v>
      </c>
      <c r="D160" s="2">
        <v>123456789</v>
      </c>
    </row>
    <row r="161" spans="1:4" x14ac:dyDescent="0.45">
      <c r="A161" t="s">
        <v>294</v>
      </c>
      <c r="B161">
        <f>AVERAGE(g4rgdp!B158:B161)</f>
        <v>-4.6819081966457343</v>
      </c>
      <c r="C161" s="2">
        <v>123456789</v>
      </c>
      <c r="D161" s="2">
        <v>123456789</v>
      </c>
    </row>
    <row r="162" spans="1:4" x14ac:dyDescent="0.45">
      <c r="A162" t="s">
        <v>295</v>
      </c>
      <c r="B162">
        <f>AVERAGE(g4rgdp!B159:B162)</f>
        <v>-2.8370937404838426</v>
      </c>
      <c r="C162" s="2">
        <v>123456789</v>
      </c>
      <c r="D162" s="2">
        <v>123456789</v>
      </c>
    </row>
    <row r="163" spans="1:4" x14ac:dyDescent="0.45">
      <c r="A163" t="s">
        <v>296</v>
      </c>
      <c r="B163">
        <f>AVERAGE(g4rgdp!B160:B163)</f>
        <v>-0.6980605993688993</v>
      </c>
      <c r="C163" s="2">
        <v>123456789</v>
      </c>
      <c r="D163" s="2">
        <v>123456789</v>
      </c>
    </row>
    <row r="164" spans="1:4" x14ac:dyDescent="0.45">
      <c r="A164" t="s">
        <v>297</v>
      </c>
      <c r="B164">
        <f>AVERAGE(g4rgdp!B161:B164)</f>
        <v>1.1116829911146375</v>
      </c>
      <c r="C164" s="2">
        <v>123456789</v>
      </c>
      <c r="D164" s="2">
        <v>123456789</v>
      </c>
    </row>
    <row r="165" spans="1:4" x14ac:dyDescent="0.45">
      <c r="A165" t="s">
        <v>298</v>
      </c>
      <c r="B165">
        <f>AVERAGE(g4rgdp!B162:B165)</f>
        <v>2.2329794799386793</v>
      </c>
      <c r="C165" s="2">
        <v>123456789</v>
      </c>
      <c r="D165" s="2">
        <v>123456789</v>
      </c>
    </row>
    <row r="166" spans="1:4" x14ac:dyDescent="0.45">
      <c r="A166" t="s">
        <v>299</v>
      </c>
      <c r="B166">
        <f>AVERAGE(g4rgdp!B163:B166)</f>
        <v>2.4662157855855682</v>
      </c>
      <c r="C166" s="2">
        <v>123456789</v>
      </c>
      <c r="D166" s="2">
        <v>123456789</v>
      </c>
    </row>
    <row r="167" spans="1:4" x14ac:dyDescent="0.45">
      <c r="A167" t="s">
        <v>300</v>
      </c>
      <c r="B167">
        <f>AVERAGE(g4rgdp!B164:B167)</f>
        <v>2.0471507117535204</v>
      </c>
      <c r="C167" s="2">
        <v>123456789</v>
      </c>
      <c r="D167" s="2">
        <v>123456789</v>
      </c>
    </row>
    <row r="168" spans="1:4" x14ac:dyDescent="0.45">
      <c r="A168" t="s">
        <v>301</v>
      </c>
      <c r="B168">
        <f>AVERAGE(g4rgdp!B165:B168)</f>
        <v>1.4094256636958402</v>
      </c>
      <c r="C168" s="2">
        <v>123456789</v>
      </c>
      <c r="D168" s="2">
        <v>123456789</v>
      </c>
    </row>
    <row r="169" spans="1:4" x14ac:dyDescent="0.45">
      <c r="A169" t="s">
        <v>302</v>
      </c>
      <c r="B169">
        <f>AVERAGE(g4rgdp!B166:B169)</f>
        <v>0.85032371880688906</v>
      </c>
      <c r="C169" s="2">
        <v>123456789</v>
      </c>
      <c r="D169" s="2">
        <v>123456789</v>
      </c>
    </row>
    <row r="170" spans="1:4" x14ac:dyDescent="0.45">
      <c r="A170" t="s">
        <v>303</v>
      </c>
      <c r="B170">
        <f>AVERAGE(g4rgdp!B167:B170)</f>
        <v>0.65314278534391867</v>
      </c>
      <c r="C170" s="2">
        <v>123456789</v>
      </c>
      <c r="D170" s="2">
        <v>123456789</v>
      </c>
    </row>
    <row r="171" spans="1:4" x14ac:dyDescent="0.45">
      <c r="A171" t="s">
        <v>304</v>
      </c>
      <c r="B171">
        <f>AVERAGE(g4rgdp!B168:B171)</f>
        <v>0.75064833703399891</v>
      </c>
      <c r="C171" s="2">
        <v>123456789</v>
      </c>
      <c r="D171" s="2">
        <v>123456789</v>
      </c>
    </row>
    <row r="172" spans="1:4" x14ac:dyDescent="0.45">
      <c r="A172" t="s">
        <v>305</v>
      </c>
      <c r="B172">
        <f>AVERAGE(g4rgdp!B169:B172)</f>
        <v>1.1655838443190181</v>
      </c>
      <c r="C172" s="2">
        <v>123456789</v>
      </c>
      <c r="D172" s="2">
        <v>123456789</v>
      </c>
    </row>
    <row r="173" spans="1:4" x14ac:dyDescent="0.45">
      <c r="A173" t="s">
        <v>306</v>
      </c>
      <c r="B173">
        <f>AVERAGE(g4rgdp!B170:B173)</f>
        <v>1.5156503778594121</v>
      </c>
      <c r="C173" s="2">
        <v>123456789</v>
      </c>
      <c r="D173" s="2">
        <v>123456789</v>
      </c>
    </row>
    <row r="174" spans="1:4" x14ac:dyDescent="0.45">
      <c r="A174" t="s">
        <v>307</v>
      </c>
      <c r="B174">
        <f>AVERAGE(g4rgdp!B171:B174)</f>
        <v>1.5033411382860962</v>
      </c>
      <c r="C174" s="2">
        <v>123456789</v>
      </c>
      <c r="D174" s="2">
        <v>123456789</v>
      </c>
    </row>
    <row r="175" spans="1:4" x14ac:dyDescent="0.45">
      <c r="A175" t="s">
        <v>308</v>
      </c>
      <c r="B175">
        <f>AVERAGE(g4rgdp!B172:B175)</f>
        <v>1.6712765444624633</v>
      </c>
      <c r="C175" s="2">
        <v>123456789</v>
      </c>
      <c r="D175" s="2">
        <v>123456789</v>
      </c>
    </row>
    <row r="176" spans="1:4" x14ac:dyDescent="0.45">
      <c r="A176" t="s">
        <v>309</v>
      </c>
      <c r="B176">
        <f>AVERAGE(g4rgdp!B173:B176)</f>
        <v>1.5579604889759402</v>
      </c>
      <c r="C176" s="2">
        <v>123456789</v>
      </c>
      <c r="D176" s="2">
        <v>123456789</v>
      </c>
    </row>
    <row r="177" spans="1:4" x14ac:dyDescent="0.45">
      <c r="A177" t="s">
        <v>310</v>
      </c>
      <c r="B177">
        <f>AVERAGE(g4rgdp!B174:B177)</f>
        <v>1.7018952619904937</v>
      </c>
      <c r="C177" s="2">
        <v>123456789</v>
      </c>
      <c r="D177" s="2">
        <v>123456789</v>
      </c>
    </row>
    <row r="178" spans="1:4" x14ac:dyDescent="0.45">
      <c r="A178" t="s">
        <v>311</v>
      </c>
      <c r="B178">
        <f>AVERAGE(g4rgdp!B175:B178)</f>
        <v>2.1476133933922004</v>
      </c>
      <c r="C178" s="2">
        <v>123456789</v>
      </c>
      <c r="D178" s="2">
        <v>123456789</v>
      </c>
    </row>
    <row r="179" spans="1:4" x14ac:dyDescent="0.45">
      <c r="A179" t="s">
        <v>312</v>
      </c>
      <c r="B179">
        <f>AVERAGE(g4rgdp!B176:B179)</f>
        <v>2.4827297628514877</v>
      </c>
      <c r="C179" s="2">
        <v>123456789</v>
      </c>
      <c r="D179" s="2">
        <v>123456789</v>
      </c>
    </row>
    <row r="180" spans="1:4" x14ac:dyDescent="0.45">
      <c r="A180" t="s">
        <v>313</v>
      </c>
      <c r="B180">
        <f>AVERAGE(g4rgdp!B177:B180)</f>
        <v>2.8966750054348456</v>
      </c>
      <c r="C180" s="2">
        <v>123456789</v>
      </c>
      <c r="D180" s="2">
        <v>123456789</v>
      </c>
    </row>
    <row r="181" spans="1:4" x14ac:dyDescent="0.45">
      <c r="A181" t="s">
        <v>314</v>
      </c>
      <c r="B181">
        <f>AVERAGE(g4rgdp!B178:B181)</f>
        <v>3.1102968387251018</v>
      </c>
      <c r="C181" s="2">
        <v>123456789</v>
      </c>
      <c r="D181" s="2">
        <v>123456789</v>
      </c>
    </row>
    <row r="182" spans="1:4" x14ac:dyDescent="0.45">
      <c r="A182" t="s">
        <v>315</v>
      </c>
      <c r="B182">
        <f>AVERAGE(g4rgdp!B179:B182)</f>
        <v>3.0670122884563611</v>
      </c>
      <c r="C182" s="2">
        <v>123456789</v>
      </c>
      <c r="D182" s="2">
        <v>123456789</v>
      </c>
    </row>
    <row r="183" spans="1:4" x14ac:dyDescent="0.45">
      <c r="A183" t="s">
        <v>316</v>
      </c>
      <c r="B183">
        <f>AVERAGE(g4rgdp!B180:B183)</f>
        <v>2.835109266477831</v>
      </c>
      <c r="C183" s="2">
        <v>123456789</v>
      </c>
      <c r="D183" s="2">
        <v>123456789</v>
      </c>
    </row>
    <row r="184" spans="1:4" x14ac:dyDescent="0.45">
      <c r="A184" t="s">
        <v>317</v>
      </c>
      <c r="B184">
        <f>AVERAGE(g4rgdp!B181:B184)</f>
        <v>2.4853805993846567</v>
      </c>
      <c r="C184" s="2">
        <v>123456789</v>
      </c>
      <c r="D184" s="2">
        <v>123456789</v>
      </c>
    </row>
    <row r="185" spans="1:4" x14ac:dyDescent="0.45">
      <c r="A185" t="s">
        <v>318</v>
      </c>
      <c r="B185">
        <f>AVERAGE(g4rgdp!B182:B185)</f>
        <v>2.120471948700553</v>
      </c>
      <c r="C185" s="2">
        <v>123456789</v>
      </c>
      <c r="D185" s="2">
        <v>123456789</v>
      </c>
    </row>
    <row r="186" spans="1:4" x14ac:dyDescent="0.45">
      <c r="A186" t="s">
        <v>319</v>
      </c>
      <c r="B186">
        <f>AVERAGE(g4rgdp!B183:B186)</f>
        <v>1.9289717189771682</v>
      </c>
      <c r="C186" s="2">
        <v>123456789</v>
      </c>
      <c r="D186" s="2">
        <v>123456789</v>
      </c>
    </row>
    <row r="187" spans="1:4" x14ac:dyDescent="0.45">
      <c r="A187" t="s">
        <v>320</v>
      </c>
      <c r="B187">
        <f>AVERAGE(g4rgdp!B184:B187)</f>
        <v>1.9270460318590477</v>
      </c>
      <c r="C187" s="2">
        <v>123456789</v>
      </c>
      <c r="D187" s="2">
        <v>123456789</v>
      </c>
    </row>
    <row r="188" spans="1:4" x14ac:dyDescent="0.45">
      <c r="A188" t="s">
        <v>321</v>
      </c>
      <c r="B188">
        <f>AVERAGE(g4rgdp!B185:B188)</f>
        <v>2.0444366658571855</v>
      </c>
      <c r="C188" s="2">
        <v>123456789</v>
      </c>
      <c r="D188" s="2">
        <v>123456789</v>
      </c>
    </row>
    <row r="189" spans="1:4" x14ac:dyDescent="0.45">
      <c r="A189" t="s">
        <v>322</v>
      </c>
      <c r="B189">
        <f>AVERAGE(g4rgdp!B186:B189)</f>
        <v>2.1817965799471484</v>
      </c>
      <c r="C189" s="2">
        <v>123456789</v>
      </c>
      <c r="D189" s="2">
        <v>123456789</v>
      </c>
    </row>
    <row r="190" spans="1:4" x14ac:dyDescent="0.45">
      <c r="A190" t="s">
        <v>323</v>
      </c>
      <c r="B190">
        <f>AVERAGE(g4rgdp!B187:B190)</f>
        <v>2.3812481262730056</v>
      </c>
      <c r="C190" s="2">
        <v>123456789</v>
      </c>
      <c r="D190" s="2">
        <v>123456789</v>
      </c>
    </row>
    <row r="191" spans="1:4" x14ac:dyDescent="0.45">
      <c r="A191" t="s">
        <v>324</v>
      </c>
      <c r="B191">
        <f>AVERAGE(g4rgdp!B188:B191)</f>
        <v>2.5405179039991843</v>
      </c>
      <c r="C191" s="2">
        <v>123456789</v>
      </c>
      <c r="D191" s="2">
        <v>123456789</v>
      </c>
    </row>
    <row r="192" spans="1:4" x14ac:dyDescent="0.45">
      <c r="A192" t="s">
        <v>325</v>
      </c>
      <c r="B192">
        <f>AVERAGE(g4rgdp!B189:B192)</f>
        <v>2.7448993177502157</v>
      </c>
      <c r="C192" s="2">
        <v>123456789</v>
      </c>
      <c r="D192" s="2">
        <v>123456789</v>
      </c>
    </row>
    <row r="193" spans="1:4" x14ac:dyDescent="0.45">
      <c r="A193" t="s">
        <v>326</v>
      </c>
      <c r="B193">
        <f>AVERAGE(g4rgdp!B190:B193)</f>
        <v>2.9770397860422015</v>
      </c>
      <c r="C193" s="2">
        <v>123456789</v>
      </c>
      <c r="D193" s="2">
        <v>123456789</v>
      </c>
    </row>
    <row r="194" spans="1:4" x14ac:dyDescent="0.45">
      <c r="A194" t="s">
        <v>327</v>
      </c>
      <c r="B194">
        <f>AVERAGE(g4rgdp!B191:B194)</f>
        <v>2.8796102581410299</v>
      </c>
      <c r="C194" s="2">
        <v>123456789</v>
      </c>
      <c r="D194" s="2">
        <v>123456789</v>
      </c>
    </row>
    <row r="195" spans="1:4" x14ac:dyDescent="0.45">
      <c r="A195" t="s">
        <v>328</v>
      </c>
      <c r="B195">
        <f>AVERAGE(g4rgdp!B192:B195)</f>
        <v>2.5949779467747458</v>
      </c>
      <c r="C195" s="2">
        <v>123456789</v>
      </c>
      <c r="D195" s="2">
        <v>123456789</v>
      </c>
    </row>
    <row r="196" spans="1:4" x14ac:dyDescent="0.45">
      <c r="A196" t="s">
        <v>329</v>
      </c>
      <c r="B196">
        <f>AVERAGE(g4rgdp!B193:B196)</f>
        <v>2.1623758215118194</v>
      </c>
      <c r="C196" s="2">
        <v>123456789</v>
      </c>
      <c r="D196" s="2">
        <v>123456789</v>
      </c>
    </row>
    <row r="197" spans="1:4" x14ac:dyDescent="0.45">
      <c r="A197" t="s">
        <v>330</v>
      </c>
      <c r="B197">
        <f>AVERAGE(g4rgdp!B194:B197)</f>
        <v>1.5425928926690258</v>
      </c>
      <c r="C197" s="2">
        <v>123456789</v>
      </c>
      <c r="D197" s="2">
        <v>123456789</v>
      </c>
    </row>
    <row r="198" spans="1:4" x14ac:dyDescent="0.45">
      <c r="A198" t="s">
        <v>331</v>
      </c>
      <c r="B198">
        <f>AVERAGE(g4rgdp!B195:B198)</f>
        <v>1.2465747395791205</v>
      </c>
      <c r="C198" s="2">
        <v>123456789</v>
      </c>
      <c r="D198" s="2">
        <v>123456789</v>
      </c>
    </row>
    <row r="199" spans="1:4" x14ac:dyDescent="0.45">
      <c r="A199" t="s">
        <v>332</v>
      </c>
      <c r="B199">
        <f>AVERAGE(g4rgdp!B196:B199)</f>
        <v>1.1075220143498488</v>
      </c>
      <c r="C199" s="2">
        <v>123456789</v>
      </c>
      <c r="D199" s="2">
        <v>123456789</v>
      </c>
    </row>
    <row r="200" spans="1:4" x14ac:dyDescent="0.45">
      <c r="A200" t="s">
        <v>333</v>
      </c>
      <c r="B200">
        <f>AVERAGE(g4rgdp!B197:B200)</f>
        <v>1.1160863188791392</v>
      </c>
      <c r="C200" s="2">
        <v>123456789</v>
      </c>
      <c r="D200" s="2">
        <v>123456789</v>
      </c>
    </row>
    <row r="201" spans="1:4" x14ac:dyDescent="0.45">
      <c r="A201" t="s">
        <v>334</v>
      </c>
      <c r="B201">
        <f>AVERAGE(g4rgdp!B198:B201)</f>
        <v>1.2482427450168476</v>
      </c>
      <c r="C201" s="2">
        <v>123456789</v>
      </c>
      <c r="D201" s="2">
        <v>123456789</v>
      </c>
    </row>
    <row r="202" spans="1:4" x14ac:dyDescent="0.45">
      <c r="A202" t="s">
        <v>335</v>
      </c>
      <c r="B202">
        <f>AVERAGE(g4rgdp!B199:B202)</f>
        <v>0.45291260420703416</v>
      </c>
      <c r="C202" s="2">
        <v>123456789</v>
      </c>
      <c r="D202" s="2">
        <v>123456789</v>
      </c>
    </row>
    <row r="203" spans="1:4" x14ac:dyDescent="0.45">
      <c r="A203" t="s">
        <v>336</v>
      </c>
      <c r="B203">
        <f>AVERAGE(g4rgdp!B200:B203)</f>
        <v>-5.9438722552514367</v>
      </c>
      <c r="C203" s="2">
        <v>123456789</v>
      </c>
      <c r="D203" s="2">
        <v>123456789</v>
      </c>
    </row>
    <row r="204" spans="1:4" x14ac:dyDescent="0.45">
      <c r="A204" t="s">
        <v>337</v>
      </c>
      <c r="B204">
        <f>AVERAGE(g4rgdp!B201:B204)</f>
        <v>-8.6185305640463117</v>
      </c>
      <c r="C204" s="2">
        <v>123456789</v>
      </c>
      <c r="D204" s="2">
        <v>123456789</v>
      </c>
    </row>
    <row r="205" spans="1:4" x14ac:dyDescent="0.45">
      <c r="A205" t="s">
        <v>338</v>
      </c>
      <c r="B205">
        <f>AVERAGE(g4rgdp!B202:B205)</f>
        <v>-10.924076551221118</v>
      </c>
      <c r="C205" s="2">
        <v>123456789</v>
      </c>
      <c r="D205" s="2">
        <v>123456789</v>
      </c>
    </row>
    <row r="206" spans="1:4" x14ac:dyDescent="0.45">
      <c r="A206" t="s">
        <v>339</v>
      </c>
      <c r="B206">
        <f>AVERAGE(g4rgdp!B203:B206)</f>
        <v>-11.982836077405778</v>
      </c>
      <c r="C206" s="2">
        <v>123456789</v>
      </c>
      <c r="D206" s="2">
        <v>123456789</v>
      </c>
    </row>
    <row r="207" spans="1:4" x14ac:dyDescent="0.45">
      <c r="A207" t="s">
        <v>340</v>
      </c>
      <c r="B207">
        <f>AVERAGE(g4rgdp!B204:B207)</f>
        <v>-0.20245434191390466</v>
      </c>
      <c r="C207" s="2">
        <v>123456789</v>
      </c>
      <c r="D207" s="2">
        <v>123456789</v>
      </c>
    </row>
    <row r="208" spans="1:4" x14ac:dyDescent="0.45">
      <c r="A208" t="s">
        <v>341</v>
      </c>
      <c r="B208">
        <f>AVERAGE(g4rgdp!B205:B208)</f>
        <v>4.2982624794980051</v>
      </c>
      <c r="C208" s="2">
        <v>123456789</v>
      </c>
      <c r="D208" s="2">
        <v>123456789</v>
      </c>
    </row>
    <row r="209" spans="1:4" x14ac:dyDescent="0.45">
      <c r="A209" t="s">
        <v>342</v>
      </c>
      <c r="B209">
        <f>AVERAGE(g4rgdp!B206:B209)</f>
        <v>8.463176036630804</v>
      </c>
      <c r="C209" s="2">
        <v>123456789</v>
      </c>
      <c r="D209" s="2">
        <v>123456789</v>
      </c>
    </row>
    <row r="210" spans="1:4" x14ac:dyDescent="0.45">
      <c r="A210" t="s">
        <v>343</v>
      </c>
      <c r="B210">
        <f>AVERAGE(g4rgdp!B207:B210)</f>
        <v>12.725328445878858</v>
      </c>
      <c r="C210" s="2">
        <v>123456789</v>
      </c>
      <c r="D210" s="2">
        <v>123456789</v>
      </c>
    </row>
    <row r="211" spans="1:4" x14ac:dyDescent="0.45">
      <c r="A211" t="s">
        <v>344</v>
      </c>
      <c r="B211">
        <f>AVERAGE(g4rgdp!B208:B211)</f>
        <v>8.2026411630431006</v>
      </c>
      <c r="C211" s="2">
        <v>123456789</v>
      </c>
      <c r="D211" s="2">
        <v>123456789</v>
      </c>
    </row>
    <row r="212" spans="1:4" x14ac:dyDescent="0.45">
      <c r="A212" t="s">
        <v>345</v>
      </c>
      <c r="B212">
        <f>AVERAGE(g4rgdp!B209:B212)</f>
        <v>6.7864751062703732</v>
      </c>
      <c r="C212" s="2">
        <v>123456789</v>
      </c>
      <c r="D212" s="2">
        <v>123456789</v>
      </c>
    </row>
    <row r="213" spans="1:4" x14ac:dyDescent="0.45">
      <c r="A213" t="s">
        <v>346</v>
      </c>
      <c r="B213">
        <f>AVERAGE(g4rgdp!B210:B213)</f>
        <v>5.0908425963080539</v>
      </c>
      <c r="C213" s="2">
        <v>123456789</v>
      </c>
      <c r="D213" s="2">
        <v>123456789</v>
      </c>
    </row>
    <row r="214" spans="1:4" x14ac:dyDescent="0.45">
      <c r="A214" t="s">
        <v>347</v>
      </c>
      <c r="B214">
        <f>AVERAGE(g4rgdp!B211:B214)</f>
        <v>2.6347008669312277</v>
      </c>
      <c r="C214" s="2">
        <v>123456789</v>
      </c>
      <c r="D214" s="2">
        <v>123456789</v>
      </c>
    </row>
    <row r="215" spans="1:4" x14ac:dyDescent="0.45">
      <c r="A215" t="s">
        <v>348</v>
      </c>
      <c r="B215">
        <f>AVERAGE(g4rgdp!B212:B215)</f>
        <v>1.5980332087388582</v>
      </c>
      <c r="C215" s="2">
        <v>123456789</v>
      </c>
      <c r="D215" s="2">
        <v>123456789</v>
      </c>
    </row>
    <row r="216" spans="1:4" x14ac:dyDescent="0.45">
      <c r="A216" t="s">
        <v>349</v>
      </c>
      <c r="B216">
        <f>AVERAGE(g4rgdp!B213:B216)</f>
        <v>0.86900646087073596</v>
      </c>
      <c r="C216" s="2">
        <v>123456789</v>
      </c>
      <c r="D216" s="2">
        <v>123456789</v>
      </c>
    </row>
    <row r="217" spans="1:4" x14ac:dyDescent="0.45">
      <c r="A217" t="s">
        <v>350</v>
      </c>
      <c r="B217">
        <f>AVERAGE(g4rgdp!B214:B217)</f>
        <v>0.2715947346076053</v>
      </c>
      <c r="C217" s="2">
        <v>123456789</v>
      </c>
      <c r="D217" s="2">
        <v>123456789</v>
      </c>
    </row>
    <row r="218" spans="1:4" x14ac:dyDescent="0.45">
      <c r="A218" t="s">
        <v>351</v>
      </c>
      <c r="B218">
        <f>AVERAGE(g4rgdp!B215:B218)</f>
        <v>0.10532148113222561</v>
      </c>
      <c r="C218" s="2">
        <v>123456789</v>
      </c>
      <c r="D218" s="2">
        <v>123456789</v>
      </c>
    </row>
    <row r="219" spans="1:4" x14ac:dyDescent="0.45">
      <c r="A219" t="s">
        <v>352</v>
      </c>
      <c r="B219">
        <f>AVERAGE(g4rgdp!B216:B219)</f>
        <v>0.21036430376777382</v>
      </c>
      <c r="C219" s="2">
        <v>123456789</v>
      </c>
      <c r="D219" s="2">
        <v>123456789</v>
      </c>
    </row>
    <row r="220" spans="1:4" x14ac:dyDescent="0.45">
      <c r="A220" t="s">
        <v>353</v>
      </c>
      <c r="B220">
        <f>AVERAGE(g4rgdp!B217:B220)</f>
        <v>0.52056590628284383</v>
      </c>
      <c r="C220" s="2">
        <v>123456789</v>
      </c>
      <c r="D220" s="2">
        <v>123456789</v>
      </c>
    </row>
    <row r="221" spans="1:4" x14ac:dyDescent="0.45">
      <c r="A221" t="s">
        <v>354</v>
      </c>
      <c r="B221">
        <f>AVERAGE(g4rgdp!B218:B221)</f>
        <v>1.1163174164726897</v>
      </c>
      <c r="C221" s="2">
        <v>123456789</v>
      </c>
      <c r="D221" s="2">
        <v>123456789</v>
      </c>
    </row>
    <row r="222" spans="1:4" x14ac:dyDescent="0.45">
      <c r="A222" t="s">
        <v>355</v>
      </c>
      <c r="B222">
        <f>AVERAGE(g4rgdp!B219:B222)</f>
        <v>1.4762865413922466</v>
      </c>
      <c r="C222" s="2">
        <v>123456789</v>
      </c>
      <c r="D222" s="2">
        <v>123456789</v>
      </c>
    </row>
    <row r="223" spans="1:4" x14ac:dyDescent="0.45">
      <c r="A223" t="s">
        <v>356</v>
      </c>
      <c r="B223">
        <f>AVERAGE(g4rgdp!B220:B223)</f>
        <v>1.6101430916216852</v>
      </c>
      <c r="C223" s="2">
        <v>123456789</v>
      </c>
      <c r="D223" s="2">
        <v>123456789</v>
      </c>
    </row>
    <row r="224" spans="1:4" x14ac:dyDescent="0.45">
      <c r="A224" s="40" t="s">
        <v>357</v>
      </c>
      <c r="B224" s="40">
        <v>1.2668547097462568</v>
      </c>
      <c r="C224" s="2">
        <v>123456789</v>
      </c>
      <c r="D224" s="2">
        <v>123456789</v>
      </c>
    </row>
    <row r="225" spans="1:4" x14ac:dyDescent="0.45">
      <c r="A225" s="40" t="s">
        <v>438</v>
      </c>
      <c r="B225" s="40">
        <v>1.2668547097462568</v>
      </c>
      <c r="C225" s="2">
        <v>123456789</v>
      </c>
      <c r="D225" s="2">
        <v>123456789</v>
      </c>
    </row>
    <row r="226" spans="1:4" x14ac:dyDescent="0.45">
      <c r="A226" s="4" t="s">
        <v>441</v>
      </c>
      <c r="B226" s="4">
        <v>1.2668550000000001</v>
      </c>
      <c r="C226" s="12">
        <v>123456789</v>
      </c>
      <c r="D226" s="12">
        <v>123456789</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C7402-05D2-44E6-B2D6-4220DC98FAB7}">
  <sheetPr>
    <tabColor theme="9" tint="0.79998168889431442"/>
  </sheetPr>
  <dimension ref="A1:D226"/>
  <sheetViews>
    <sheetView topLeftCell="A207" workbookViewId="0">
      <selection activeCell="G223" sqref="G223"/>
    </sheetView>
  </sheetViews>
  <sheetFormatPr defaultRowHeight="14.25" x14ac:dyDescent="0.45"/>
  <cols>
    <col min="2" max="2" width="9.19921875" style="11"/>
  </cols>
  <sheetData>
    <row r="1" spans="1:4" x14ac:dyDescent="0.45">
      <c r="B1" s="11" t="s">
        <v>6</v>
      </c>
      <c r="C1" t="s">
        <v>133</v>
      </c>
      <c r="D1" t="s">
        <v>134</v>
      </c>
    </row>
    <row r="2" spans="1:4" x14ac:dyDescent="0.45">
      <c r="A2" t="s">
        <v>135</v>
      </c>
      <c r="B2" s="11">
        <v>5.0102728458787</v>
      </c>
      <c r="C2" s="2">
        <v>123456789</v>
      </c>
      <c r="D2" s="2">
        <v>123456789</v>
      </c>
    </row>
    <row r="3" spans="1:4" x14ac:dyDescent="0.45">
      <c r="A3" t="s">
        <v>136</v>
      </c>
      <c r="B3" s="11">
        <v>5.8689632067935902</v>
      </c>
      <c r="C3" s="2">
        <v>123456789</v>
      </c>
      <c r="D3" s="2">
        <v>123456789</v>
      </c>
    </row>
    <row r="4" spans="1:4" x14ac:dyDescent="0.45">
      <c r="A4" t="s">
        <v>137</v>
      </c>
      <c r="B4" s="11">
        <v>6.8417077306832201</v>
      </c>
      <c r="C4" s="2">
        <v>123456789</v>
      </c>
      <c r="D4" s="2">
        <v>123456789</v>
      </c>
    </row>
    <row r="5" spans="1:4" x14ac:dyDescent="0.45">
      <c r="A5" t="s">
        <v>138</v>
      </c>
      <c r="B5" s="11">
        <v>7.7038181773457</v>
      </c>
      <c r="C5" s="2">
        <v>123456789</v>
      </c>
      <c r="D5" s="2">
        <v>123456789</v>
      </c>
    </row>
    <row r="6" spans="1:4" x14ac:dyDescent="0.45">
      <c r="A6" t="s">
        <v>139</v>
      </c>
      <c r="B6" s="11">
        <v>8.5882078953503491</v>
      </c>
      <c r="C6" s="2">
        <v>123456789</v>
      </c>
      <c r="D6" s="2">
        <v>123456789</v>
      </c>
    </row>
    <row r="7" spans="1:4" x14ac:dyDescent="0.45">
      <c r="A7" t="s">
        <v>140</v>
      </c>
      <c r="B7" s="11">
        <v>9.8446788929847209</v>
      </c>
      <c r="C7" s="2">
        <v>123456789</v>
      </c>
      <c r="D7" s="2">
        <v>123456789</v>
      </c>
    </row>
    <row r="8" spans="1:4" x14ac:dyDescent="0.45">
      <c r="A8" t="s">
        <v>141</v>
      </c>
      <c r="B8" s="11">
        <v>10.1134194991086</v>
      </c>
      <c r="C8" s="2">
        <v>123456789</v>
      </c>
      <c r="D8" s="2">
        <v>123456789</v>
      </c>
    </row>
    <row r="9" spans="1:4" x14ac:dyDescent="0.45">
      <c r="A9" t="s">
        <v>142</v>
      </c>
      <c r="B9" s="11">
        <v>9.2129552113047701</v>
      </c>
      <c r="C9" s="2">
        <v>123456789</v>
      </c>
      <c r="D9" s="2">
        <v>123456789</v>
      </c>
    </row>
    <row r="10" spans="1:4" x14ac:dyDescent="0.45">
      <c r="A10" t="s">
        <v>143</v>
      </c>
      <c r="B10" s="11">
        <v>7.9540338679157001</v>
      </c>
      <c r="C10" s="2">
        <v>123456789</v>
      </c>
      <c r="D10" s="2">
        <v>123456789</v>
      </c>
    </row>
    <row r="11" spans="1:4" x14ac:dyDescent="0.45">
      <c r="A11" t="s">
        <v>144</v>
      </c>
      <c r="B11" s="11">
        <v>6.1779499841964398</v>
      </c>
      <c r="C11" s="2">
        <v>123456789</v>
      </c>
      <c r="D11" s="2">
        <v>123456789</v>
      </c>
    </row>
    <row r="12" spans="1:4" x14ac:dyDescent="0.45">
      <c r="A12" t="s">
        <v>145</v>
      </c>
      <c r="B12" s="11">
        <v>6.4592297794796103</v>
      </c>
      <c r="C12" s="2">
        <v>123456789</v>
      </c>
      <c r="D12" s="2">
        <v>123456789</v>
      </c>
    </row>
    <row r="13" spans="1:4" x14ac:dyDescent="0.45">
      <c r="A13" t="s">
        <v>146</v>
      </c>
      <c r="B13" s="11">
        <v>7.7151516759346297</v>
      </c>
      <c r="C13" s="2">
        <v>123456789</v>
      </c>
      <c r="D13" s="2">
        <v>123456789</v>
      </c>
    </row>
    <row r="14" spans="1:4" x14ac:dyDescent="0.45">
      <c r="A14" t="s">
        <v>147</v>
      </c>
      <c r="B14" s="11">
        <v>7.9315305325508501</v>
      </c>
      <c r="C14" s="2">
        <v>123456789</v>
      </c>
      <c r="D14" s="2">
        <v>123456789</v>
      </c>
    </row>
    <row r="15" spans="1:4" x14ac:dyDescent="0.45">
      <c r="A15" t="s">
        <v>148</v>
      </c>
      <c r="B15" s="11">
        <v>9.3218637205649397</v>
      </c>
      <c r="C15" s="2">
        <v>123456789</v>
      </c>
      <c r="D15" s="2">
        <v>123456789</v>
      </c>
    </row>
    <row r="16" spans="1:4" x14ac:dyDescent="0.45">
      <c r="A16" t="s">
        <v>149</v>
      </c>
      <c r="B16" s="11">
        <v>9.1917120743548892</v>
      </c>
      <c r="C16" s="2">
        <v>123456789</v>
      </c>
      <c r="D16" s="2">
        <v>123456789</v>
      </c>
    </row>
    <row r="17" spans="1:4" x14ac:dyDescent="0.45">
      <c r="A17" t="s">
        <v>150</v>
      </c>
      <c r="B17" s="11">
        <v>10.271493435260201</v>
      </c>
      <c r="C17" s="2">
        <v>123456789</v>
      </c>
      <c r="D17" s="2">
        <v>123456789</v>
      </c>
    </row>
    <row r="18" spans="1:4" x14ac:dyDescent="0.45">
      <c r="A18" t="s">
        <v>151</v>
      </c>
      <c r="B18" s="11">
        <v>12.8693743563959</v>
      </c>
      <c r="C18" s="2">
        <v>123456789</v>
      </c>
      <c r="D18" s="2">
        <v>123456789</v>
      </c>
    </row>
    <row r="19" spans="1:4" x14ac:dyDescent="0.45">
      <c r="A19" t="s">
        <v>152</v>
      </c>
      <c r="B19" s="11">
        <v>15.885167852670801</v>
      </c>
      <c r="C19" s="2">
        <v>123456789</v>
      </c>
      <c r="D19" s="2">
        <v>123456789</v>
      </c>
    </row>
    <row r="20" spans="1:4" x14ac:dyDescent="0.45">
      <c r="A20" t="s">
        <v>153</v>
      </c>
      <c r="B20" s="11">
        <v>17.0203012200915</v>
      </c>
      <c r="C20" s="2">
        <v>123456789</v>
      </c>
      <c r="D20" s="2">
        <v>123456789</v>
      </c>
    </row>
    <row r="21" spans="1:4" x14ac:dyDescent="0.45">
      <c r="A21" t="s">
        <v>154</v>
      </c>
      <c r="B21" s="11">
        <v>18.1808908271592</v>
      </c>
      <c r="C21" s="2">
        <v>123456789</v>
      </c>
      <c r="D21" s="2">
        <v>123456789</v>
      </c>
    </row>
    <row r="22" spans="1:4" x14ac:dyDescent="0.45">
      <c r="A22" t="s">
        <v>155</v>
      </c>
      <c r="B22" s="11">
        <v>20.308880573488398</v>
      </c>
      <c r="C22" s="2">
        <v>123456789</v>
      </c>
      <c r="D22" s="2">
        <v>123456789</v>
      </c>
    </row>
    <row r="23" spans="1:4" x14ac:dyDescent="0.45">
      <c r="A23" t="s">
        <v>156</v>
      </c>
      <c r="B23" s="11">
        <v>24.2866083379107</v>
      </c>
      <c r="C23" s="2">
        <v>123456789</v>
      </c>
      <c r="D23" s="2">
        <v>123456789</v>
      </c>
    </row>
    <row r="24" spans="1:4" x14ac:dyDescent="0.45">
      <c r="A24" t="s">
        <v>157</v>
      </c>
      <c r="B24" s="11">
        <v>26.565802100724198</v>
      </c>
      <c r="C24" s="2">
        <v>123456789</v>
      </c>
      <c r="D24" s="2">
        <v>123456789</v>
      </c>
    </row>
    <row r="25" spans="1:4" x14ac:dyDescent="0.45">
      <c r="A25" t="s">
        <v>158</v>
      </c>
      <c r="B25" s="11">
        <v>25.311322670581699</v>
      </c>
      <c r="C25" s="2">
        <v>123456789</v>
      </c>
      <c r="D25" s="2">
        <v>123456789</v>
      </c>
    </row>
    <row r="26" spans="1:4" x14ac:dyDescent="0.45">
      <c r="A26" t="s">
        <v>159</v>
      </c>
      <c r="B26" s="11">
        <v>22.452897363961299</v>
      </c>
      <c r="C26" s="2">
        <v>123456789</v>
      </c>
      <c r="D26" s="2">
        <v>123456789</v>
      </c>
    </row>
    <row r="27" spans="1:4" x14ac:dyDescent="0.45">
      <c r="A27" t="s">
        <v>160</v>
      </c>
      <c r="B27" s="11">
        <v>15.9720288576556</v>
      </c>
      <c r="C27" s="2">
        <v>123456789</v>
      </c>
      <c r="D27" s="2">
        <v>123456789</v>
      </c>
    </row>
    <row r="28" spans="1:4" x14ac:dyDescent="0.45">
      <c r="A28" t="s">
        <v>161</v>
      </c>
      <c r="B28" s="11">
        <v>13.650501769159799</v>
      </c>
      <c r="C28" s="2">
        <v>123456789</v>
      </c>
      <c r="D28" s="2">
        <v>123456789</v>
      </c>
    </row>
    <row r="29" spans="1:4" x14ac:dyDescent="0.45">
      <c r="A29" t="s">
        <v>162</v>
      </c>
      <c r="B29" s="11">
        <v>14.9294971368095</v>
      </c>
      <c r="C29" s="2">
        <v>123456789</v>
      </c>
      <c r="D29" s="2">
        <v>123456789</v>
      </c>
    </row>
    <row r="30" spans="1:4" x14ac:dyDescent="0.45">
      <c r="A30" t="s">
        <v>163</v>
      </c>
      <c r="B30" s="11">
        <v>16.506794192488901</v>
      </c>
      <c r="C30" s="2">
        <v>123456789</v>
      </c>
      <c r="D30" s="2">
        <v>123456789</v>
      </c>
    </row>
    <row r="31" spans="1:4" x14ac:dyDescent="0.45">
      <c r="A31" t="s">
        <v>164</v>
      </c>
      <c r="B31" s="11">
        <v>17.409083956419</v>
      </c>
      <c r="C31" s="2">
        <v>123456789</v>
      </c>
      <c r="D31" s="2">
        <v>123456789</v>
      </c>
    </row>
    <row r="32" spans="1:4" x14ac:dyDescent="0.45">
      <c r="A32" t="s">
        <v>165</v>
      </c>
      <c r="B32" s="11">
        <v>16.575500860539901</v>
      </c>
      <c r="C32" s="2">
        <v>123456789</v>
      </c>
      <c r="D32" s="2">
        <v>123456789</v>
      </c>
    </row>
    <row r="33" spans="1:4" x14ac:dyDescent="0.45">
      <c r="A33" t="s">
        <v>166</v>
      </c>
      <c r="B33" s="11">
        <v>13.0705824135961</v>
      </c>
      <c r="C33" s="2">
        <v>123456789</v>
      </c>
      <c r="D33" s="2">
        <v>123456789</v>
      </c>
    </row>
    <row r="34" spans="1:4" x14ac:dyDescent="0.45">
      <c r="A34" t="s">
        <v>167</v>
      </c>
      <c r="B34" s="11">
        <v>9.4964726332104306</v>
      </c>
      <c r="C34" s="2">
        <v>123456789</v>
      </c>
      <c r="D34" s="2">
        <v>123456789</v>
      </c>
    </row>
    <row r="35" spans="1:4" x14ac:dyDescent="0.45">
      <c r="A35" t="s">
        <v>168</v>
      </c>
      <c r="B35" s="11">
        <v>7.6796142992267704</v>
      </c>
      <c r="C35" s="2">
        <v>123456789</v>
      </c>
      <c r="D35" s="2">
        <v>123456789</v>
      </c>
    </row>
    <row r="36" spans="1:4" x14ac:dyDescent="0.45">
      <c r="A36" t="s">
        <v>169</v>
      </c>
      <c r="B36" s="11">
        <v>7.8491467391637002</v>
      </c>
      <c r="C36" s="2">
        <v>123456789</v>
      </c>
      <c r="D36" s="2">
        <v>123456789</v>
      </c>
    </row>
    <row r="37" spans="1:4" x14ac:dyDescent="0.45">
      <c r="A37" t="s">
        <v>170</v>
      </c>
      <c r="B37" s="11">
        <v>8.0917712956010508</v>
      </c>
      <c r="C37" s="2">
        <v>123456789</v>
      </c>
      <c r="D37" s="2">
        <v>123456789</v>
      </c>
    </row>
    <row r="38" spans="1:4" x14ac:dyDescent="0.45">
      <c r="A38" t="s">
        <v>171</v>
      </c>
      <c r="B38" s="11">
        <v>9.5820693146661</v>
      </c>
      <c r="C38" s="2">
        <v>123456789</v>
      </c>
      <c r="D38" s="2">
        <v>123456789</v>
      </c>
    </row>
    <row r="39" spans="1:4" x14ac:dyDescent="0.45">
      <c r="A39" t="s">
        <v>172</v>
      </c>
      <c r="B39" s="11">
        <v>10.5872328391644</v>
      </c>
      <c r="C39" s="2">
        <v>123456789</v>
      </c>
      <c r="D39" s="2">
        <v>123456789</v>
      </c>
    </row>
    <row r="40" spans="1:4" x14ac:dyDescent="0.45">
      <c r="A40" t="s">
        <v>173</v>
      </c>
      <c r="B40" s="11">
        <v>15.9779147340556</v>
      </c>
      <c r="C40" s="2">
        <v>123456789</v>
      </c>
      <c r="D40" s="2">
        <v>123456789</v>
      </c>
    </row>
    <row r="41" spans="1:4" x14ac:dyDescent="0.45">
      <c r="A41" t="s">
        <v>174</v>
      </c>
      <c r="B41" s="11">
        <v>17.258968084961801</v>
      </c>
      <c r="C41" s="2">
        <v>123456789</v>
      </c>
      <c r="D41" s="2">
        <v>123456789</v>
      </c>
    </row>
    <row r="42" spans="1:4" x14ac:dyDescent="0.45">
      <c r="A42" t="s">
        <v>175</v>
      </c>
      <c r="B42" s="11">
        <v>19.084108966956901</v>
      </c>
      <c r="C42" s="2">
        <v>123456789</v>
      </c>
      <c r="D42" s="2">
        <v>123456789</v>
      </c>
    </row>
    <row r="43" spans="1:4" x14ac:dyDescent="0.45">
      <c r="A43" t="s">
        <v>176</v>
      </c>
      <c r="B43" s="11">
        <v>21.548399280606699</v>
      </c>
      <c r="C43" s="2">
        <v>123456789</v>
      </c>
      <c r="D43" s="2">
        <v>123456789</v>
      </c>
    </row>
    <row r="44" spans="1:4" x14ac:dyDescent="0.45">
      <c r="A44" t="s">
        <v>177</v>
      </c>
      <c r="B44" s="11">
        <v>16.358912145241099</v>
      </c>
      <c r="C44" s="2">
        <v>123456789</v>
      </c>
      <c r="D44" s="2">
        <v>123456789</v>
      </c>
    </row>
    <row r="45" spans="1:4" x14ac:dyDescent="0.45">
      <c r="A45" t="s">
        <v>178</v>
      </c>
      <c r="B45" s="11">
        <v>15.279914146429</v>
      </c>
      <c r="C45" s="2">
        <v>123456789</v>
      </c>
      <c r="D45" s="2">
        <v>123456789</v>
      </c>
    </row>
    <row r="46" spans="1:4" x14ac:dyDescent="0.45">
      <c r="A46" t="s">
        <v>179</v>
      </c>
      <c r="B46" s="11">
        <v>12.702674003259601</v>
      </c>
      <c r="C46" s="2">
        <v>123456789</v>
      </c>
      <c r="D46" s="2">
        <v>123456789</v>
      </c>
    </row>
    <row r="47" spans="1:4" x14ac:dyDescent="0.45">
      <c r="A47" t="s">
        <v>180</v>
      </c>
      <c r="B47" s="11">
        <v>11.7006492077464</v>
      </c>
      <c r="C47" s="2">
        <v>123456789</v>
      </c>
      <c r="D47" s="2">
        <v>123456789</v>
      </c>
    </row>
    <row r="48" spans="1:4" x14ac:dyDescent="0.45">
      <c r="A48" t="s">
        <v>181</v>
      </c>
      <c r="B48" s="11">
        <v>11.257143558925099</v>
      </c>
      <c r="C48" s="2">
        <v>123456789</v>
      </c>
      <c r="D48" s="2">
        <v>123456789</v>
      </c>
    </row>
    <row r="49" spans="1:4" x14ac:dyDescent="0.45">
      <c r="A49" t="s">
        <v>182</v>
      </c>
      <c r="B49" s="11">
        <v>11.9036043045925</v>
      </c>
      <c r="C49" s="2">
        <v>123456789</v>
      </c>
      <c r="D49" s="2">
        <v>123456789</v>
      </c>
    </row>
    <row r="50" spans="1:4" x14ac:dyDescent="0.45">
      <c r="A50" t="s">
        <v>183</v>
      </c>
      <c r="B50" s="11">
        <v>11.128277938546701</v>
      </c>
      <c r="C50" s="2">
        <v>123456789</v>
      </c>
      <c r="D50" s="2">
        <v>123456789</v>
      </c>
    </row>
    <row r="51" spans="1:4" x14ac:dyDescent="0.45">
      <c r="A51" t="s">
        <v>184</v>
      </c>
      <c r="B51" s="11">
        <v>9.3526726235068995</v>
      </c>
      <c r="C51" s="2">
        <v>123456789</v>
      </c>
      <c r="D51" s="2">
        <v>123456789</v>
      </c>
    </row>
    <row r="52" spans="1:4" x14ac:dyDescent="0.45">
      <c r="A52" t="s">
        <v>185</v>
      </c>
      <c r="B52" s="11">
        <v>7.9785863493060303</v>
      </c>
      <c r="C52" s="2">
        <v>123456789</v>
      </c>
      <c r="D52" s="2">
        <v>123456789</v>
      </c>
    </row>
    <row r="53" spans="1:4" x14ac:dyDescent="0.45">
      <c r="A53" t="s">
        <v>186</v>
      </c>
      <c r="B53" s="11">
        <v>6.1670735430187902</v>
      </c>
      <c r="C53" s="2">
        <v>123456789</v>
      </c>
      <c r="D53" s="2">
        <v>123456789</v>
      </c>
    </row>
    <row r="54" spans="1:4" x14ac:dyDescent="0.45">
      <c r="A54" t="s">
        <v>187</v>
      </c>
      <c r="B54" s="11">
        <v>4.96415020054968</v>
      </c>
      <c r="C54" s="2">
        <v>123456789</v>
      </c>
      <c r="D54" s="2">
        <v>123456789</v>
      </c>
    </row>
    <row r="55" spans="1:4" x14ac:dyDescent="0.45">
      <c r="A55" t="s">
        <v>188</v>
      </c>
      <c r="B55" s="11">
        <v>3.78396000712744</v>
      </c>
      <c r="C55" s="2">
        <v>123456789</v>
      </c>
      <c r="D55" s="2">
        <v>123456789</v>
      </c>
    </row>
    <row r="56" spans="1:4" x14ac:dyDescent="0.45">
      <c r="A56" t="s">
        <v>189</v>
      </c>
      <c r="B56" s="11">
        <v>4.6439760912831298</v>
      </c>
      <c r="C56" s="2">
        <v>123456789</v>
      </c>
      <c r="D56" s="2">
        <v>123456789</v>
      </c>
    </row>
    <row r="57" spans="1:4" x14ac:dyDescent="0.45">
      <c r="A57" t="s">
        <v>190</v>
      </c>
      <c r="B57" s="11">
        <v>5.0507053959343704</v>
      </c>
      <c r="C57" s="2">
        <v>123456789</v>
      </c>
      <c r="D57" s="2">
        <v>123456789</v>
      </c>
    </row>
    <row r="58" spans="1:4" x14ac:dyDescent="0.45">
      <c r="A58" t="s">
        <v>191</v>
      </c>
      <c r="B58" s="11">
        <v>5.1574827802406302</v>
      </c>
      <c r="C58" s="2">
        <v>123456789</v>
      </c>
      <c r="D58" s="2">
        <v>123456789</v>
      </c>
    </row>
    <row r="59" spans="1:4" x14ac:dyDescent="0.45">
      <c r="A59" t="s">
        <v>192</v>
      </c>
      <c r="B59" s="11">
        <v>5.1443355585497201</v>
      </c>
      <c r="C59" s="2">
        <v>123456789</v>
      </c>
      <c r="D59" s="2">
        <v>123456789</v>
      </c>
    </row>
    <row r="60" spans="1:4" x14ac:dyDescent="0.45">
      <c r="A60" t="s">
        <v>193</v>
      </c>
      <c r="B60" s="11">
        <v>4.7139999946868896</v>
      </c>
      <c r="C60" s="2">
        <v>123456789</v>
      </c>
      <c r="D60" s="2">
        <v>123456789</v>
      </c>
    </row>
    <row r="61" spans="1:4" x14ac:dyDescent="0.45">
      <c r="A61" t="s">
        <v>194</v>
      </c>
      <c r="B61" s="11">
        <v>4.8371353833523196</v>
      </c>
      <c r="C61" s="2">
        <v>123456789</v>
      </c>
      <c r="D61" s="2">
        <v>123456789</v>
      </c>
    </row>
    <row r="62" spans="1:4" x14ac:dyDescent="0.45">
      <c r="A62" t="s">
        <v>195</v>
      </c>
      <c r="B62" s="11">
        <v>5.5029501025732603</v>
      </c>
      <c r="C62" s="2">
        <v>123456789</v>
      </c>
      <c r="D62" s="2">
        <v>123456789</v>
      </c>
    </row>
    <row r="63" spans="1:4" x14ac:dyDescent="0.45">
      <c r="A63" t="s">
        <v>196</v>
      </c>
      <c r="B63" s="11">
        <v>6.9687555955146596</v>
      </c>
      <c r="C63" s="2">
        <v>123456789</v>
      </c>
      <c r="D63" s="2">
        <v>123456789</v>
      </c>
    </row>
    <row r="64" spans="1:4" x14ac:dyDescent="0.45">
      <c r="A64" t="s">
        <v>197</v>
      </c>
      <c r="B64" s="11">
        <v>6.3020091129062097</v>
      </c>
      <c r="C64" s="2">
        <v>123456789</v>
      </c>
      <c r="D64" s="2">
        <v>123456789</v>
      </c>
    </row>
    <row r="65" spans="1:4" x14ac:dyDescent="0.45">
      <c r="A65" t="s">
        <v>198</v>
      </c>
      <c r="B65" s="11">
        <v>5.5104964473768003</v>
      </c>
      <c r="C65" s="2">
        <v>123456789</v>
      </c>
      <c r="D65" s="2">
        <v>123456789</v>
      </c>
    </row>
    <row r="66" spans="1:4" x14ac:dyDescent="0.45">
      <c r="A66" t="s">
        <v>199</v>
      </c>
      <c r="B66" s="11">
        <v>4.9293165498208902</v>
      </c>
      <c r="C66" s="2">
        <v>123456789</v>
      </c>
      <c r="D66" s="2">
        <v>123456789</v>
      </c>
    </row>
    <row r="67" spans="1:4" x14ac:dyDescent="0.45">
      <c r="A67" t="s">
        <v>200</v>
      </c>
      <c r="B67" s="11">
        <v>2.76803900581718</v>
      </c>
      <c r="C67" s="2">
        <v>123456789</v>
      </c>
      <c r="D67" s="2">
        <v>123456789</v>
      </c>
    </row>
    <row r="68" spans="1:4" x14ac:dyDescent="0.45">
      <c r="A68" t="s">
        <v>201</v>
      </c>
      <c r="B68" s="11">
        <v>2.6214527047703902</v>
      </c>
      <c r="C68" s="2">
        <v>123456789</v>
      </c>
      <c r="D68" s="2">
        <v>123456789</v>
      </c>
    </row>
    <row r="69" spans="1:4" x14ac:dyDescent="0.45">
      <c r="A69" t="s">
        <v>202</v>
      </c>
      <c r="B69" s="11">
        <v>3.4434765954186801</v>
      </c>
      <c r="C69" s="2">
        <v>123456789</v>
      </c>
      <c r="D69" s="2">
        <v>123456789</v>
      </c>
    </row>
    <row r="70" spans="1:4" x14ac:dyDescent="0.45">
      <c r="A70" t="s">
        <v>203</v>
      </c>
      <c r="B70" s="11">
        <v>3.9723659908501299</v>
      </c>
      <c r="C70" s="2">
        <v>123456789</v>
      </c>
      <c r="D70" s="2">
        <v>123456789</v>
      </c>
    </row>
    <row r="71" spans="1:4" x14ac:dyDescent="0.45">
      <c r="A71" t="s">
        <v>204</v>
      </c>
      <c r="B71" s="11">
        <v>4.1936629687008198</v>
      </c>
      <c r="C71" s="2">
        <v>123456789</v>
      </c>
      <c r="D71" s="2">
        <v>123456789</v>
      </c>
    </row>
    <row r="72" spans="1:4" x14ac:dyDescent="0.45">
      <c r="A72" t="s">
        <v>205</v>
      </c>
      <c r="B72" s="11">
        <v>4.3256198016031702</v>
      </c>
      <c r="C72" s="2">
        <v>123456789</v>
      </c>
      <c r="D72" s="2">
        <v>123456789</v>
      </c>
    </row>
    <row r="73" spans="1:4" x14ac:dyDescent="0.45">
      <c r="A73" t="s">
        <v>206</v>
      </c>
      <c r="B73" s="11">
        <v>4.1022250954398896</v>
      </c>
      <c r="C73" s="2">
        <v>123456789</v>
      </c>
      <c r="D73" s="2">
        <v>123456789</v>
      </c>
    </row>
    <row r="74" spans="1:4" x14ac:dyDescent="0.45">
      <c r="A74" t="s">
        <v>207</v>
      </c>
      <c r="B74" s="11">
        <v>3.2495131686668102</v>
      </c>
      <c r="C74" s="2">
        <v>123456789</v>
      </c>
      <c r="D74" s="2">
        <v>123456789</v>
      </c>
    </row>
    <row r="75" spans="1:4" x14ac:dyDescent="0.45">
      <c r="A75" t="s">
        <v>208</v>
      </c>
      <c r="B75" s="11">
        <v>3.7854892318230502</v>
      </c>
      <c r="C75" s="2">
        <v>123456789</v>
      </c>
      <c r="D75" s="2">
        <v>123456789</v>
      </c>
    </row>
    <row r="76" spans="1:4" x14ac:dyDescent="0.45">
      <c r="A76" t="s">
        <v>209</v>
      </c>
      <c r="B76" s="11">
        <v>4.5550177276124701</v>
      </c>
      <c r="C76" s="2">
        <v>123456789</v>
      </c>
      <c r="D76" s="2">
        <v>123456789</v>
      </c>
    </row>
    <row r="77" spans="1:4" x14ac:dyDescent="0.45">
      <c r="A77" t="s">
        <v>210</v>
      </c>
      <c r="B77" s="11">
        <v>5.0057059503019801</v>
      </c>
      <c r="C77" s="2">
        <v>123456789</v>
      </c>
      <c r="D77" s="2">
        <v>123456789</v>
      </c>
    </row>
    <row r="78" spans="1:4" x14ac:dyDescent="0.45">
      <c r="A78" t="s">
        <v>211</v>
      </c>
      <c r="B78" s="11">
        <v>5.7406094968107704</v>
      </c>
      <c r="C78" s="2">
        <v>123456789</v>
      </c>
      <c r="D78" s="2">
        <v>123456789</v>
      </c>
    </row>
    <row r="79" spans="1:4" x14ac:dyDescent="0.45">
      <c r="A79" t="s">
        <v>212</v>
      </c>
      <c r="B79" s="11">
        <v>5.8333333333333304</v>
      </c>
      <c r="C79" s="2">
        <v>123456789</v>
      </c>
      <c r="D79" s="2">
        <v>123456789</v>
      </c>
    </row>
    <row r="80" spans="1:4" x14ac:dyDescent="0.45">
      <c r="A80" t="s">
        <v>213</v>
      </c>
      <c r="B80" s="11">
        <v>5.6396148555708301</v>
      </c>
      <c r="C80" s="2">
        <v>123456789</v>
      </c>
      <c r="D80" s="2">
        <v>123456789</v>
      </c>
    </row>
    <row r="81" spans="1:4" x14ac:dyDescent="0.45">
      <c r="A81" t="s">
        <v>214</v>
      </c>
      <c r="B81" s="11">
        <v>5.8265582655826602</v>
      </c>
      <c r="C81" s="2">
        <v>123456789</v>
      </c>
      <c r="D81" s="2">
        <v>123456789</v>
      </c>
    </row>
    <row r="82" spans="1:4" x14ac:dyDescent="0.45">
      <c r="A82" t="s">
        <v>215</v>
      </c>
      <c r="B82" s="11">
        <v>6.1662198391420899</v>
      </c>
      <c r="C82" s="2">
        <v>123456789</v>
      </c>
      <c r="D82" s="2">
        <v>123456789</v>
      </c>
    </row>
    <row r="83" spans="1:4" x14ac:dyDescent="0.45">
      <c r="A83" t="s">
        <v>216</v>
      </c>
      <c r="B83" s="11">
        <v>8.0052493438320198</v>
      </c>
      <c r="C83" s="2">
        <v>123456789</v>
      </c>
      <c r="D83" s="2">
        <v>123456789</v>
      </c>
    </row>
    <row r="84" spans="1:4" x14ac:dyDescent="0.45">
      <c r="A84" t="s">
        <v>217</v>
      </c>
      <c r="B84" s="11">
        <v>8.7890625</v>
      </c>
      <c r="C84" s="2">
        <v>123456789</v>
      </c>
      <c r="D84" s="2">
        <v>123456789</v>
      </c>
    </row>
    <row r="85" spans="1:4" x14ac:dyDescent="0.45">
      <c r="A85" t="s">
        <v>218</v>
      </c>
      <c r="B85" s="11">
        <v>9.2189500640204791</v>
      </c>
      <c r="C85" s="2">
        <v>123456789</v>
      </c>
      <c r="D85" s="2">
        <v>123456789</v>
      </c>
    </row>
    <row r="86" spans="1:4" x14ac:dyDescent="0.45">
      <c r="A86" t="s">
        <v>219</v>
      </c>
      <c r="B86" s="11">
        <v>8.39646464646464</v>
      </c>
      <c r="C86" s="2">
        <v>123456789</v>
      </c>
      <c r="D86" s="2">
        <v>123456789</v>
      </c>
    </row>
    <row r="87" spans="1:4" x14ac:dyDescent="0.45">
      <c r="A87" t="s">
        <v>220</v>
      </c>
      <c r="B87" s="11">
        <v>7.7764277035236802</v>
      </c>
      <c r="C87" s="2">
        <v>123456789</v>
      </c>
      <c r="D87" s="2">
        <v>123456789</v>
      </c>
    </row>
    <row r="88" spans="1:4" x14ac:dyDescent="0.45">
      <c r="A88" t="s">
        <v>221</v>
      </c>
      <c r="B88" s="11">
        <v>7.3010173548773203</v>
      </c>
      <c r="C88" s="2">
        <v>123456789</v>
      </c>
      <c r="D88" s="2">
        <v>123456789</v>
      </c>
    </row>
    <row r="89" spans="1:4" x14ac:dyDescent="0.45">
      <c r="A89" t="s">
        <v>222</v>
      </c>
      <c r="B89" s="11">
        <v>6.4478311840562599</v>
      </c>
      <c r="C89" s="2">
        <v>123456789</v>
      </c>
      <c r="D89" s="2">
        <v>123456789</v>
      </c>
    </row>
    <row r="90" spans="1:4" x14ac:dyDescent="0.45">
      <c r="A90" t="s">
        <v>223</v>
      </c>
      <c r="B90" s="11">
        <v>6.23179965055329</v>
      </c>
      <c r="C90" s="2">
        <v>123456789</v>
      </c>
      <c r="D90" s="2">
        <v>123456789</v>
      </c>
    </row>
    <row r="91" spans="1:4" x14ac:dyDescent="0.45">
      <c r="A91" t="s">
        <v>224</v>
      </c>
      <c r="B91" s="11">
        <v>4.9605411499436398</v>
      </c>
      <c r="C91" s="2">
        <v>123456789</v>
      </c>
      <c r="D91" s="2">
        <v>123456789</v>
      </c>
    </row>
    <row r="92" spans="1:4" x14ac:dyDescent="0.45">
      <c r="A92" t="s">
        <v>225</v>
      </c>
      <c r="B92" s="11">
        <v>3.95984383714443</v>
      </c>
      <c r="C92" s="2">
        <v>123456789</v>
      </c>
      <c r="D92" s="2">
        <v>123456789</v>
      </c>
    </row>
    <row r="93" spans="1:4" x14ac:dyDescent="0.45">
      <c r="A93" t="s">
        <v>226</v>
      </c>
      <c r="B93" s="11">
        <v>3.3039647577092501</v>
      </c>
      <c r="C93" s="2">
        <v>123456789</v>
      </c>
      <c r="D93" s="2">
        <v>123456789</v>
      </c>
    </row>
    <row r="94" spans="1:4" x14ac:dyDescent="0.45">
      <c r="A94" t="s">
        <v>227</v>
      </c>
      <c r="B94" s="11">
        <v>3.125</v>
      </c>
      <c r="C94" s="2">
        <v>123456789</v>
      </c>
      <c r="D94" s="2">
        <v>123456789</v>
      </c>
    </row>
    <row r="95" spans="1:4" x14ac:dyDescent="0.45">
      <c r="A95" t="s">
        <v>228</v>
      </c>
      <c r="B95" s="11">
        <v>2.3630504833512198</v>
      </c>
      <c r="C95" s="2">
        <v>123456789</v>
      </c>
      <c r="D95" s="2">
        <v>123456789</v>
      </c>
    </row>
    <row r="96" spans="1:4" x14ac:dyDescent="0.45">
      <c r="A96" t="s">
        <v>229</v>
      </c>
      <c r="B96" s="11">
        <v>2.52145922746781</v>
      </c>
      <c r="C96" s="2">
        <v>123456789</v>
      </c>
      <c r="D96" s="2">
        <v>123456789</v>
      </c>
    </row>
    <row r="97" spans="1:4" x14ac:dyDescent="0.45">
      <c r="A97" t="s">
        <v>230</v>
      </c>
      <c r="B97" s="11">
        <v>2.23880597014925</v>
      </c>
      <c r="C97" s="2">
        <v>123456789</v>
      </c>
      <c r="D97" s="2">
        <v>123456789</v>
      </c>
    </row>
    <row r="98" spans="1:4" x14ac:dyDescent="0.45">
      <c r="A98" t="s">
        <v>231</v>
      </c>
      <c r="B98" s="11">
        <v>2.3923444976076498</v>
      </c>
      <c r="C98" s="2">
        <v>123456789</v>
      </c>
      <c r="D98" s="2">
        <v>123456789</v>
      </c>
    </row>
    <row r="99" spans="1:4" x14ac:dyDescent="0.45">
      <c r="A99" t="s">
        <v>232</v>
      </c>
      <c r="B99" s="11">
        <v>2.3609653725078701</v>
      </c>
      <c r="C99" s="2">
        <v>123456789</v>
      </c>
      <c r="D99" s="2">
        <v>123456789</v>
      </c>
    </row>
    <row r="100" spans="1:4" x14ac:dyDescent="0.45">
      <c r="A100" t="s">
        <v>233</v>
      </c>
      <c r="B100" s="11">
        <v>2.0408163265306101</v>
      </c>
      <c r="C100" s="2">
        <v>123456789</v>
      </c>
      <c r="D100" s="2">
        <v>123456789</v>
      </c>
    </row>
    <row r="101" spans="1:4" x14ac:dyDescent="0.45">
      <c r="A101" t="s">
        <v>234</v>
      </c>
      <c r="B101" s="11">
        <v>2.0855057351407802</v>
      </c>
      <c r="C101" s="2">
        <v>123456789</v>
      </c>
      <c r="D101" s="2">
        <v>123456789</v>
      </c>
    </row>
    <row r="102" spans="1:4" x14ac:dyDescent="0.45">
      <c r="A102" t="s">
        <v>235</v>
      </c>
      <c r="B102" s="11">
        <v>2.38836967808929</v>
      </c>
      <c r="C102" s="2">
        <v>123456789</v>
      </c>
      <c r="D102" s="2">
        <v>123456789</v>
      </c>
    </row>
    <row r="103" spans="1:4" x14ac:dyDescent="0.45">
      <c r="A103" t="s">
        <v>236</v>
      </c>
      <c r="B103" s="11">
        <v>2.4602767811378699</v>
      </c>
      <c r="C103" s="2">
        <v>123456789</v>
      </c>
      <c r="D103" s="2">
        <v>123456789</v>
      </c>
    </row>
    <row r="104" spans="1:4" x14ac:dyDescent="0.45">
      <c r="A104" t="s">
        <v>237</v>
      </c>
      <c r="B104" s="11">
        <v>2.9230769230769198</v>
      </c>
      <c r="C104" s="2">
        <v>123456789</v>
      </c>
      <c r="D104" s="2">
        <v>123456789</v>
      </c>
    </row>
    <row r="105" spans="1:4" x14ac:dyDescent="0.45">
      <c r="A105" t="s">
        <v>238</v>
      </c>
      <c r="B105" s="11">
        <v>3.0132788559754702</v>
      </c>
      <c r="C105" s="2">
        <v>123456789</v>
      </c>
      <c r="D105" s="2">
        <v>123456789</v>
      </c>
    </row>
    <row r="106" spans="1:4" x14ac:dyDescent="0.45">
      <c r="A106" t="s">
        <v>239</v>
      </c>
      <c r="B106" s="11">
        <v>2.9411764705882399</v>
      </c>
      <c r="C106" s="2">
        <v>123456789</v>
      </c>
      <c r="D106" s="2">
        <v>123456789</v>
      </c>
    </row>
    <row r="107" spans="1:4" x14ac:dyDescent="0.45">
      <c r="A107" t="s">
        <v>240</v>
      </c>
      <c r="B107" s="11">
        <v>2.85142571285642</v>
      </c>
      <c r="C107" s="2">
        <v>123456789</v>
      </c>
      <c r="D107" s="2">
        <v>123456789</v>
      </c>
    </row>
    <row r="108" spans="1:4" x14ac:dyDescent="0.45">
      <c r="A108" t="s">
        <v>241</v>
      </c>
      <c r="B108" s="11">
        <v>2.6407573492775298</v>
      </c>
      <c r="C108" s="2">
        <v>123456789</v>
      </c>
      <c r="D108" s="2">
        <v>123456789</v>
      </c>
    </row>
    <row r="109" spans="1:4" x14ac:dyDescent="0.45">
      <c r="A109" t="s">
        <v>242</v>
      </c>
      <c r="B109" s="11">
        <v>2.97471492315319</v>
      </c>
      <c r="C109" s="2">
        <v>123456789</v>
      </c>
      <c r="D109" s="2">
        <v>123456789</v>
      </c>
    </row>
    <row r="110" spans="1:4" x14ac:dyDescent="0.45">
      <c r="A110" t="s">
        <v>243</v>
      </c>
      <c r="B110" s="11">
        <v>2.41379310344827</v>
      </c>
      <c r="C110" s="2">
        <v>123456789</v>
      </c>
      <c r="D110" s="2">
        <v>123456789</v>
      </c>
    </row>
    <row r="111" spans="1:4" x14ac:dyDescent="0.45">
      <c r="A111" t="s">
        <v>244</v>
      </c>
      <c r="B111" s="11">
        <v>2.0428015564202302</v>
      </c>
      <c r="C111" s="2">
        <v>123456789</v>
      </c>
      <c r="D111" s="2">
        <v>123456789</v>
      </c>
    </row>
    <row r="112" spans="1:4" x14ac:dyDescent="0.45">
      <c r="A112" t="s">
        <v>245</v>
      </c>
      <c r="B112" s="11">
        <v>2.3300970873786402</v>
      </c>
      <c r="C112" s="2">
        <v>123456789</v>
      </c>
      <c r="D112" s="2">
        <v>123456789</v>
      </c>
    </row>
    <row r="113" spans="1:4" x14ac:dyDescent="0.45">
      <c r="A113" t="s">
        <v>246</v>
      </c>
      <c r="B113" s="11">
        <v>2.0221473278767399</v>
      </c>
      <c r="C113" s="2">
        <v>123456789</v>
      </c>
      <c r="D113" s="2">
        <v>123456789</v>
      </c>
    </row>
    <row r="114" spans="1:4" x14ac:dyDescent="0.45">
      <c r="A114" t="s">
        <v>247</v>
      </c>
      <c r="B114" s="11">
        <v>1.87590187590187</v>
      </c>
      <c r="C114" s="2">
        <v>123456789</v>
      </c>
      <c r="D114" s="2">
        <v>123456789</v>
      </c>
    </row>
    <row r="115" spans="1:4" x14ac:dyDescent="0.45">
      <c r="A115" t="s">
        <v>248</v>
      </c>
      <c r="B115" s="11">
        <v>2.0495710200190702</v>
      </c>
      <c r="C115" s="2">
        <v>123456789</v>
      </c>
      <c r="D115" s="2">
        <v>123456789</v>
      </c>
    </row>
    <row r="116" spans="1:4" x14ac:dyDescent="0.45">
      <c r="A116" t="s">
        <v>249</v>
      </c>
      <c r="B116" s="11">
        <v>1.6603415559772201</v>
      </c>
      <c r="C116" s="2">
        <v>123456789</v>
      </c>
      <c r="D116" s="2">
        <v>123456789</v>
      </c>
    </row>
    <row r="117" spans="1:4" x14ac:dyDescent="0.45">
      <c r="A117" t="s">
        <v>250</v>
      </c>
      <c r="B117" s="11">
        <v>1.6989145823501599</v>
      </c>
      <c r="C117" s="2">
        <v>123456789</v>
      </c>
      <c r="D117" s="2">
        <v>123456789</v>
      </c>
    </row>
    <row r="118" spans="1:4" x14ac:dyDescent="0.45">
      <c r="A118" t="s">
        <v>251</v>
      </c>
      <c r="B118" s="11">
        <v>1.9830028328611899</v>
      </c>
      <c r="C118" s="2">
        <v>123456789</v>
      </c>
      <c r="D118" s="2">
        <v>123456789</v>
      </c>
    </row>
    <row r="119" spans="1:4" x14ac:dyDescent="0.45">
      <c r="A119" t="s">
        <v>252</v>
      </c>
      <c r="B119" s="11">
        <v>1.86828584773469</v>
      </c>
      <c r="C119" s="2">
        <v>123456789</v>
      </c>
      <c r="D119" s="2">
        <v>123456789</v>
      </c>
    </row>
    <row r="120" spans="1:4" x14ac:dyDescent="0.45">
      <c r="A120" t="s">
        <v>253</v>
      </c>
      <c r="B120" s="11">
        <v>1.6332244517032199</v>
      </c>
      <c r="C120" s="2">
        <v>123456789</v>
      </c>
      <c r="D120" s="2">
        <v>123456789</v>
      </c>
    </row>
    <row r="121" spans="1:4" x14ac:dyDescent="0.45">
      <c r="A121" t="s">
        <v>254</v>
      </c>
      <c r="B121" s="11">
        <v>1.53132250580046</v>
      </c>
      <c r="C121" s="2">
        <v>123456789</v>
      </c>
      <c r="D121" s="2">
        <v>123456789</v>
      </c>
    </row>
    <row r="122" spans="1:4" x14ac:dyDescent="0.45">
      <c r="A122" t="s">
        <v>255</v>
      </c>
      <c r="B122" s="11">
        <v>1.1111111111111101</v>
      </c>
      <c r="C122" s="2">
        <v>123456789</v>
      </c>
      <c r="D122" s="2">
        <v>123456789</v>
      </c>
    </row>
    <row r="123" spans="1:4" x14ac:dyDescent="0.45">
      <c r="A123" t="s">
        <v>256</v>
      </c>
      <c r="B123" s="11">
        <v>1.0545621274644701</v>
      </c>
      <c r="C123" s="2">
        <v>123456789</v>
      </c>
      <c r="D123" s="2">
        <v>123456789</v>
      </c>
    </row>
    <row r="124" spans="1:4" x14ac:dyDescent="0.45">
      <c r="A124" t="s">
        <v>257</v>
      </c>
      <c r="B124" s="11">
        <v>1.19375573921028</v>
      </c>
      <c r="C124" s="2">
        <v>123456789</v>
      </c>
      <c r="D124" s="2">
        <v>123456789</v>
      </c>
    </row>
    <row r="125" spans="1:4" x14ac:dyDescent="0.45">
      <c r="A125" t="s">
        <v>258</v>
      </c>
      <c r="B125" s="11">
        <v>1.3711151736745799</v>
      </c>
      <c r="C125" s="2">
        <v>123456789</v>
      </c>
      <c r="D125" s="2">
        <v>123456789</v>
      </c>
    </row>
    <row r="126" spans="1:4" x14ac:dyDescent="0.45">
      <c r="A126" t="s">
        <v>259</v>
      </c>
      <c r="B126" s="11">
        <v>1.2362637362637301</v>
      </c>
      <c r="C126" s="2">
        <v>123456789</v>
      </c>
      <c r="D126" s="2">
        <v>123456789</v>
      </c>
    </row>
    <row r="127" spans="1:4" x14ac:dyDescent="0.45">
      <c r="A127" t="s">
        <v>260</v>
      </c>
      <c r="B127" s="11">
        <v>1.7695099818511799</v>
      </c>
      <c r="C127" s="2">
        <v>123456789</v>
      </c>
      <c r="D127" s="2">
        <v>123456789</v>
      </c>
    </row>
    <row r="128" spans="1:4" x14ac:dyDescent="0.45">
      <c r="A128" t="s">
        <v>261</v>
      </c>
      <c r="B128" s="11">
        <v>1.7695099818511799</v>
      </c>
      <c r="C128" s="2">
        <v>123456789</v>
      </c>
      <c r="D128" s="2">
        <v>123456789</v>
      </c>
    </row>
    <row r="129" spans="1:4" x14ac:dyDescent="0.45">
      <c r="A129" t="s">
        <v>262</v>
      </c>
      <c r="B129" s="11">
        <v>1.3525698827772701</v>
      </c>
      <c r="C129" s="2">
        <v>123456789</v>
      </c>
      <c r="D129" s="2">
        <v>123456789</v>
      </c>
    </row>
    <row r="130" spans="1:4" x14ac:dyDescent="0.45">
      <c r="A130" t="s">
        <v>263</v>
      </c>
      <c r="B130" s="11">
        <v>1.76390773405698</v>
      </c>
      <c r="C130" s="2">
        <v>123456789</v>
      </c>
      <c r="D130" s="2">
        <v>123456789</v>
      </c>
    </row>
    <row r="131" spans="1:4" x14ac:dyDescent="0.45">
      <c r="A131" t="s">
        <v>264</v>
      </c>
      <c r="B131" s="11">
        <v>1.29291127953632</v>
      </c>
      <c r="C131" s="2">
        <v>123456789</v>
      </c>
      <c r="D131" s="2">
        <v>123456789</v>
      </c>
    </row>
    <row r="132" spans="1:4" x14ac:dyDescent="0.45">
      <c r="A132" t="s">
        <v>265</v>
      </c>
      <c r="B132" s="11">
        <v>1.38207757467676</v>
      </c>
      <c r="C132" s="2">
        <v>123456789</v>
      </c>
      <c r="D132" s="2">
        <v>123456789</v>
      </c>
    </row>
    <row r="133" spans="1:4" x14ac:dyDescent="0.45">
      <c r="A133" t="s">
        <v>266</v>
      </c>
      <c r="B133" s="11">
        <v>1.64590747330961</v>
      </c>
      <c r="C133" s="2">
        <v>123456789</v>
      </c>
      <c r="D133" s="2">
        <v>123456789</v>
      </c>
    </row>
    <row r="134" spans="1:4" x14ac:dyDescent="0.45">
      <c r="A134" t="s">
        <v>267</v>
      </c>
      <c r="B134" s="11">
        <v>1.5111111111111</v>
      </c>
      <c r="C134" s="2">
        <v>123456789</v>
      </c>
      <c r="D134" s="2">
        <v>123456789</v>
      </c>
    </row>
    <row r="135" spans="1:4" x14ac:dyDescent="0.45">
      <c r="A135" t="s">
        <v>268</v>
      </c>
      <c r="B135" s="11">
        <v>1.36443661971831</v>
      </c>
      <c r="C135" s="2">
        <v>123456789</v>
      </c>
      <c r="D135" s="2">
        <v>123456789</v>
      </c>
    </row>
    <row r="136" spans="1:4" x14ac:dyDescent="0.45">
      <c r="A136" t="s">
        <v>269</v>
      </c>
      <c r="B136" s="11">
        <v>1.3192612137203099</v>
      </c>
      <c r="C136" s="2">
        <v>123456789</v>
      </c>
      <c r="D136" s="2">
        <v>123456789</v>
      </c>
    </row>
    <row r="137" spans="1:4" x14ac:dyDescent="0.45">
      <c r="A137" t="s">
        <v>270</v>
      </c>
      <c r="B137" s="11">
        <v>1.31291028446389</v>
      </c>
      <c r="C137" s="2">
        <v>123456789</v>
      </c>
      <c r="D137" s="2">
        <v>123456789</v>
      </c>
    </row>
    <row r="138" spans="1:4" x14ac:dyDescent="0.45">
      <c r="A138" t="s">
        <v>271</v>
      </c>
      <c r="B138" s="11">
        <v>1.3572679509632299</v>
      </c>
      <c r="C138" s="2">
        <v>123456789</v>
      </c>
      <c r="D138" s="2">
        <v>123456789</v>
      </c>
    </row>
    <row r="139" spans="1:4" x14ac:dyDescent="0.45">
      <c r="A139" t="s">
        <v>272</v>
      </c>
      <c r="B139" s="11">
        <v>1.3460703430308201</v>
      </c>
      <c r="C139" s="2">
        <v>123456789</v>
      </c>
      <c r="D139" s="2">
        <v>123456789</v>
      </c>
    </row>
    <row r="140" spans="1:4" x14ac:dyDescent="0.45">
      <c r="A140" t="s">
        <v>273</v>
      </c>
      <c r="B140" s="11">
        <v>1.3454861111111001</v>
      </c>
      <c r="C140" s="2">
        <v>123456789</v>
      </c>
      <c r="D140" s="2">
        <v>123456789</v>
      </c>
    </row>
    <row r="141" spans="1:4" x14ac:dyDescent="0.45">
      <c r="A141" t="s">
        <v>274</v>
      </c>
      <c r="B141" s="11">
        <v>1.5118790496760099</v>
      </c>
      <c r="C141" s="2">
        <v>123456789</v>
      </c>
      <c r="D141" s="2">
        <v>123456789</v>
      </c>
    </row>
    <row r="142" spans="1:4" x14ac:dyDescent="0.45">
      <c r="A142" t="s">
        <v>275</v>
      </c>
      <c r="B142" s="11">
        <v>1.7710583153347601</v>
      </c>
      <c r="C142" s="2">
        <v>123456789</v>
      </c>
      <c r="D142" s="2">
        <v>123456789</v>
      </c>
    </row>
    <row r="143" spans="1:4" x14ac:dyDescent="0.45">
      <c r="A143" t="s">
        <v>276</v>
      </c>
      <c r="B143" s="11">
        <v>1.9280205655526901</v>
      </c>
      <c r="C143" s="2">
        <v>123456789</v>
      </c>
      <c r="D143" s="2">
        <v>123456789</v>
      </c>
    </row>
    <row r="144" spans="1:4" x14ac:dyDescent="0.45">
      <c r="A144" t="s">
        <v>277</v>
      </c>
      <c r="B144" s="11">
        <v>2.3982869379015002</v>
      </c>
      <c r="C144" s="2">
        <v>123456789</v>
      </c>
      <c r="D144" s="2">
        <v>123456789</v>
      </c>
    </row>
    <row r="145" spans="1:4" x14ac:dyDescent="0.45">
      <c r="A145" t="s">
        <v>278</v>
      </c>
      <c r="B145" s="11">
        <v>2.2553191489361701</v>
      </c>
      <c r="C145" s="2">
        <v>123456789</v>
      </c>
      <c r="D145" s="2">
        <v>123456789</v>
      </c>
    </row>
    <row r="146" spans="1:4" x14ac:dyDescent="0.45">
      <c r="A146" t="s">
        <v>279</v>
      </c>
      <c r="B146" s="11">
        <v>2.1222410865874402</v>
      </c>
      <c r="C146" s="2">
        <v>123456789</v>
      </c>
      <c r="D146" s="2">
        <v>123456789</v>
      </c>
    </row>
    <row r="147" spans="1:4" x14ac:dyDescent="0.45">
      <c r="A147" t="s">
        <v>280</v>
      </c>
      <c r="B147" s="11">
        <v>2.43799915931063</v>
      </c>
      <c r="C147" s="2">
        <v>123456789</v>
      </c>
      <c r="D147" s="2">
        <v>123456789</v>
      </c>
    </row>
    <row r="148" spans="1:4" x14ac:dyDescent="0.45">
      <c r="A148" t="s">
        <v>281</v>
      </c>
      <c r="B148" s="11">
        <v>2.5512337933918801</v>
      </c>
      <c r="C148" s="2">
        <v>123456789</v>
      </c>
      <c r="D148" s="2">
        <v>123456789</v>
      </c>
    </row>
    <row r="149" spans="1:4" x14ac:dyDescent="0.45">
      <c r="A149" t="s">
        <v>282</v>
      </c>
      <c r="B149" s="11">
        <v>2.7049521431543901</v>
      </c>
      <c r="C149" s="2">
        <v>123456789</v>
      </c>
      <c r="D149" s="2">
        <v>123456789</v>
      </c>
    </row>
    <row r="150" spans="1:4" x14ac:dyDescent="0.45">
      <c r="A150" t="s">
        <v>283</v>
      </c>
      <c r="B150" s="11">
        <v>2.7847049044056398</v>
      </c>
      <c r="C150" s="2">
        <v>123456789</v>
      </c>
      <c r="D150" s="2">
        <v>123456789</v>
      </c>
    </row>
    <row r="151" spans="1:4" x14ac:dyDescent="0.45">
      <c r="A151" t="s">
        <v>284</v>
      </c>
      <c r="B151" s="11">
        <v>2.5441116126384902</v>
      </c>
      <c r="C151" s="2">
        <v>123456789</v>
      </c>
      <c r="D151" s="2">
        <v>123456789</v>
      </c>
    </row>
    <row r="152" spans="1:4" x14ac:dyDescent="0.45">
      <c r="A152" t="s">
        <v>285</v>
      </c>
      <c r="B152" s="11">
        <v>1.9575856443719399</v>
      </c>
      <c r="C152" s="2">
        <v>123456789</v>
      </c>
      <c r="D152" s="2">
        <v>123456789</v>
      </c>
    </row>
    <row r="153" spans="1:4" x14ac:dyDescent="0.45">
      <c r="A153" t="s">
        <v>286</v>
      </c>
      <c r="B153" s="11">
        <v>2.2690437601296498</v>
      </c>
      <c r="C153" s="2">
        <v>123456789</v>
      </c>
      <c r="D153" s="2">
        <v>123456789</v>
      </c>
    </row>
    <row r="154" spans="1:4" x14ac:dyDescent="0.45">
      <c r="A154" t="s">
        <v>287</v>
      </c>
      <c r="B154" s="11">
        <v>2.5475131419328698</v>
      </c>
      <c r="C154" s="2">
        <v>123456789</v>
      </c>
      <c r="D154" s="2">
        <v>123456789</v>
      </c>
    </row>
    <row r="155" spans="1:4" x14ac:dyDescent="0.45">
      <c r="A155" t="s">
        <v>288</v>
      </c>
      <c r="B155" s="11">
        <v>3.3613445378151199</v>
      </c>
      <c r="C155" s="2">
        <v>123456789</v>
      </c>
      <c r="D155" s="2">
        <v>123456789</v>
      </c>
    </row>
    <row r="156" spans="1:4" x14ac:dyDescent="0.45">
      <c r="A156" t="s">
        <v>289</v>
      </c>
      <c r="B156" s="11">
        <v>4.4800000000000004</v>
      </c>
      <c r="C156" s="2">
        <v>123456789</v>
      </c>
      <c r="D156" s="2">
        <v>123456789</v>
      </c>
    </row>
    <row r="157" spans="1:4" x14ac:dyDescent="0.45">
      <c r="A157" t="s">
        <v>290</v>
      </c>
      <c r="B157" s="11">
        <v>3.6846275752773301</v>
      </c>
      <c r="C157" s="2">
        <v>123456789</v>
      </c>
      <c r="D157" s="2">
        <v>123456789</v>
      </c>
    </row>
    <row r="158" spans="1:4" x14ac:dyDescent="0.45">
      <c r="A158" t="s">
        <v>291</v>
      </c>
      <c r="B158" s="11">
        <v>2.9574132492113501</v>
      </c>
      <c r="C158" s="2">
        <v>123456789</v>
      </c>
      <c r="D158" s="2">
        <v>123456789</v>
      </c>
    </row>
    <row r="159" spans="1:4" x14ac:dyDescent="0.45">
      <c r="A159" t="s">
        <v>292</v>
      </c>
      <c r="B159" s="11">
        <v>2.01316298877274</v>
      </c>
      <c r="C159" s="2">
        <v>123456789</v>
      </c>
      <c r="D159" s="2">
        <v>123456789</v>
      </c>
    </row>
    <row r="160" spans="1:4" x14ac:dyDescent="0.45">
      <c r="A160" t="s">
        <v>293</v>
      </c>
      <c r="B160" s="11">
        <v>1.30168453292495</v>
      </c>
      <c r="C160" s="2">
        <v>123456789</v>
      </c>
      <c r="D160" s="2">
        <v>123456789</v>
      </c>
    </row>
    <row r="161" spans="1:4" x14ac:dyDescent="0.45">
      <c r="A161" t="s">
        <v>294</v>
      </c>
      <c r="B161" s="11">
        <v>1.6048910966755801</v>
      </c>
      <c r="C161" s="2">
        <v>123456789</v>
      </c>
      <c r="D161" s="2">
        <v>123456789</v>
      </c>
    </row>
    <row r="162" spans="1:4" x14ac:dyDescent="0.45">
      <c r="A162" t="s">
        <v>295</v>
      </c>
      <c r="B162" s="11">
        <v>2.3362696284948301</v>
      </c>
      <c r="C162" s="2">
        <v>123456789</v>
      </c>
      <c r="D162" s="2">
        <v>123456789</v>
      </c>
    </row>
    <row r="163" spans="1:4" x14ac:dyDescent="0.45">
      <c r="A163" t="s">
        <v>296</v>
      </c>
      <c r="B163" s="11">
        <v>2.5426944971537</v>
      </c>
      <c r="C163" s="2">
        <v>123456789</v>
      </c>
      <c r="D163" s="2">
        <v>123456789</v>
      </c>
    </row>
    <row r="164" spans="1:4" x14ac:dyDescent="0.45">
      <c r="A164" t="s">
        <v>297</v>
      </c>
      <c r="B164" s="11">
        <v>2.34315948601663</v>
      </c>
      <c r="C164" s="2">
        <v>123456789</v>
      </c>
      <c r="D164" s="2">
        <v>123456789</v>
      </c>
    </row>
    <row r="165" spans="1:4" x14ac:dyDescent="0.45">
      <c r="A165" t="s">
        <v>298</v>
      </c>
      <c r="B165" s="11">
        <v>2.7453930048890598</v>
      </c>
      <c r="C165" s="2">
        <v>123456789</v>
      </c>
      <c r="D165" s="2">
        <v>123456789</v>
      </c>
    </row>
    <row r="166" spans="1:4" x14ac:dyDescent="0.45">
      <c r="A166" t="s">
        <v>299</v>
      </c>
      <c r="B166" s="11">
        <v>3.5553892215568701</v>
      </c>
      <c r="C166" s="2">
        <v>123456789</v>
      </c>
      <c r="D166" s="2">
        <v>123456789</v>
      </c>
    </row>
    <row r="167" spans="1:4" x14ac:dyDescent="0.45">
      <c r="A167" t="s">
        <v>300</v>
      </c>
      <c r="B167" s="11">
        <v>3.7379718726868898</v>
      </c>
      <c r="C167" s="2">
        <v>123456789</v>
      </c>
      <c r="D167" s="2">
        <v>123456789</v>
      </c>
    </row>
    <row r="168" spans="1:4" x14ac:dyDescent="0.45">
      <c r="A168" t="s">
        <v>301</v>
      </c>
      <c r="B168" s="11">
        <v>4.0989660265878802</v>
      </c>
      <c r="C168" s="2">
        <v>123456789</v>
      </c>
      <c r="D168" s="2">
        <v>123456789</v>
      </c>
    </row>
    <row r="169" spans="1:4" x14ac:dyDescent="0.45">
      <c r="A169" t="s">
        <v>302</v>
      </c>
      <c r="B169" s="11">
        <v>4.0263543191800801</v>
      </c>
      <c r="C169" s="2">
        <v>123456789</v>
      </c>
      <c r="D169" s="2">
        <v>123456789</v>
      </c>
    </row>
    <row r="170" spans="1:4" x14ac:dyDescent="0.45">
      <c r="A170" t="s">
        <v>303</v>
      </c>
      <c r="B170" s="11">
        <v>3.1080592699674701</v>
      </c>
      <c r="C170" s="2">
        <v>123456789</v>
      </c>
      <c r="D170" s="2">
        <v>123456789</v>
      </c>
    </row>
    <row r="171" spans="1:4" x14ac:dyDescent="0.45">
      <c r="A171" t="s">
        <v>304</v>
      </c>
      <c r="B171" s="11">
        <v>2.5330003567606099</v>
      </c>
      <c r="C171" s="2">
        <v>123456789</v>
      </c>
      <c r="D171" s="2">
        <v>123456789</v>
      </c>
    </row>
    <row r="172" spans="1:4" x14ac:dyDescent="0.45">
      <c r="A172" t="s">
        <v>305</v>
      </c>
      <c r="B172" s="11">
        <v>2.23483504788932</v>
      </c>
      <c r="C172" s="2">
        <v>123456789</v>
      </c>
      <c r="D172" s="2">
        <v>123456789</v>
      </c>
    </row>
    <row r="173" spans="1:4" x14ac:dyDescent="0.45">
      <c r="A173" t="s">
        <v>306</v>
      </c>
      <c r="B173" s="11">
        <v>2.4278676988036501</v>
      </c>
      <c r="C173" s="2">
        <v>123456789</v>
      </c>
      <c r="D173" s="2">
        <v>123456789</v>
      </c>
    </row>
    <row r="174" spans="1:4" x14ac:dyDescent="0.45">
      <c r="A174" t="s">
        <v>307</v>
      </c>
      <c r="B174" s="11">
        <v>2.4535576586049701</v>
      </c>
      <c r="C174" s="2">
        <v>123456789</v>
      </c>
      <c r="D174" s="2">
        <v>123456789</v>
      </c>
    </row>
    <row r="175" spans="1:4" x14ac:dyDescent="0.45">
      <c r="A175" t="s">
        <v>308</v>
      </c>
      <c r="B175" s="11">
        <v>2.3660403618650001</v>
      </c>
      <c r="C175" s="2">
        <v>123456789</v>
      </c>
      <c r="D175" s="2">
        <v>123456789</v>
      </c>
    </row>
    <row r="176" spans="1:4" x14ac:dyDescent="0.45">
      <c r="A176" t="s">
        <v>309</v>
      </c>
      <c r="B176" s="11">
        <v>2.3941707147814002</v>
      </c>
      <c r="C176" s="2">
        <v>123456789</v>
      </c>
      <c r="D176" s="2">
        <v>123456789</v>
      </c>
    </row>
    <row r="177" spans="1:4" x14ac:dyDescent="0.45">
      <c r="A177" t="s">
        <v>310</v>
      </c>
      <c r="B177" s="11">
        <v>1.95809000343524</v>
      </c>
      <c r="C177" s="2">
        <v>123456789</v>
      </c>
      <c r="D177" s="2">
        <v>123456789</v>
      </c>
    </row>
    <row r="178" spans="1:4" x14ac:dyDescent="0.45">
      <c r="A178" t="s">
        <v>311</v>
      </c>
      <c r="B178" s="11">
        <v>1.6421484775915101</v>
      </c>
      <c r="C178" s="2">
        <v>123456789</v>
      </c>
      <c r="D178" s="2">
        <v>123456789</v>
      </c>
    </row>
    <row r="179" spans="1:4" x14ac:dyDescent="0.45">
      <c r="A179" t="s">
        <v>312</v>
      </c>
      <c r="B179" s="11">
        <v>1.6315431679129799</v>
      </c>
      <c r="C179" s="2">
        <v>123456789</v>
      </c>
      <c r="D179" s="2">
        <v>123456789</v>
      </c>
    </row>
    <row r="180" spans="1:4" x14ac:dyDescent="0.45">
      <c r="A180" t="s">
        <v>313</v>
      </c>
      <c r="B180" s="11">
        <v>1.49101999322263</v>
      </c>
      <c r="C180" s="2">
        <v>123456789</v>
      </c>
      <c r="D180" s="2">
        <v>123456789</v>
      </c>
    </row>
    <row r="181" spans="1:4" x14ac:dyDescent="0.45">
      <c r="A181" t="s">
        <v>314</v>
      </c>
      <c r="B181" s="11">
        <v>1.0444743935309999</v>
      </c>
      <c r="C181" s="2">
        <v>123456789</v>
      </c>
      <c r="D181" s="2">
        <v>123456789</v>
      </c>
    </row>
    <row r="182" spans="1:4" x14ac:dyDescent="0.45">
      <c r="A182" t="s">
        <v>315</v>
      </c>
      <c r="B182" s="11">
        <v>0.40390440928980098</v>
      </c>
      <c r="C182" s="2">
        <v>123456789</v>
      </c>
      <c r="D182" s="2">
        <v>123456789</v>
      </c>
    </row>
    <row r="183" spans="1:4" x14ac:dyDescent="0.45">
      <c r="A183" t="s">
        <v>316</v>
      </c>
      <c r="B183" s="11">
        <v>0.36789297658859199</v>
      </c>
      <c r="C183" s="2">
        <v>123456789</v>
      </c>
      <c r="D183" s="2">
        <v>123456789</v>
      </c>
    </row>
    <row r="184" spans="1:4" x14ac:dyDescent="0.45">
      <c r="A184" t="s">
        <v>317</v>
      </c>
      <c r="B184" s="11">
        <v>0.33388981636063703</v>
      </c>
      <c r="C184" s="2">
        <v>123456789</v>
      </c>
      <c r="D184" s="2">
        <v>123456789</v>
      </c>
    </row>
    <row r="185" spans="1:4" x14ac:dyDescent="0.45">
      <c r="A185" t="s">
        <v>318</v>
      </c>
      <c r="B185" s="11">
        <v>0.366788929643177</v>
      </c>
      <c r="C185" s="2">
        <v>123456789</v>
      </c>
      <c r="D185" s="2">
        <v>123456789</v>
      </c>
    </row>
    <row r="186" spans="1:4" x14ac:dyDescent="0.45">
      <c r="A186" t="s">
        <v>319</v>
      </c>
      <c r="B186" s="11">
        <v>0.70398927254438803</v>
      </c>
      <c r="C186" s="2">
        <v>123456789</v>
      </c>
      <c r="D186" s="2">
        <v>123456789</v>
      </c>
    </row>
    <row r="187" spans="1:4" x14ac:dyDescent="0.45">
      <c r="A187" t="s">
        <v>320</v>
      </c>
      <c r="B187" s="11">
        <v>0.76641119626794396</v>
      </c>
      <c r="C187" s="2">
        <v>123456789</v>
      </c>
      <c r="D187" s="2">
        <v>123456789</v>
      </c>
    </row>
    <row r="188" spans="1:4" x14ac:dyDescent="0.45">
      <c r="A188" t="s">
        <v>321</v>
      </c>
      <c r="B188" s="11">
        <v>1.03161397670545</v>
      </c>
      <c r="C188" s="2">
        <v>123456789</v>
      </c>
      <c r="D188" s="2">
        <v>123456789</v>
      </c>
    </row>
    <row r="189" spans="1:4" x14ac:dyDescent="0.45">
      <c r="A189" t="s">
        <v>322</v>
      </c>
      <c r="B189" s="11">
        <v>1.5282392026578699</v>
      </c>
      <c r="C189" s="2">
        <v>123456789</v>
      </c>
      <c r="D189" s="2">
        <v>123456789</v>
      </c>
    </row>
    <row r="190" spans="1:4" x14ac:dyDescent="0.45">
      <c r="A190" t="s">
        <v>323</v>
      </c>
      <c r="B190" s="11">
        <v>2.1637816245007002</v>
      </c>
      <c r="C190" s="2">
        <v>123456789</v>
      </c>
      <c r="D190" s="2">
        <v>123456789</v>
      </c>
    </row>
    <row r="191" spans="1:4" x14ac:dyDescent="0.45">
      <c r="A191" t="s">
        <v>324</v>
      </c>
      <c r="B191" s="11">
        <v>2.5793650793650702</v>
      </c>
      <c r="C191" s="2">
        <v>123456789</v>
      </c>
      <c r="D191" s="2">
        <v>123456789</v>
      </c>
    </row>
    <row r="192" spans="1:4" x14ac:dyDescent="0.45">
      <c r="A192" t="s">
        <v>325</v>
      </c>
      <c r="B192" s="11">
        <v>2.7009222661396199</v>
      </c>
      <c r="C192" s="2">
        <v>123456789</v>
      </c>
      <c r="D192" s="2">
        <v>123456789</v>
      </c>
    </row>
    <row r="193" spans="1:4" x14ac:dyDescent="0.45">
      <c r="A193" t="s">
        <v>326</v>
      </c>
      <c r="B193" s="11">
        <v>2.7814136125654101</v>
      </c>
      <c r="C193" s="2">
        <v>123456789</v>
      </c>
      <c r="D193" s="2">
        <v>123456789</v>
      </c>
    </row>
    <row r="194" spans="1:4" x14ac:dyDescent="0.45">
      <c r="A194" t="s">
        <v>327</v>
      </c>
      <c r="B194" s="11">
        <v>2.47637666992502</v>
      </c>
      <c r="C194" s="2">
        <v>123456789</v>
      </c>
      <c r="D194" s="2">
        <v>123456789</v>
      </c>
    </row>
    <row r="195" spans="1:4" x14ac:dyDescent="0.45">
      <c r="A195" t="s">
        <v>328</v>
      </c>
      <c r="B195" s="11">
        <v>2.2888459058672099</v>
      </c>
      <c r="C195" s="2">
        <v>123456789</v>
      </c>
      <c r="D195" s="2">
        <v>123456789</v>
      </c>
    </row>
    <row r="196" spans="1:4" x14ac:dyDescent="0.45">
      <c r="A196" t="s">
        <v>329</v>
      </c>
      <c r="B196" s="11">
        <v>2.3091725465041701</v>
      </c>
      <c r="C196" s="2">
        <v>123456789</v>
      </c>
      <c r="D196" s="2">
        <v>123456789</v>
      </c>
    </row>
    <row r="197" spans="1:4" x14ac:dyDescent="0.45">
      <c r="A197" t="s">
        <v>330</v>
      </c>
      <c r="B197" s="11">
        <v>2.1012416427889198</v>
      </c>
      <c r="C197" s="2">
        <v>123456789</v>
      </c>
      <c r="D197" s="2">
        <v>123456789</v>
      </c>
    </row>
    <row r="198" spans="1:4" x14ac:dyDescent="0.45">
      <c r="A198" t="s">
        <v>331</v>
      </c>
      <c r="B198" s="11">
        <v>1.81240063593004</v>
      </c>
      <c r="C198" s="2">
        <v>123456789</v>
      </c>
      <c r="D198" s="2">
        <v>123456789</v>
      </c>
    </row>
    <row r="199" spans="1:4" x14ac:dyDescent="0.45">
      <c r="A199" t="s">
        <v>332</v>
      </c>
      <c r="B199" s="11">
        <v>1.9224708477780901</v>
      </c>
      <c r="C199" s="2">
        <v>123456789</v>
      </c>
      <c r="D199" s="2">
        <v>123456789</v>
      </c>
    </row>
    <row r="200" spans="1:4" x14ac:dyDescent="0.45">
      <c r="A200" t="s">
        <v>333</v>
      </c>
      <c r="B200" s="11">
        <v>1.7868338557993699</v>
      </c>
      <c r="C200" s="2">
        <v>123456789</v>
      </c>
      <c r="D200" s="2">
        <v>123456789</v>
      </c>
    </row>
    <row r="201" spans="1:4" x14ac:dyDescent="0.45">
      <c r="A201" t="s">
        <v>334</v>
      </c>
      <c r="B201" s="11">
        <v>1.4343623323978401</v>
      </c>
      <c r="C201" s="2">
        <v>123456789</v>
      </c>
      <c r="D201" s="2">
        <v>123456789</v>
      </c>
    </row>
    <row r="202" spans="1:4" x14ac:dyDescent="0.45">
      <c r="A202" t="s">
        <v>335</v>
      </c>
      <c r="B202" s="11">
        <v>1.6552154903185801</v>
      </c>
      <c r="C202" s="2">
        <v>123456789</v>
      </c>
      <c r="D202" s="2">
        <v>123456789</v>
      </c>
    </row>
    <row r="203" spans="1:4" x14ac:dyDescent="0.45">
      <c r="A203" t="s">
        <v>336</v>
      </c>
      <c r="B203" s="11">
        <v>0.80395794681512001</v>
      </c>
      <c r="C203" s="2">
        <v>123456789</v>
      </c>
      <c r="D203" s="2">
        <v>123456789</v>
      </c>
    </row>
    <row r="204" spans="1:4" x14ac:dyDescent="0.45">
      <c r="A204" t="s">
        <v>337</v>
      </c>
      <c r="B204" s="11">
        <v>0.76994148444724297</v>
      </c>
      <c r="C204" s="2">
        <v>123456789</v>
      </c>
      <c r="D204" s="2">
        <v>123456789</v>
      </c>
    </row>
    <row r="205" spans="1:4" x14ac:dyDescent="0.45">
      <c r="A205" t="s">
        <v>338</v>
      </c>
      <c r="B205" s="11">
        <v>0.73778051029818603</v>
      </c>
      <c r="C205" s="2">
        <v>123456789</v>
      </c>
      <c r="D205" s="2">
        <v>123456789</v>
      </c>
    </row>
    <row r="206" spans="1:4" x14ac:dyDescent="0.45">
      <c r="A206" t="s">
        <v>339</v>
      </c>
      <c r="B206" s="11">
        <v>0.89093701996930796</v>
      </c>
      <c r="C206" s="2">
        <v>123456789</v>
      </c>
      <c r="D206" s="2">
        <v>123456789</v>
      </c>
    </row>
    <row r="207" spans="1:4" x14ac:dyDescent="0.45">
      <c r="A207" t="s">
        <v>340</v>
      </c>
      <c r="B207" s="11">
        <v>2.0858895705520801</v>
      </c>
      <c r="C207" s="2">
        <v>123456789</v>
      </c>
      <c r="D207" s="2">
        <v>123456789</v>
      </c>
    </row>
    <row r="208" spans="1:4" x14ac:dyDescent="0.45">
      <c r="A208" t="s">
        <v>341</v>
      </c>
      <c r="B208" s="11">
        <v>2.6589242053789701</v>
      </c>
      <c r="C208" s="2">
        <v>123456789</v>
      </c>
      <c r="D208" s="2">
        <v>123456789</v>
      </c>
    </row>
    <row r="209" spans="1:4" x14ac:dyDescent="0.45">
      <c r="A209" t="s">
        <v>342</v>
      </c>
      <c r="B209" s="11">
        <v>4.424778761062</v>
      </c>
      <c r="C209" s="2">
        <v>123456789</v>
      </c>
      <c r="D209" s="2">
        <v>123456789</v>
      </c>
    </row>
    <row r="210" spans="1:4" x14ac:dyDescent="0.45">
      <c r="A210" t="s">
        <v>343</v>
      </c>
      <c r="B210" s="11">
        <v>5.5115712545675599</v>
      </c>
      <c r="C210" s="2">
        <v>123456789</v>
      </c>
      <c r="D210" s="2">
        <v>123456789</v>
      </c>
    </row>
    <row r="211" spans="1:4" x14ac:dyDescent="0.45">
      <c r="A211" t="s">
        <v>344</v>
      </c>
      <c r="B211" s="11">
        <v>7.9326923076923102</v>
      </c>
      <c r="C211" s="2">
        <v>123456789</v>
      </c>
      <c r="D211" s="2">
        <v>123456789</v>
      </c>
    </row>
    <row r="212" spans="1:4" x14ac:dyDescent="0.45">
      <c r="A212" t="s">
        <v>345</v>
      </c>
      <c r="B212" s="11">
        <v>8.7526049419470002</v>
      </c>
      <c r="C212" s="2">
        <v>123456789</v>
      </c>
      <c r="D212" s="2">
        <v>123456789</v>
      </c>
    </row>
    <row r="213" spans="1:4" x14ac:dyDescent="0.45">
      <c r="A213" t="s">
        <v>346</v>
      </c>
      <c r="B213" s="11">
        <v>9.4097019286966308</v>
      </c>
      <c r="C213" s="2">
        <v>123456789</v>
      </c>
      <c r="D213" s="2">
        <v>123456789</v>
      </c>
    </row>
    <row r="214" spans="1:4" x14ac:dyDescent="0.45">
      <c r="A214" t="s">
        <v>347</v>
      </c>
      <c r="B214" s="11">
        <v>8.9754689754689991</v>
      </c>
      <c r="C214" s="2">
        <v>123456789</v>
      </c>
      <c r="D214" s="2">
        <v>123456789</v>
      </c>
    </row>
    <row r="215" spans="1:4" x14ac:dyDescent="0.45">
      <c r="A215" t="s">
        <v>348</v>
      </c>
      <c r="B215" s="11">
        <v>7.6837416481069001</v>
      </c>
      <c r="C215" s="2">
        <v>123456789</v>
      </c>
      <c r="D215" s="2">
        <v>123456789</v>
      </c>
    </row>
    <row r="216" spans="1:4" x14ac:dyDescent="0.45">
      <c r="A216" t="s">
        <v>349</v>
      </c>
      <c r="B216" s="11">
        <v>6.3509444292362103</v>
      </c>
      <c r="C216" s="2">
        <v>123456789</v>
      </c>
      <c r="D216" s="2">
        <v>123456789</v>
      </c>
    </row>
    <row r="217" spans="1:4" x14ac:dyDescent="0.45">
      <c r="A217" t="s">
        <v>350</v>
      </c>
      <c r="B217" s="11">
        <v>4.3536324786324503</v>
      </c>
      <c r="C217" s="2">
        <v>123456789</v>
      </c>
      <c r="D217" s="2">
        <v>123456789</v>
      </c>
    </row>
    <row r="218" spans="1:4" x14ac:dyDescent="0.45">
      <c r="A218" t="s">
        <v>351</v>
      </c>
      <c r="B218" s="11">
        <v>3.9194915254236999</v>
      </c>
      <c r="C218" s="2">
        <v>123456789</v>
      </c>
      <c r="D218" s="2">
        <v>123456789</v>
      </c>
    </row>
    <row r="219" spans="1:4" x14ac:dyDescent="0.45">
      <c r="A219" t="s">
        <v>352</v>
      </c>
      <c r="B219" s="11">
        <v>2.8697001034126099</v>
      </c>
      <c r="C219" s="2">
        <v>123456789</v>
      </c>
      <c r="D219" s="2">
        <v>123456789</v>
      </c>
    </row>
    <row r="220" spans="1:4" x14ac:dyDescent="0.45">
      <c r="A220" t="s">
        <v>353</v>
      </c>
      <c r="B220" s="11">
        <v>2.90862290862293</v>
      </c>
      <c r="C220" s="2">
        <v>123456789</v>
      </c>
      <c r="D220" s="2">
        <v>123456789</v>
      </c>
    </row>
    <row r="221" spans="1:4" x14ac:dyDescent="0.45">
      <c r="A221" t="s">
        <v>354</v>
      </c>
      <c r="B221" s="11">
        <v>3.4041464038905</v>
      </c>
      <c r="C221" s="2">
        <v>123456789</v>
      </c>
      <c r="D221" s="2">
        <v>123456789</v>
      </c>
    </row>
    <row r="222" spans="1:4" x14ac:dyDescent="0.45">
      <c r="A222" t="s">
        <v>355</v>
      </c>
      <c r="B222" s="11">
        <v>3.6697247706421998</v>
      </c>
      <c r="C222" s="2">
        <v>123456789</v>
      </c>
      <c r="D222" s="2">
        <v>123456789</v>
      </c>
    </row>
    <row r="223" spans="1:4" x14ac:dyDescent="0.45">
      <c r="A223" t="s">
        <v>356</v>
      </c>
      <c r="B223" s="11">
        <v>4.07</v>
      </c>
      <c r="C223" s="2">
        <v>123456789</v>
      </c>
      <c r="D223" s="2">
        <v>123456789</v>
      </c>
    </row>
    <row r="224" spans="1:4" x14ac:dyDescent="0.45">
      <c r="A224" s="40" t="s">
        <v>357</v>
      </c>
      <c r="B224" s="51">
        <v>4.07</v>
      </c>
      <c r="C224" s="2">
        <v>123456789</v>
      </c>
      <c r="D224" s="2">
        <v>123456789</v>
      </c>
    </row>
    <row r="225" spans="1:4" x14ac:dyDescent="0.45">
      <c r="A225" s="40" t="s">
        <v>438</v>
      </c>
      <c r="B225" s="51">
        <v>4.07</v>
      </c>
      <c r="C225" s="2">
        <v>123456789</v>
      </c>
      <c r="D225" s="2">
        <v>123456789</v>
      </c>
    </row>
    <row r="226" spans="1:4" x14ac:dyDescent="0.45">
      <c r="A226" s="4" t="s">
        <v>441</v>
      </c>
      <c r="B226" s="30">
        <v>4.07</v>
      </c>
      <c r="C226" s="2">
        <v>123456789</v>
      </c>
      <c r="D226" s="2">
        <v>123456789</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AD0D4-1192-40BA-829E-8FB871B0543A}">
  <sheetPr>
    <tabColor theme="9" tint="0.79998168889431442"/>
  </sheetPr>
  <dimension ref="A1:D226"/>
  <sheetViews>
    <sheetView topLeftCell="A206" workbookViewId="0">
      <selection activeCell="I220" sqref="I220"/>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s="2">
        <v>123456789</v>
      </c>
      <c r="C76" s="2">
        <v>123456789</v>
      </c>
      <c r="D76" s="2">
        <v>123456789</v>
      </c>
    </row>
    <row r="77" spans="1:4" x14ac:dyDescent="0.45">
      <c r="A77" t="s">
        <v>210</v>
      </c>
      <c r="B77" s="2">
        <v>123456789</v>
      </c>
      <c r="C77" s="2">
        <v>123456789</v>
      </c>
      <c r="D77" s="2">
        <v>123456789</v>
      </c>
    </row>
    <row r="78" spans="1:4" x14ac:dyDescent="0.45">
      <c r="A78" t="s">
        <v>211</v>
      </c>
      <c r="B78">
        <v>5.8</v>
      </c>
      <c r="C78" s="2">
        <v>123456789</v>
      </c>
      <c r="D78" s="2">
        <v>123456789</v>
      </c>
    </row>
    <row r="79" spans="1:4" x14ac:dyDescent="0.45">
      <c r="A79" t="s">
        <v>212</v>
      </c>
      <c r="B79">
        <v>5.8</v>
      </c>
      <c r="C79" s="2">
        <v>123456789</v>
      </c>
      <c r="D79" s="2">
        <v>123456789</v>
      </c>
    </row>
    <row r="80" spans="1:4" x14ac:dyDescent="0.45">
      <c r="A80" t="s">
        <v>213</v>
      </c>
      <c r="B80">
        <v>5.6</v>
      </c>
      <c r="C80" s="2">
        <v>123456789</v>
      </c>
      <c r="D80" s="2">
        <v>123456789</v>
      </c>
    </row>
    <row r="81" spans="1:4" x14ac:dyDescent="0.45">
      <c r="A81" t="s">
        <v>214</v>
      </c>
      <c r="B81">
        <v>5.7</v>
      </c>
      <c r="C81" s="2">
        <v>123456789</v>
      </c>
      <c r="D81" s="2">
        <v>123456789</v>
      </c>
    </row>
    <row r="82" spans="1:4" x14ac:dyDescent="0.45">
      <c r="A82" t="s">
        <v>215</v>
      </c>
      <c r="B82">
        <v>6.1</v>
      </c>
      <c r="C82" s="2">
        <v>123456789</v>
      </c>
      <c r="D82" s="2">
        <v>123456789</v>
      </c>
    </row>
    <row r="83" spans="1:4" x14ac:dyDescent="0.45">
      <c r="A83" t="s">
        <v>216</v>
      </c>
      <c r="B83">
        <v>8</v>
      </c>
      <c r="C83" s="2">
        <v>123456789</v>
      </c>
      <c r="D83" s="2">
        <v>123456789</v>
      </c>
    </row>
    <row r="84" spans="1:4" x14ac:dyDescent="0.45">
      <c r="A84" t="s">
        <v>217</v>
      </c>
      <c r="B84">
        <v>8.8000000000000007</v>
      </c>
      <c r="C84" s="2">
        <v>123456789</v>
      </c>
      <c r="D84" s="2">
        <v>123456789</v>
      </c>
    </row>
    <row r="85" spans="1:4" x14ac:dyDescent="0.45">
      <c r="A85" t="s">
        <v>218</v>
      </c>
      <c r="B85">
        <v>9.1999999999999993</v>
      </c>
      <c r="C85" s="2">
        <v>123456789</v>
      </c>
      <c r="D85" s="2">
        <v>123456789</v>
      </c>
    </row>
    <row r="86" spans="1:4" x14ac:dyDescent="0.45">
      <c r="A86" t="s">
        <v>219</v>
      </c>
      <c r="B86">
        <v>8.4</v>
      </c>
      <c r="C86" s="2">
        <v>123456789</v>
      </c>
      <c r="D86" s="2">
        <v>123456789</v>
      </c>
    </row>
    <row r="87" spans="1:4" x14ac:dyDescent="0.45">
      <c r="A87" t="s">
        <v>220</v>
      </c>
      <c r="B87">
        <v>7.7</v>
      </c>
      <c r="C87" s="2">
        <v>123456789</v>
      </c>
      <c r="D87" s="2">
        <v>123456789</v>
      </c>
    </row>
    <row r="88" spans="1:4" x14ac:dyDescent="0.45">
      <c r="A88" t="s">
        <v>221</v>
      </c>
      <c r="B88">
        <v>7.3</v>
      </c>
      <c r="C88" s="2">
        <v>123456789</v>
      </c>
      <c r="D88" s="2">
        <v>123456789</v>
      </c>
    </row>
    <row r="89" spans="1:4" x14ac:dyDescent="0.45">
      <c r="A89" t="s">
        <v>222</v>
      </c>
      <c r="B89">
        <v>6.5</v>
      </c>
      <c r="C89" s="2">
        <v>123456789</v>
      </c>
      <c r="D89" s="2">
        <v>123456789</v>
      </c>
    </row>
    <row r="90" spans="1:4" x14ac:dyDescent="0.45">
      <c r="A90" t="s">
        <v>223</v>
      </c>
      <c r="B90">
        <v>6.3</v>
      </c>
      <c r="C90" s="2">
        <v>123456789</v>
      </c>
      <c r="D90" s="2">
        <v>123456789</v>
      </c>
    </row>
    <row r="91" spans="1:4" x14ac:dyDescent="0.45">
      <c r="A91" t="s">
        <v>224</v>
      </c>
      <c r="B91">
        <v>5</v>
      </c>
      <c r="C91" s="2">
        <v>123456789</v>
      </c>
      <c r="D91" s="2">
        <v>123456789</v>
      </c>
    </row>
    <row r="92" spans="1:4" x14ac:dyDescent="0.45">
      <c r="A92" t="s">
        <v>225</v>
      </c>
      <c r="B92">
        <v>4</v>
      </c>
      <c r="C92" s="2">
        <v>123456789</v>
      </c>
      <c r="D92" s="2">
        <v>123456789</v>
      </c>
    </row>
    <row r="93" spans="1:4" x14ac:dyDescent="0.45">
      <c r="A93" t="s">
        <v>226</v>
      </c>
      <c r="B93">
        <v>3.3</v>
      </c>
      <c r="C93" s="2">
        <v>123456789</v>
      </c>
      <c r="D93" s="2">
        <v>123456789</v>
      </c>
    </row>
    <row r="94" spans="1:4" x14ac:dyDescent="0.45">
      <c r="A94" t="s">
        <v>227</v>
      </c>
      <c r="B94">
        <v>3.1</v>
      </c>
      <c r="C94" s="2">
        <v>123456789</v>
      </c>
      <c r="D94" s="2">
        <v>123456789</v>
      </c>
    </row>
    <row r="95" spans="1:4" x14ac:dyDescent="0.45">
      <c r="A95" t="s">
        <v>228</v>
      </c>
      <c r="B95">
        <v>2.2999999999999998</v>
      </c>
      <c r="C95" s="2">
        <v>123456789</v>
      </c>
      <c r="D95" s="2">
        <v>123456789</v>
      </c>
    </row>
    <row r="96" spans="1:4" x14ac:dyDescent="0.45">
      <c r="A96" t="s">
        <v>229</v>
      </c>
      <c r="B96">
        <v>2.5</v>
      </c>
      <c r="C96" s="2">
        <v>123456789</v>
      </c>
      <c r="D96" s="2">
        <v>123456789</v>
      </c>
    </row>
    <row r="97" spans="1:4" x14ac:dyDescent="0.45">
      <c r="A97" t="s">
        <v>230</v>
      </c>
      <c r="B97">
        <v>2.2000000000000002</v>
      </c>
      <c r="C97" s="2">
        <v>123456789</v>
      </c>
      <c r="D97" s="2">
        <v>123456789</v>
      </c>
    </row>
    <row r="98" spans="1:4" x14ac:dyDescent="0.45">
      <c r="A98" t="s">
        <v>231</v>
      </c>
      <c r="B98">
        <v>2.4</v>
      </c>
      <c r="C98" s="2">
        <v>123456789</v>
      </c>
      <c r="D98" s="2">
        <v>123456789</v>
      </c>
    </row>
    <row r="99" spans="1:4" x14ac:dyDescent="0.45">
      <c r="A99" t="s">
        <v>232</v>
      </c>
      <c r="B99">
        <v>2.4</v>
      </c>
      <c r="C99" s="2">
        <v>123456789</v>
      </c>
      <c r="D99" s="2">
        <v>123456789</v>
      </c>
    </row>
    <row r="100" spans="1:4" x14ac:dyDescent="0.45">
      <c r="A100" t="s">
        <v>233</v>
      </c>
      <c r="B100">
        <v>2.1</v>
      </c>
      <c r="C100" s="2">
        <v>123456789</v>
      </c>
      <c r="D100" s="2">
        <v>123456789</v>
      </c>
    </row>
    <row r="101" spans="1:4" x14ac:dyDescent="0.45">
      <c r="A101" t="s">
        <v>234</v>
      </c>
      <c r="B101">
        <v>2.1</v>
      </c>
      <c r="C101" s="2">
        <v>123456789</v>
      </c>
      <c r="D101" s="2">
        <v>123456789</v>
      </c>
    </row>
    <row r="102" spans="1:4" x14ac:dyDescent="0.45">
      <c r="A102" t="s">
        <v>235</v>
      </c>
      <c r="B102">
        <v>2.4</v>
      </c>
      <c r="C102" s="2">
        <v>123456789</v>
      </c>
      <c r="D102" s="2">
        <v>123456789</v>
      </c>
    </row>
    <row r="103" spans="1:4" x14ac:dyDescent="0.45">
      <c r="A103" t="s">
        <v>236</v>
      </c>
      <c r="B103">
        <v>2.5</v>
      </c>
      <c r="C103" s="2">
        <v>123456789</v>
      </c>
      <c r="D103" s="2">
        <v>123456789</v>
      </c>
    </row>
    <row r="104" spans="1:4" x14ac:dyDescent="0.45">
      <c r="A104" t="s">
        <v>237</v>
      </c>
      <c r="B104">
        <v>2.9</v>
      </c>
      <c r="C104" s="2">
        <v>123456789</v>
      </c>
      <c r="D104" s="2">
        <v>123456789</v>
      </c>
    </row>
    <row r="105" spans="1:4" x14ac:dyDescent="0.45">
      <c r="A105" t="s">
        <v>238</v>
      </c>
      <c r="B105">
        <v>3</v>
      </c>
      <c r="C105" s="2">
        <v>123456789</v>
      </c>
      <c r="D105" s="2">
        <v>123456789</v>
      </c>
    </row>
    <row r="106" spans="1:4" x14ac:dyDescent="0.45">
      <c r="A106" t="s">
        <v>239</v>
      </c>
      <c r="B106">
        <v>3</v>
      </c>
      <c r="C106" s="2">
        <v>123456789</v>
      </c>
      <c r="D106" s="2">
        <v>123456789</v>
      </c>
    </row>
    <row r="107" spans="1:4" x14ac:dyDescent="0.45">
      <c r="A107" t="s">
        <v>240</v>
      </c>
      <c r="B107">
        <v>2.8</v>
      </c>
      <c r="C107" s="2">
        <v>123456789</v>
      </c>
      <c r="D107" s="2">
        <v>123456789</v>
      </c>
    </row>
    <row r="108" spans="1:4" x14ac:dyDescent="0.45">
      <c r="A108" t="s">
        <v>241</v>
      </c>
      <c r="B108">
        <v>2.7</v>
      </c>
      <c r="C108" s="2">
        <v>123456789</v>
      </c>
      <c r="D108" s="2">
        <v>123456789</v>
      </c>
    </row>
    <row r="109" spans="1:4" x14ac:dyDescent="0.45">
      <c r="A109" t="s">
        <v>242</v>
      </c>
      <c r="B109">
        <v>2.9</v>
      </c>
      <c r="C109" s="2">
        <v>123456789</v>
      </c>
      <c r="D109" s="2">
        <v>123456789</v>
      </c>
    </row>
    <row r="110" spans="1:4" x14ac:dyDescent="0.45">
      <c r="A110" t="s">
        <v>243</v>
      </c>
      <c r="B110">
        <v>2.4</v>
      </c>
      <c r="C110" s="2">
        <v>123456789</v>
      </c>
      <c r="D110" s="2">
        <v>123456789</v>
      </c>
    </row>
    <row r="111" spans="1:4" x14ac:dyDescent="0.45">
      <c r="A111" t="s">
        <v>244</v>
      </c>
      <c r="B111">
        <v>2.1</v>
      </c>
      <c r="C111" s="2">
        <v>123456789</v>
      </c>
      <c r="D111" s="2">
        <v>123456789</v>
      </c>
    </row>
    <row r="112" spans="1:4" x14ac:dyDescent="0.45">
      <c r="A112" t="s">
        <v>245</v>
      </c>
      <c r="B112">
        <v>2.2999999999999998</v>
      </c>
      <c r="C112" s="2">
        <v>123456789</v>
      </c>
      <c r="D112" s="2">
        <v>123456789</v>
      </c>
    </row>
    <row r="113" spans="1:4" x14ac:dyDescent="0.45">
      <c r="A113" t="s">
        <v>246</v>
      </c>
      <c r="B113">
        <v>2.1</v>
      </c>
      <c r="C113" s="2">
        <v>123456789</v>
      </c>
      <c r="D113" s="2">
        <v>123456789</v>
      </c>
    </row>
    <row r="114" spans="1:4" x14ac:dyDescent="0.45">
      <c r="A114" t="s">
        <v>247</v>
      </c>
      <c r="B114">
        <v>1.8</v>
      </c>
      <c r="C114" s="2">
        <v>123456789</v>
      </c>
      <c r="D114" s="2">
        <v>123456789</v>
      </c>
    </row>
    <row r="115" spans="1:4" x14ac:dyDescent="0.45">
      <c r="A115" t="s">
        <v>248</v>
      </c>
      <c r="B115">
        <v>2</v>
      </c>
      <c r="C115" s="2">
        <v>123456789</v>
      </c>
      <c r="D115" s="2">
        <v>123456789</v>
      </c>
    </row>
    <row r="116" spans="1:4" x14ac:dyDescent="0.45">
      <c r="A116" t="s">
        <v>249</v>
      </c>
      <c r="B116">
        <v>1.7</v>
      </c>
      <c r="C116" s="2">
        <v>123456789</v>
      </c>
      <c r="D116" s="2">
        <v>123456789</v>
      </c>
    </row>
    <row r="117" spans="1:4" x14ac:dyDescent="0.45">
      <c r="A117" t="s">
        <v>250</v>
      </c>
      <c r="B117">
        <v>1.7</v>
      </c>
      <c r="C117" s="2">
        <v>123456789</v>
      </c>
      <c r="D117" s="2">
        <v>123456789</v>
      </c>
    </row>
    <row r="118" spans="1:4" x14ac:dyDescent="0.45">
      <c r="A118" t="s">
        <v>251</v>
      </c>
      <c r="B118">
        <v>2</v>
      </c>
      <c r="C118" s="2">
        <v>123456789</v>
      </c>
      <c r="D118" s="2">
        <v>123456789</v>
      </c>
    </row>
    <row r="119" spans="1:4" x14ac:dyDescent="0.45">
      <c r="A119" t="s">
        <v>252</v>
      </c>
      <c r="B119">
        <v>1.8</v>
      </c>
      <c r="C119" s="2">
        <v>123456789</v>
      </c>
      <c r="D119" s="2">
        <v>123456789</v>
      </c>
    </row>
    <row r="120" spans="1:4" x14ac:dyDescent="0.45">
      <c r="A120" t="s">
        <v>253</v>
      </c>
      <c r="B120">
        <v>1.6</v>
      </c>
      <c r="C120" s="2">
        <v>123456789</v>
      </c>
      <c r="D120" s="2">
        <v>123456789</v>
      </c>
    </row>
    <row r="121" spans="1:4" x14ac:dyDescent="0.45">
      <c r="A121" t="s">
        <v>254</v>
      </c>
      <c r="B121">
        <v>1.5</v>
      </c>
      <c r="C121" s="2">
        <v>123456789</v>
      </c>
      <c r="D121" s="2">
        <v>123456789</v>
      </c>
    </row>
    <row r="122" spans="1:4" x14ac:dyDescent="0.45">
      <c r="A122" t="s">
        <v>255</v>
      </c>
      <c r="B122">
        <v>1.1000000000000001</v>
      </c>
      <c r="C122" s="2">
        <v>123456789</v>
      </c>
      <c r="D122" s="2">
        <v>123456789</v>
      </c>
    </row>
    <row r="123" spans="1:4" x14ac:dyDescent="0.45">
      <c r="A123" t="s">
        <v>256</v>
      </c>
      <c r="B123">
        <v>1</v>
      </c>
      <c r="C123" s="2">
        <v>123456789</v>
      </c>
      <c r="D123" s="2">
        <v>123456789</v>
      </c>
    </row>
    <row r="124" spans="1:4" x14ac:dyDescent="0.45">
      <c r="A124" t="s">
        <v>257</v>
      </c>
      <c r="B124">
        <v>1.2</v>
      </c>
      <c r="C124" s="2">
        <v>123456789</v>
      </c>
      <c r="D124" s="2">
        <v>123456789</v>
      </c>
    </row>
    <row r="125" spans="1:4" x14ac:dyDescent="0.45">
      <c r="A125" t="s">
        <v>258</v>
      </c>
      <c r="B125">
        <v>1.4</v>
      </c>
      <c r="C125" s="2">
        <v>123456789</v>
      </c>
      <c r="D125" s="2">
        <v>123456789</v>
      </c>
    </row>
    <row r="126" spans="1:4" x14ac:dyDescent="0.45">
      <c r="A126" t="s">
        <v>259</v>
      </c>
      <c r="B126">
        <v>1.3</v>
      </c>
      <c r="C126" s="2">
        <v>123456789</v>
      </c>
      <c r="D126" s="2">
        <v>123456789</v>
      </c>
    </row>
    <row r="127" spans="1:4" x14ac:dyDescent="0.45">
      <c r="A127" t="s">
        <v>260</v>
      </c>
      <c r="B127">
        <v>1.8</v>
      </c>
      <c r="C127" s="2">
        <v>123456789</v>
      </c>
      <c r="D127" s="2">
        <v>123456789</v>
      </c>
    </row>
    <row r="128" spans="1:4" x14ac:dyDescent="0.45">
      <c r="A128" t="s">
        <v>261</v>
      </c>
      <c r="B128">
        <v>1.8</v>
      </c>
      <c r="C128" s="2">
        <v>123456789</v>
      </c>
      <c r="D128" s="2">
        <v>123456789</v>
      </c>
    </row>
    <row r="129" spans="1:4" x14ac:dyDescent="0.45">
      <c r="A129" t="s">
        <v>262</v>
      </c>
      <c r="B129">
        <v>1.4</v>
      </c>
      <c r="C129" s="2">
        <v>123456789</v>
      </c>
      <c r="D129" s="2">
        <v>123456789</v>
      </c>
    </row>
    <row r="130" spans="1:4" x14ac:dyDescent="0.45">
      <c r="A130" t="s">
        <v>263</v>
      </c>
      <c r="B130">
        <v>1.7</v>
      </c>
      <c r="C130" s="2">
        <v>123456789</v>
      </c>
      <c r="D130" s="2">
        <v>123456789</v>
      </c>
    </row>
    <row r="131" spans="1:4" x14ac:dyDescent="0.45">
      <c r="A131" t="s">
        <v>264</v>
      </c>
      <c r="B131">
        <v>1.3</v>
      </c>
      <c r="C131" s="2">
        <v>123456789</v>
      </c>
      <c r="D131" s="2">
        <v>123456789</v>
      </c>
    </row>
    <row r="132" spans="1:4" x14ac:dyDescent="0.45">
      <c r="A132" t="s">
        <v>265</v>
      </c>
      <c r="B132">
        <v>1.3</v>
      </c>
      <c r="C132" s="2">
        <v>123456789</v>
      </c>
      <c r="D132" s="2">
        <v>123456789</v>
      </c>
    </row>
    <row r="133" spans="1:4" x14ac:dyDescent="0.45">
      <c r="A133" t="s">
        <v>266</v>
      </c>
      <c r="B133">
        <v>1.6</v>
      </c>
      <c r="C133" s="2">
        <v>123456789</v>
      </c>
      <c r="D133" s="2">
        <v>123456789</v>
      </c>
    </row>
    <row r="134" spans="1:4" x14ac:dyDescent="0.45">
      <c r="A134" t="s">
        <v>267</v>
      </c>
      <c r="B134">
        <v>1.5</v>
      </c>
      <c r="C134" s="2">
        <v>123456789</v>
      </c>
      <c r="D134" s="2">
        <v>123456789</v>
      </c>
    </row>
    <row r="135" spans="1:4" x14ac:dyDescent="0.45">
      <c r="A135" t="s">
        <v>268</v>
      </c>
      <c r="B135">
        <v>1.3</v>
      </c>
      <c r="C135" s="2">
        <v>123456789</v>
      </c>
      <c r="D135" s="2">
        <v>123456789</v>
      </c>
    </row>
    <row r="136" spans="1:4" x14ac:dyDescent="0.45">
      <c r="A136" t="s">
        <v>269</v>
      </c>
      <c r="B136">
        <v>1.4</v>
      </c>
      <c r="C136" s="2">
        <v>123456789</v>
      </c>
      <c r="D136" s="2">
        <v>123456789</v>
      </c>
    </row>
    <row r="137" spans="1:4" x14ac:dyDescent="0.45">
      <c r="A137" t="s">
        <v>270</v>
      </c>
      <c r="B137">
        <v>1.3</v>
      </c>
      <c r="C137" s="2">
        <v>123456789</v>
      </c>
      <c r="D137" s="2">
        <v>123456789</v>
      </c>
    </row>
    <row r="138" spans="1:4" x14ac:dyDescent="0.45">
      <c r="A138" t="s">
        <v>271</v>
      </c>
      <c r="B138">
        <v>1.3</v>
      </c>
      <c r="C138" s="2">
        <v>123456789</v>
      </c>
      <c r="D138" s="2">
        <v>123456789</v>
      </c>
    </row>
    <row r="139" spans="1:4" x14ac:dyDescent="0.45">
      <c r="A139" t="s">
        <v>272</v>
      </c>
      <c r="B139">
        <v>1.3</v>
      </c>
      <c r="C139" s="2">
        <v>123456789</v>
      </c>
      <c r="D139" s="2">
        <v>123456789</v>
      </c>
    </row>
    <row r="140" spans="1:4" x14ac:dyDescent="0.45">
      <c r="A140" t="s">
        <v>273</v>
      </c>
      <c r="B140">
        <v>1.3</v>
      </c>
      <c r="C140" s="2">
        <v>123456789</v>
      </c>
      <c r="D140" s="2">
        <v>123456789</v>
      </c>
    </row>
    <row r="141" spans="1:4" x14ac:dyDescent="0.45">
      <c r="A141" t="s">
        <v>274</v>
      </c>
      <c r="B141">
        <v>1.5</v>
      </c>
      <c r="C141" s="2">
        <v>123456789</v>
      </c>
      <c r="D141" s="2">
        <v>123456789</v>
      </c>
    </row>
    <row r="142" spans="1:4" x14ac:dyDescent="0.45">
      <c r="A142" t="s">
        <v>275</v>
      </c>
      <c r="B142">
        <v>1.8</v>
      </c>
      <c r="C142" s="2">
        <v>123456789</v>
      </c>
      <c r="D142" s="2">
        <v>123456789</v>
      </c>
    </row>
    <row r="143" spans="1:4" x14ac:dyDescent="0.45">
      <c r="A143" t="s">
        <v>276</v>
      </c>
      <c r="B143">
        <v>1.9</v>
      </c>
      <c r="C143" s="2">
        <v>123456789</v>
      </c>
      <c r="D143" s="2">
        <v>123456789</v>
      </c>
    </row>
    <row r="144" spans="1:4" x14ac:dyDescent="0.45">
      <c r="A144" t="s">
        <v>277</v>
      </c>
      <c r="B144">
        <v>2.4</v>
      </c>
      <c r="C144" s="2">
        <v>123456789</v>
      </c>
      <c r="D144" s="2">
        <v>123456789</v>
      </c>
    </row>
    <row r="145" spans="1:4" x14ac:dyDescent="0.45">
      <c r="A145" t="s">
        <v>278</v>
      </c>
      <c r="B145">
        <v>2.2000000000000002</v>
      </c>
      <c r="C145" s="2">
        <v>123456789</v>
      </c>
      <c r="D145" s="2">
        <v>123456789</v>
      </c>
    </row>
    <row r="146" spans="1:4" x14ac:dyDescent="0.45">
      <c r="A146" t="s">
        <v>279</v>
      </c>
      <c r="B146">
        <v>2.1</v>
      </c>
      <c r="C146" s="2">
        <v>123456789</v>
      </c>
      <c r="D146" s="2">
        <v>123456789</v>
      </c>
    </row>
    <row r="147" spans="1:4" x14ac:dyDescent="0.45">
      <c r="A147" t="s">
        <v>280</v>
      </c>
      <c r="B147">
        <v>2.4</v>
      </c>
      <c r="C147" s="2">
        <v>123456789</v>
      </c>
      <c r="D147" s="2">
        <v>123456789</v>
      </c>
    </row>
    <row r="148" spans="1:4" x14ac:dyDescent="0.45">
      <c r="A148" t="s">
        <v>281</v>
      </c>
      <c r="B148">
        <v>2.5</v>
      </c>
      <c r="C148" s="2">
        <v>123456789</v>
      </c>
      <c r="D148" s="2">
        <v>123456789</v>
      </c>
    </row>
    <row r="149" spans="1:4" x14ac:dyDescent="0.45">
      <c r="A149" t="s">
        <v>282</v>
      </c>
      <c r="B149">
        <v>2.7</v>
      </c>
      <c r="C149" s="2">
        <v>123456789</v>
      </c>
      <c r="D149" s="2">
        <v>123456789</v>
      </c>
    </row>
    <row r="150" spans="1:4" x14ac:dyDescent="0.45">
      <c r="A150" t="s">
        <v>283</v>
      </c>
      <c r="B150">
        <v>2.8</v>
      </c>
      <c r="C150" s="2">
        <v>123456789</v>
      </c>
      <c r="D150" s="2">
        <v>123456789</v>
      </c>
    </row>
    <row r="151" spans="1:4" x14ac:dyDescent="0.45">
      <c r="A151" t="s">
        <v>284</v>
      </c>
      <c r="B151">
        <v>2.6</v>
      </c>
      <c r="C151" s="2">
        <v>123456789</v>
      </c>
      <c r="D151" s="2">
        <v>123456789</v>
      </c>
    </row>
    <row r="152" spans="1:4" x14ac:dyDescent="0.45">
      <c r="A152" t="s">
        <v>285</v>
      </c>
      <c r="B152">
        <v>2</v>
      </c>
      <c r="C152" s="2">
        <v>123456789</v>
      </c>
      <c r="D152" s="2">
        <v>123456789</v>
      </c>
    </row>
    <row r="153" spans="1:4" x14ac:dyDescent="0.45">
      <c r="A153" t="s">
        <v>286</v>
      </c>
      <c r="B153">
        <v>2.2999999999999998</v>
      </c>
      <c r="C153" s="2">
        <v>123456789</v>
      </c>
      <c r="D153" s="2">
        <v>123456789</v>
      </c>
    </row>
    <row r="154" spans="1:4" x14ac:dyDescent="0.45">
      <c r="A154" t="s">
        <v>287</v>
      </c>
      <c r="B154">
        <v>2.5</v>
      </c>
      <c r="C154" s="2">
        <v>123456789</v>
      </c>
      <c r="D154" s="2">
        <v>123456789</v>
      </c>
    </row>
    <row r="155" spans="1:4" x14ac:dyDescent="0.45">
      <c r="A155" t="s">
        <v>288</v>
      </c>
      <c r="B155">
        <v>3.3</v>
      </c>
      <c r="C155" s="2">
        <v>123456789</v>
      </c>
      <c r="D155" s="2">
        <v>123456789</v>
      </c>
    </row>
    <row r="156" spans="1:4" x14ac:dyDescent="0.45">
      <c r="A156" t="s">
        <v>289</v>
      </c>
      <c r="B156">
        <v>4.5</v>
      </c>
      <c r="C156" s="2">
        <v>123456789</v>
      </c>
      <c r="D156" s="2">
        <v>123456789</v>
      </c>
    </row>
    <row r="157" spans="1:4" x14ac:dyDescent="0.45">
      <c r="A157" t="s">
        <v>290</v>
      </c>
      <c r="B157">
        <v>3.7</v>
      </c>
      <c r="C157" s="2">
        <v>123456789</v>
      </c>
      <c r="D157" s="2">
        <v>123456789</v>
      </c>
    </row>
    <row r="158" spans="1:4" x14ac:dyDescent="0.45">
      <c r="A158" t="s">
        <v>291</v>
      </c>
      <c r="B158">
        <v>2.9</v>
      </c>
      <c r="C158" s="2">
        <v>123456789</v>
      </c>
      <c r="D158" s="2">
        <v>123456789</v>
      </c>
    </row>
    <row r="159" spans="1:4" x14ac:dyDescent="0.45">
      <c r="A159" t="s">
        <v>292</v>
      </c>
      <c r="B159">
        <v>2</v>
      </c>
      <c r="C159" s="2">
        <v>123456789</v>
      </c>
      <c r="D159" s="2">
        <v>123456789</v>
      </c>
    </row>
    <row r="160" spans="1:4" x14ac:dyDescent="0.45">
      <c r="A160" t="s">
        <v>293</v>
      </c>
      <c r="B160">
        <v>1.4</v>
      </c>
      <c r="C160" s="2">
        <v>123456789</v>
      </c>
      <c r="D160" s="2">
        <v>123456789</v>
      </c>
    </row>
    <row r="161" spans="1:4" x14ac:dyDescent="0.45">
      <c r="A161" t="s">
        <v>294</v>
      </c>
      <c r="B161">
        <v>1.6</v>
      </c>
      <c r="C161" s="2">
        <v>123456789</v>
      </c>
      <c r="D161" s="2">
        <v>123456789</v>
      </c>
    </row>
    <row r="162" spans="1:4" x14ac:dyDescent="0.45">
      <c r="A162" t="s">
        <v>295</v>
      </c>
      <c r="B162">
        <v>2.4</v>
      </c>
      <c r="C162" s="2">
        <v>123456789</v>
      </c>
      <c r="D162" s="2">
        <v>123456789</v>
      </c>
    </row>
    <row r="163" spans="1:4" x14ac:dyDescent="0.45">
      <c r="A163" t="s">
        <v>296</v>
      </c>
      <c r="B163">
        <v>2.5</v>
      </c>
      <c r="C163" s="2">
        <v>123456789</v>
      </c>
      <c r="D163" s="2">
        <v>123456789</v>
      </c>
    </row>
    <row r="164" spans="1:4" x14ac:dyDescent="0.45">
      <c r="A164" t="s">
        <v>297</v>
      </c>
      <c r="B164">
        <v>2.2999999999999998</v>
      </c>
      <c r="C164" s="2">
        <v>123456789</v>
      </c>
      <c r="D164" s="2">
        <v>123456789</v>
      </c>
    </row>
    <row r="165" spans="1:4" x14ac:dyDescent="0.45">
      <c r="A165" t="s">
        <v>298</v>
      </c>
      <c r="B165">
        <v>2.7</v>
      </c>
      <c r="C165" s="2">
        <v>123456789</v>
      </c>
      <c r="D165" s="2">
        <v>123456789</v>
      </c>
    </row>
    <row r="166" spans="1:4" x14ac:dyDescent="0.45">
      <c r="A166" t="s">
        <v>299</v>
      </c>
      <c r="B166">
        <v>3.5</v>
      </c>
      <c r="C166" s="2">
        <v>123456789</v>
      </c>
      <c r="D166" s="2">
        <v>123456789</v>
      </c>
    </row>
    <row r="167" spans="1:4" x14ac:dyDescent="0.45">
      <c r="A167" t="s">
        <v>300</v>
      </c>
      <c r="B167">
        <v>3.8</v>
      </c>
      <c r="C167" s="2">
        <v>123456789</v>
      </c>
      <c r="D167" s="2">
        <v>123456789</v>
      </c>
    </row>
    <row r="168" spans="1:4" x14ac:dyDescent="0.45">
      <c r="A168" t="s">
        <v>301</v>
      </c>
      <c r="B168">
        <v>4</v>
      </c>
      <c r="C168" s="2">
        <v>123456789</v>
      </c>
      <c r="D168" s="2">
        <v>123456789</v>
      </c>
    </row>
    <row r="169" spans="1:4" x14ac:dyDescent="0.45">
      <c r="A169" t="s">
        <v>302</v>
      </c>
      <c r="B169">
        <v>4</v>
      </c>
      <c r="C169" s="2">
        <v>123456789</v>
      </c>
      <c r="D169" s="2">
        <v>123456789</v>
      </c>
    </row>
    <row r="170" spans="1:4" x14ac:dyDescent="0.45">
      <c r="A170" t="s">
        <v>303</v>
      </c>
      <c r="B170">
        <v>3.1</v>
      </c>
      <c r="C170" s="2">
        <v>123456789</v>
      </c>
      <c r="D170" s="2">
        <v>123456789</v>
      </c>
    </row>
    <row r="171" spans="1:4" x14ac:dyDescent="0.45">
      <c r="A171" t="s">
        <v>304</v>
      </c>
      <c r="B171">
        <v>2.5</v>
      </c>
      <c r="C171" s="2">
        <v>123456789</v>
      </c>
      <c r="D171" s="2">
        <v>123456789</v>
      </c>
    </row>
    <row r="172" spans="1:4" x14ac:dyDescent="0.45">
      <c r="A172" t="s">
        <v>305</v>
      </c>
      <c r="B172">
        <v>2.2000000000000002</v>
      </c>
      <c r="C172" s="2">
        <v>123456789</v>
      </c>
      <c r="D172" s="2">
        <v>123456789</v>
      </c>
    </row>
    <row r="173" spans="1:4" x14ac:dyDescent="0.45">
      <c r="A173" t="s">
        <v>306</v>
      </c>
      <c r="B173">
        <v>2.4</v>
      </c>
      <c r="C173" s="2">
        <v>123456789</v>
      </c>
      <c r="D173" s="2">
        <v>123456789</v>
      </c>
    </row>
    <row r="174" spans="1:4" x14ac:dyDescent="0.45">
      <c r="A174" t="s">
        <v>307</v>
      </c>
      <c r="B174">
        <v>2.5</v>
      </c>
      <c r="C174" s="2">
        <v>123456789</v>
      </c>
      <c r="D174" s="2">
        <v>123456789</v>
      </c>
    </row>
    <row r="175" spans="1:4" x14ac:dyDescent="0.45">
      <c r="A175" t="s">
        <v>308</v>
      </c>
      <c r="B175">
        <v>2.4</v>
      </c>
      <c r="C175" s="2">
        <v>123456789</v>
      </c>
      <c r="D175" s="2">
        <v>123456789</v>
      </c>
    </row>
    <row r="176" spans="1:4" x14ac:dyDescent="0.45">
      <c r="A176" t="s">
        <v>309</v>
      </c>
      <c r="B176">
        <v>2.4</v>
      </c>
      <c r="C176" s="2">
        <v>123456789</v>
      </c>
      <c r="D176" s="2">
        <v>123456789</v>
      </c>
    </row>
    <row r="177" spans="1:4" x14ac:dyDescent="0.45">
      <c r="A177" t="s">
        <v>310</v>
      </c>
      <c r="B177">
        <v>1.9</v>
      </c>
      <c r="C177" s="2">
        <v>123456789</v>
      </c>
      <c r="D177" s="2">
        <v>123456789</v>
      </c>
    </row>
    <row r="178" spans="1:4" x14ac:dyDescent="0.45">
      <c r="A178" t="s">
        <v>311</v>
      </c>
      <c r="B178">
        <v>1.6</v>
      </c>
      <c r="C178" s="2">
        <v>123456789</v>
      </c>
      <c r="D178" s="2">
        <v>123456789</v>
      </c>
    </row>
    <row r="179" spans="1:4" x14ac:dyDescent="0.45">
      <c r="A179" t="s">
        <v>312</v>
      </c>
      <c r="B179">
        <v>1.6</v>
      </c>
      <c r="C179" s="2">
        <v>123456789</v>
      </c>
      <c r="D179" s="2">
        <v>123456789</v>
      </c>
    </row>
    <row r="180" spans="1:4" x14ac:dyDescent="0.45">
      <c r="A180" t="s">
        <v>313</v>
      </c>
      <c r="B180">
        <v>1.5</v>
      </c>
      <c r="C180" s="2">
        <v>123456789</v>
      </c>
      <c r="D180" s="2">
        <v>123456789</v>
      </c>
    </row>
    <row r="181" spans="1:4" x14ac:dyDescent="0.45">
      <c r="A181" t="s">
        <v>314</v>
      </c>
      <c r="B181">
        <v>1.1000000000000001</v>
      </c>
      <c r="C181" s="2">
        <v>123456789</v>
      </c>
      <c r="D181" s="2">
        <v>123456789</v>
      </c>
    </row>
    <row r="182" spans="1:4" x14ac:dyDescent="0.45">
      <c r="A182" t="s">
        <v>315</v>
      </c>
      <c r="B182">
        <v>0.4</v>
      </c>
      <c r="C182" s="2">
        <v>123456789</v>
      </c>
      <c r="D182" s="2">
        <v>123456789</v>
      </c>
    </row>
    <row r="183" spans="1:4" x14ac:dyDescent="0.45">
      <c r="A183" t="s">
        <v>316</v>
      </c>
      <c r="B183">
        <v>0.3</v>
      </c>
      <c r="C183" s="2">
        <v>123456789</v>
      </c>
      <c r="D183" s="2">
        <v>123456789</v>
      </c>
    </row>
    <row r="184" spans="1:4" x14ac:dyDescent="0.45">
      <c r="A184" t="s">
        <v>317</v>
      </c>
      <c r="B184">
        <v>0.4</v>
      </c>
      <c r="C184" s="2">
        <v>123456789</v>
      </c>
      <c r="D184" s="2">
        <v>123456789</v>
      </c>
    </row>
    <row r="185" spans="1:4" x14ac:dyDescent="0.45">
      <c r="A185" t="s">
        <v>318</v>
      </c>
      <c r="B185">
        <v>0.4</v>
      </c>
      <c r="C185" s="2">
        <v>123456789</v>
      </c>
      <c r="D185" s="2">
        <v>123456789</v>
      </c>
    </row>
    <row r="186" spans="1:4" x14ac:dyDescent="0.45">
      <c r="A186" t="s">
        <v>319</v>
      </c>
      <c r="B186">
        <v>0.7</v>
      </c>
      <c r="C186" s="2">
        <v>123456789</v>
      </c>
      <c r="D186" s="2">
        <v>123456789</v>
      </c>
    </row>
    <row r="187" spans="1:4" x14ac:dyDescent="0.45">
      <c r="A187" t="s">
        <v>320</v>
      </c>
      <c r="B187">
        <v>0.7</v>
      </c>
      <c r="C187" s="2">
        <v>123456789</v>
      </c>
      <c r="D187" s="2">
        <v>123456789</v>
      </c>
    </row>
    <row r="188" spans="1:4" x14ac:dyDescent="0.45">
      <c r="A188" t="s">
        <v>321</v>
      </c>
      <c r="B188">
        <v>1</v>
      </c>
      <c r="C188" s="2">
        <v>123456789</v>
      </c>
      <c r="D188" s="2">
        <v>123456789</v>
      </c>
    </row>
    <row r="189" spans="1:4" x14ac:dyDescent="0.45">
      <c r="A189" t="s">
        <v>322</v>
      </c>
      <c r="B189">
        <v>1.5</v>
      </c>
      <c r="C189" s="2">
        <v>123456789</v>
      </c>
      <c r="D189" s="2">
        <v>123456789</v>
      </c>
    </row>
    <row r="190" spans="1:4" x14ac:dyDescent="0.45">
      <c r="A190" t="s">
        <v>323</v>
      </c>
      <c r="B190">
        <v>2.2000000000000002</v>
      </c>
      <c r="C190" s="2">
        <v>123456789</v>
      </c>
      <c r="D190" s="2">
        <v>123456789</v>
      </c>
    </row>
    <row r="191" spans="1:4" x14ac:dyDescent="0.45">
      <c r="A191" t="s">
        <v>324</v>
      </c>
      <c r="B191">
        <v>2.6</v>
      </c>
      <c r="C191" s="2">
        <v>123456789</v>
      </c>
      <c r="D191" s="2">
        <v>123456789</v>
      </c>
    </row>
    <row r="192" spans="1:4" x14ac:dyDescent="0.45">
      <c r="A192" t="s">
        <v>325</v>
      </c>
      <c r="B192">
        <v>2.7</v>
      </c>
      <c r="C192" s="2">
        <v>123456789</v>
      </c>
      <c r="D192" s="2">
        <v>123456789</v>
      </c>
    </row>
    <row r="193" spans="1:4" x14ac:dyDescent="0.45">
      <c r="A193" t="s">
        <v>326</v>
      </c>
      <c r="B193">
        <v>2.8</v>
      </c>
      <c r="C193" s="2">
        <v>123456789</v>
      </c>
      <c r="D193" s="2">
        <v>123456789</v>
      </c>
    </row>
    <row r="194" spans="1:4" x14ac:dyDescent="0.45">
      <c r="A194" t="s">
        <v>327</v>
      </c>
      <c r="B194">
        <v>2.5</v>
      </c>
      <c r="C194" s="2">
        <v>123456789</v>
      </c>
      <c r="D194" s="2">
        <v>123456789</v>
      </c>
    </row>
    <row r="195" spans="1:4" x14ac:dyDescent="0.45">
      <c r="A195" t="s">
        <v>328</v>
      </c>
      <c r="B195">
        <v>2.2000000000000002</v>
      </c>
      <c r="C195" s="2">
        <v>123456789</v>
      </c>
      <c r="D195" s="2">
        <v>123456789</v>
      </c>
    </row>
    <row r="196" spans="1:4" x14ac:dyDescent="0.45">
      <c r="A196" t="s">
        <v>329</v>
      </c>
      <c r="B196">
        <v>2.2999999999999998</v>
      </c>
      <c r="C196" s="2">
        <v>123456789</v>
      </c>
      <c r="D196" s="2">
        <v>123456789</v>
      </c>
    </row>
    <row r="197" spans="1:4" x14ac:dyDescent="0.45">
      <c r="A197" t="s">
        <v>330</v>
      </c>
      <c r="B197">
        <v>2.1</v>
      </c>
      <c r="C197" s="2">
        <v>123456789</v>
      </c>
      <c r="D197" s="2">
        <v>123456789</v>
      </c>
    </row>
    <row r="198" spans="1:4" x14ac:dyDescent="0.45">
      <c r="A198" t="s">
        <v>331</v>
      </c>
      <c r="B198">
        <v>1.8</v>
      </c>
      <c r="C198" s="2">
        <v>123456789</v>
      </c>
      <c r="D198" s="2">
        <v>123456789</v>
      </c>
    </row>
    <row r="199" spans="1:4" x14ac:dyDescent="0.45">
      <c r="A199" t="s">
        <v>332</v>
      </c>
      <c r="B199">
        <v>2</v>
      </c>
      <c r="C199" s="2">
        <v>123456789</v>
      </c>
      <c r="D199" s="2">
        <v>123456789</v>
      </c>
    </row>
    <row r="200" spans="1:4" x14ac:dyDescent="0.45">
      <c r="A200" t="s">
        <v>333</v>
      </c>
      <c r="B200">
        <v>1.8</v>
      </c>
      <c r="C200" s="2">
        <v>123456789</v>
      </c>
      <c r="D200" s="2">
        <v>123456789</v>
      </c>
    </row>
    <row r="201" spans="1:4" x14ac:dyDescent="0.45">
      <c r="A201" t="s">
        <v>334</v>
      </c>
      <c r="B201">
        <v>1.4</v>
      </c>
      <c r="C201" s="2">
        <v>123456789</v>
      </c>
      <c r="D201" s="2">
        <v>123456789</v>
      </c>
    </row>
    <row r="202" spans="1:4" x14ac:dyDescent="0.45">
      <c r="A202" t="s">
        <v>335</v>
      </c>
      <c r="B202">
        <v>1.7</v>
      </c>
      <c r="C202" s="2">
        <v>123456789</v>
      </c>
      <c r="D202" s="2">
        <v>123456789</v>
      </c>
    </row>
    <row r="203" spans="1:4" x14ac:dyDescent="0.45">
      <c r="A203" t="s">
        <v>336</v>
      </c>
      <c r="B203">
        <v>0.8</v>
      </c>
      <c r="C203" s="2">
        <v>123456789</v>
      </c>
      <c r="D203" s="2">
        <v>123456789</v>
      </c>
    </row>
    <row r="204" spans="1:4" x14ac:dyDescent="0.45">
      <c r="A204" t="s">
        <v>337</v>
      </c>
      <c r="B204">
        <v>0.8</v>
      </c>
      <c r="C204" s="2">
        <v>123456789</v>
      </c>
      <c r="D204" s="2">
        <v>123456789</v>
      </c>
    </row>
    <row r="205" spans="1:4" x14ac:dyDescent="0.45">
      <c r="A205" t="s">
        <v>338</v>
      </c>
      <c r="B205">
        <v>0.8</v>
      </c>
      <c r="C205" s="2">
        <v>123456789</v>
      </c>
      <c r="D205" s="2">
        <v>123456789</v>
      </c>
    </row>
    <row r="206" spans="1:4" x14ac:dyDescent="0.45">
      <c r="A206" t="s">
        <v>339</v>
      </c>
      <c r="B206">
        <v>0.9</v>
      </c>
      <c r="C206" s="2">
        <v>123456789</v>
      </c>
      <c r="D206" s="2">
        <v>123456789</v>
      </c>
    </row>
    <row r="207" spans="1:4" x14ac:dyDescent="0.45">
      <c r="A207" t="s">
        <v>340</v>
      </c>
      <c r="B207">
        <v>2.1</v>
      </c>
      <c r="C207" s="2">
        <v>123456789</v>
      </c>
      <c r="D207" s="2">
        <v>123456789</v>
      </c>
    </row>
    <row r="208" spans="1:4" x14ac:dyDescent="0.45">
      <c r="A208" t="s">
        <v>341</v>
      </c>
      <c r="B208">
        <v>2.7</v>
      </c>
      <c r="C208" s="2">
        <v>123456789</v>
      </c>
      <c r="D208" s="2">
        <v>123456789</v>
      </c>
    </row>
    <row r="209" spans="1:4" x14ac:dyDescent="0.45">
      <c r="A209" t="s">
        <v>342</v>
      </c>
      <c r="B209">
        <v>4.4000000000000004</v>
      </c>
      <c r="C209" s="2">
        <v>123456789</v>
      </c>
      <c r="D209" s="2">
        <v>123456789</v>
      </c>
    </row>
    <row r="210" spans="1:4" x14ac:dyDescent="0.45">
      <c r="A210" t="s">
        <v>343</v>
      </c>
      <c r="B210">
        <v>5.5</v>
      </c>
      <c r="C210" s="2">
        <v>123456789</v>
      </c>
      <c r="D210" s="2">
        <v>123456789</v>
      </c>
    </row>
    <row r="211" spans="1:4" x14ac:dyDescent="0.45">
      <c r="A211" t="s">
        <v>344</v>
      </c>
      <c r="B211">
        <v>7.9</v>
      </c>
      <c r="C211" s="2">
        <v>123456789</v>
      </c>
      <c r="D211" s="2">
        <v>123456789</v>
      </c>
    </row>
    <row r="212" spans="1:4" x14ac:dyDescent="0.45">
      <c r="A212" t="s">
        <v>345</v>
      </c>
      <c r="B212">
        <v>8.6999999999999993</v>
      </c>
      <c r="C212" s="2">
        <v>123456789</v>
      </c>
      <c r="D212" s="2">
        <v>123456789</v>
      </c>
    </row>
    <row r="213" spans="1:4" x14ac:dyDescent="0.45">
      <c r="A213" t="s">
        <v>346</v>
      </c>
      <c r="B213">
        <v>9.4</v>
      </c>
      <c r="C213" s="2">
        <v>123456789</v>
      </c>
      <c r="D213" s="2">
        <v>123456789</v>
      </c>
    </row>
    <row r="214" spans="1:4" x14ac:dyDescent="0.45">
      <c r="A214" t="s">
        <v>347</v>
      </c>
      <c r="B214">
        <v>9</v>
      </c>
      <c r="C214" s="2">
        <v>123456789</v>
      </c>
      <c r="D214" s="2">
        <v>123456789</v>
      </c>
    </row>
    <row r="215" spans="1:4" x14ac:dyDescent="0.45">
      <c r="A215" t="s">
        <v>348</v>
      </c>
      <c r="B215">
        <v>7.7</v>
      </c>
      <c r="C215" s="2">
        <v>123456789</v>
      </c>
      <c r="D215" s="2">
        <v>123456789</v>
      </c>
    </row>
    <row r="216" spans="1:4" x14ac:dyDescent="0.45">
      <c r="A216" t="s">
        <v>349</v>
      </c>
      <c r="B216">
        <v>6.3</v>
      </c>
      <c r="C216" s="2">
        <v>123456789</v>
      </c>
      <c r="D216" s="2">
        <v>123456789</v>
      </c>
    </row>
    <row r="217" spans="1:4" x14ac:dyDescent="0.45">
      <c r="A217" t="s">
        <v>350</v>
      </c>
      <c r="B217">
        <v>4.4000000000000004</v>
      </c>
      <c r="C217" s="2">
        <v>123456789</v>
      </c>
      <c r="D217" s="2">
        <v>123456789</v>
      </c>
    </row>
    <row r="218" spans="1:4" x14ac:dyDescent="0.45">
      <c r="A218" t="s">
        <v>351</v>
      </c>
      <c r="B218">
        <v>3.9</v>
      </c>
      <c r="C218" s="2">
        <v>123456789</v>
      </c>
      <c r="D218" s="2">
        <v>123456789</v>
      </c>
    </row>
    <row r="219" spans="1:4" x14ac:dyDescent="0.45">
      <c r="A219" t="s">
        <v>352</v>
      </c>
      <c r="B219">
        <v>2.9</v>
      </c>
      <c r="C219" s="2">
        <v>123456789</v>
      </c>
      <c r="D219" s="2">
        <v>123456789</v>
      </c>
    </row>
    <row r="220" spans="1:4" x14ac:dyDescent="0.45">
      <c r="A220" t="s">
        <v>353</v>
      </c>
      <c r="B220">
        <v>2.9</v>
      </c>
      <c r="C220" s="2">
        <v>123456789</v>
      </c>
      <c r="D220" s="2">
        <v>123456789</v>
      </c>
    </row>
    <row r="221" spans="1:4" x14ac:dyDescent="0.45">
      <c r="A221" t="s">
        <v>354</v>
      </c>
      <c r="B221">
        <v>3.4</v>
      </c>
      <c r="C221" s="2">
        <v>123456789</v>
      </c>
      <c r="D221" s="2">
        <v>123456789</v>
      </c>
    </row>
    <row r="222" spans="1:4" x14ac:dyDescent="0.45">
      <c r="A222" t="s">
        <v>355</v>
      </c>
      <c r="B222">
        <v>3.6</v>
      </c>
      <c r="C222" s="2">
        <v>123456789</v>
      </c>
      <c r="D222" s="2">
        <v>123456789</v>
      </c>
    </row>
    <row r="223" spans="1:4" x14ac:dyDescent="0.45">
      <c r="A223" t="s">
        <v>356</v>
      </c>
      <c r="B223" s="11">
        <v>4.0999999999999996</v>
      </c>
      <c r="C223" s="2">
        <v>123456789</v>
      </c>
      <c r="D223" s="2">
        <v>123456789</v>
      </c>
    </row>
    <row r="224" spans="1:4" x14ac:dyDescent="0.45">
      <c r="A224" s="4" t="s">
        <v>357</v>
      </c>
      <c r="B224" s="30">
        <v>4.0999999999999996</v>
      </c>
      <c r="C224" s="2">
        <v>123456789</v>
      </c>
      <c r="D224" s="2">
        <v>123456789</v>
      </c>
    </row>
    <row r="225" spans="1:4" x14ac:dyDescent="0.45">
      <c r="A225" s="4" t="s">
        <v>438</v>
      </c>
      <c r="B225" s="30">
        <v>4.0999999999999996</v>
      </c>
      <c r="C225" s="2">
        <v>123456789</v>
      </c>
      <c r="D225" s="2">
        <v>123456789</v>
      </c>
    </row>
    <row r="226" spans="1:4" x14ac:dyDescent="0.45">
      <c r="A226" s="4" t="s">
        <v>441</v>
      </c>
      <c r="B226" s="30">
        <v>4.0999999999999996</v>
      </c>
      <c r="C226" s="2">
        <v>123456789</v>
      </c>
      <c r="D226" s="2">
        <v>123456789</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9D215-5F7B-4A1B-963E-A42DD63C4858}">
  <sheetPr>
    <tabColor theme="9" tint="0.79998168889431442"/>
  </sheetPr>
  <dimension ref="A1:D226"/>
  <sheetViews>
    <sheetView topLeftCell="A206" workbookViewId="0">
      <selection activeCell="H224" sqref="H224"/>
    </sheetView>
  </sheetViews>
  <sheetFormatPr defaultRowHeight="14.25" x14ac:dyDescent="0.45"/>
  <sheetData>
    <row r="1" spans="1:4" x14ac:dyDescent="0.45">
      <c r="B1" t="s">
        <v>6</v>
      </c>
      <c r="C1" t="s">
        <v>133</v>
      </c>
      <c r="D1" t="s">
        <v>134</v>
      </c>
    </row>
    <row r="2" spans="1:4" x14ac:dyDescent="0.45">
      <c r="A2" t="s">
        <v>135</v>
      </c>
      <c r="B2">
        <v>29.5</v>
      </c>
      <c r="C2" s="2">
        <v>123456789</v>
      </c>
      <c r="D2" s="2">
        <v>123456789</v>
      </c>
    </row>
    <row r="3" spans="1:4" x14ac:dyDescent="0.45">
      <c r="A3" t="s">
        <v>136</v>
      </c>
      <c r="B3">
        <v>29.9</v>
      </c>
      <c r="C3" s="2">
        <v>123456789</v>
      </c>
      <c r="D3" s="2">
        <v>123456789</v>
      </c>
    </row>
    <row r="4" spans="1:4" x14ac:dyDescent="0.45">
      <c r="A4" t="s">
        <v>137</v>
      </c>
      <c r="B4">
        <v>29.3</v>
      </c>
      <c r="C4" s="2">
        <v>123456789</v>
      </c>
      <c r="D4" s="2">
        <v>123456789</v>
      </c>
    </row>
    <row r="5" spans="1:4" x14ac:dyDescent="0.45">
      <c r="A5" t="s">
        <v>138</v>
      </c>
      <c r="B5">
        <v>29</v>
      </c>
      <c r="C5" s="2">
        <v>123456789</v>
      </c>
      <c r="D5" s="2">
        <v>123456789</v>
      </c>
    </row>
    <row r="6" spans="1:4" x14ac:dyDescent="0.45">
      <c r="A6" t="s">
        <v>139</v>
      </c>
      <c r="B6">
        <v>29.3</v>
      </c>
      <c r="C6" s="2">
        <v>123456789</v>
      </c>
      <c r="D6" s="2">
        <v>123456789</v>
      </c>
    </row>
    <row r="7" spans="1:4" x14ac:dyDescent="0.45">
      <c r="A7" t="s">
        <v>140</v>
      </c>
      <c r="B7">
        <v>29.2</v>
      </c>
      <c r="C7" s="2">
        <v>123456789</v>
      </c>
      <c r="D7" s="2">
        <v>123456789</v>
      </c>
    </row>
    <row r="8" spans="1:4" x14ac:dyDescent="0.45">
      <c r="A8" t="s">
        <v>141</v>
      </c>
      <c r="B8">
        <v>29</v>
      </c>
      <c r="C8" s="2">
        <v>123456789</v>
      </c>
      <c r="D8" s="2">
        <v>123456789</v>
      </c>
    </row>
    <row r="9" spans="1:4" x14ac:dyDescent="0.45">
      <c r="A9" t="s">
        <v>142</v>
      </c>
      <c r="B9">
        <v>29.4</v>
      </c>
      <c r="C9" s="2">
        <v>123456789</v>
      </c>
      <c r="D9" s="2">
        <v>123456789</v>
      </c>
    </row>
    <row r="10" spans="1:4" x14ac:dyDescent="0.45">
      <c r="A10" t="s">
        <v>143</v>
      </c>
      <c r="B10">
        <v>31.2</v>
      </c>
      <c r="C10" s="2">
        <v>123456789</v>
      </c>
      <c r="D10" s="2">
        <v>123456789</v>
      </c>
    </row>
    <row r="11" spans="1:4" x14ac:dyDescent="0.45">
      <c r="A11" t="s">
        <v>144</v>
      </c>
      <c r="B11">
        <v>31.8</v>
      </c>
      <c r="C11" s="2">
        <v>123456789</v>
      </c>
      <c r="D11" s="2">
        <v>123456789</v>
      </c>
    </row>
    <row r="12" spans="1:4" x14ac:dyDescent="0.45">
      <c r="A12" t="s">
        <v>145</v>
      </c>
      <c r="B12">
        <v>32.5</v>
      </c>
      <c r="C12" s="2">
        <v>123456789</v>
      </c>
      <c r="D12" s="2">
        <v>123456789</v>
      </c>
    </row>
    <row r="13" spans="1:4" x14ac:dyDescent="0.45">
      <c r="A13" t="s">
        <v>146</v>
      </c>
      <c r="B13">
        <v>33.4</v>
      </c>
      <c r="C13" s="2">
        <v>123456789</v>
      </c>
      <c r="D13" s="2">
        <v>123456789</v>
      </c>
    </row>
    <row r="14" spans="1:4" x14ac:dyDescent="0.45">
      <c r="A14" t="s">
        <v>147</v>
      </c>
      <c r="B14">
        <v>34.200000000000003</v>
      </c>
      <c r="C14" s="2">
        <v>123456789</v>
      </c>
      <c r="D14" s="2">
        <v>123456789</v>
      </c>
    </row>
    <row r="15" spans="1:4" x14ac:dyDescent="0.45">
      <c r="A15" t="s">
        <v>148</v>
      </c>
      <c r="B15">
        <v>34.5</v>
      </c>
      <c r="C15" s="2">
        <v>123456789</v>
      </c>
      <c r="D15" s="2">
        <v>123456789</v>
      </c>
    </row>
    <row r="16" spans="1:4" x14ac:dyDescent="0.45">
      <c r="A16" t="s">
        <v>149</v>
      </c>
      <c r="B16">
        <v>35.1</v>
      </c>
      <c r="C16" s="2">
        <v>123456789</v>
      </c>
      <c r="D16" s="2">
        <v>123456789</v>
      </c>
    </row>
    <row r="17" spans="1:4" x14ac:dyDescent="0.45">
      <c r="A17" t="s">
        <v>150</v>
      </c>
      <c r="B17">
        <v>36.700000000000003</v>
      </c>
      <c r="C17" s="2">
        <v>123456789</v>
      </c>
      <c r="D17" s="2">
        <v>123456789</v>
      </c>
    </row>
    <row r="18" spans="1:4" x14ac:dyDescent="0.45">
      <c r="A18" t="s">
        <v>151</v>
      </c>
      <c r="B18">
        <v>37.9</v>
      </c>
      <c r="C18" s="2">
        <v>123456789</v>
      </c>
      <c r="D18" s="2">
        <v>123456789</v>
      </c>
    </row>
    <row r="19" spans="1:4" x14ac:dyDescent="0.45">
      <c r="A19" t="s">
        <v>152</v>
      </c>
      <c r="B19">
        <v>38.1</v>
      </c>
      <c r="C19" s="2">
        <v>123456789</v>
      </c>
      <c r="D19" s="2">
        <v>123456789</v>
      </c>
    </row>
    <row r="20" spans="1:4" x14ac:dyDescent="0.45">
      <c r="A20" t="s">
        <v>153</v>
      </c>
      <c r="B20">
        <v>37.9</v>
      </c>
      <c r="C20" s="2">
        <v>123456789</v>
      </c>
      <c r="D20" s="2">
        <v>123456789</v>
      </c>
    </row>
    <row r="21" spans="1:4" x14ac:dyDescent="0.45">
      <c r="A21" t="s">
        <v>154</v>
      </c>
      <c r="B21">
        <v>37.299999999999997</v>
      </c>
      <c r="C21" s="2">
        <v>123456789</v>
      </c>
      <c r="D21" s="2">
        <v>123456789</v>
      </c>
    </row>
    <row r="22" spans="1:4" x14ac:dyDescent="0.45">
      <c r="A22" t="s">
        <v>155</v>
      </c>
      <c r="B22">
        <v>36.4</v>
      </c>
      <c r="C22" s="2">
        <v>123456789</v>
      </c>
      <c r="D22" s="2">
        <v>123456789</v>
      </c>
    </row>
    <row r="23" spans="1:4" x14ac:dyDescent="0.45">
      <c r="A23" t="s">
        <v>156</v>
      </c>
      <c r="B23">
        <v>38.5</v>
      </c>
      <c r="C23" s="2">
        <v>123456789</v>
      </c>
      <c r="D23" s="2">
        <v>123456789</v>
      </c>
    </row>
    <row r="24" spans="1:4" x14ac:dyDescent="0.45">
      <c r="A24" t="s">
        <v>157</v>
      </c>
      <c r="B24">
        <v>36.6</v>
      </c>
      <c r="C24" s="2">
        <v>123456789</v>
      </c>
      <c r="D24" s="2">
        <v>123456789</v>
      </c>
    </row>
    <row r="25" spans="1:4" x14ac:dyDescent="0.45">
      <c r="A25" t="s">
        <v>158</v>
      </c>
      <c r="B25">
        <v>35.6</v>
      </c>
      <c r="C25" s="2">
        <v>123456789</v>
      </c>
      <c r="D25" s="2">
        <v>123456789</v>
      </c>
    </row>
    <row r="26" spans="1:4" x14ac:dyDescent="0.45">
      <c r="A26" t="s">
        <v>159</v>
      </c>
      <c r="B26">
        <v>34.5</v>
      </c>
      <c r="C26" s="2">
        <v>123456789</v>
      </c>
      <c r="D26" s="2">
        <v>123456789</v>
      </c>
    </row>
    <row r="27" spans="1:4" x14ac:dyDescent="0.45">
      <c r="A27" t="s">
        <v>160</v>
      </c>
      <c r="B27">
        <v>34.799999999999997</v>
      </c>
      <c r="C27" s="2">
        <v>123456789</v>
      </c>
      <c r="D27" s="2">
        <v>123456789</v>
      </c>
    </row>
    <row r="28" spans="1:4" x14ac:dyDescent="0.45">
      <c r="A28" t="s">
        <v>161</v>
      </c>
      <c r="B28">
        <v>34.5</v>
      </c>
      <c r="C28" s="2">
        <v>123456789</v>
      </c>
      <c r="D28" s="2">
        <v>123456789</v>
      </c>
    </row>
    <row r="29" spans="1:4" x14ac:dyDescent="0.45">
      <c r="A29" t="s">
        <v>162</v>
      </c>
      <c r="B29">
        <v>34.5</v>
      </c>
      <c r="C29" s="2">
        <v>123456789</v>
      </c>
      <c r="D29" s="2">
        <v>123456789</v>
      </c>
    </row>
    <row r="30" spans="1:4" x14ac:dyDescent="0.45">
      <c r="A30" t="s">
        <v>163</v>
      </c>
      <c r="B30">
        <v>34</v>
      </c>
      <c r="C30" s="2">
        <v>123456789</v>
      </c>
      <c r="D30" s="2">
        <v>123456789</v>
      </c>
    </row>
    <row r="31" spans="1:4" x14ac:dyDescent="0.45">
      <c r="A31" t="s">
        <v>164</v>
      </c>
      <c r="B31">
        <v>34.1</v>
      </c>
      <c r="C31" s="2">
        <v>123456789</v>
      </c>
      <c r="D31" s="2">
        <v>123456789</v>
      </c>
    </row>
    <row r="32" spans="1:4" x14ac:dyDescent="0.45">
      <c r="A32" t="s">
        <v>165</v>
      </c>
      <c r="B32">
        <v>34</v>
      </c>
      <c r="C32" s="2">
        <v>123456789</v>
      </c>
      <c r="D32" s="2">
        <v>123456789</v>
      </c>
    </row>
    <row r="33" spans="1:4" x14ac:dyDescent="0.45">
      <c r="A33" t="s">
        <v>166</v>
      </c>
      <c r="B33">
        <v>34.1</v>
      </c>
      <c r="C33" s="2">
        <v>123456789</v>
      </c>
      <c r="D33" s="2">
        <v>123456789</v>
      </c>
    </row>
    <row r="34" spans="1:4" x14ac:dyDescent="0.45">
      <c r="A34" t="s">
        <v>167</v>
      </c>
      <c r="B34">
        <v>33.799999999999997</v>
      </c>
      <c r="C34" s="2">
        <v>123456789</v>
      </c>
      <c r="D34" s="2">
        <v>123456789</v>
      </c>
    </row>
    <row r="35" spans="1:4" x14ac:dyDescent="0.45">
      <c r="A35" t="s">
        <v>168</v>
      </c>
      <c r="B35">
        <v>34.1</v>
      </c>
      <c r="C35" s="2">
        <v>123456789</v>
      </c>
      <c r="D35" s="2">
        <v>123456789</v>
      </c>
    </row>
    <row r="36" spans="1:4" x14ac:dyDescent="0.45">
      <c r="A36" t="s">
        <v>169</v>
      </c>
      <c r="B36">
        <v>33.799999999999997</v>
      </c>
      <c r="C36" s="2">
        <v>123456789</v>
      </c>
      <c r="D36" s="2">
        <v>123456789</v>
      </c>
    </row>
    <row r="37" spans="1:4" x14ac:dyDescent="0.45">
      <c r="A37" t="s">
        <v>170</v>
      </c>
      <c r="B37">
        <v>33.9</v>
      </c>
      <c r="C37" s="2">
        <v>123456789</v>
      </c>
      <c r="D37" s="2">
        <v>123456789</v>
      </c>
    </row>
    <row r="38" spans="1:4" x14ac:dyDescent="0.45">
      <c r="A38" t="s">
        <v>171</v>
      </c>
      <c r="B38">
        <v>34.5</v>
      </c>
      <c r="C38" s="2">
        <v>123456789</v>
      </c>
      <c r="D38" s="2">
        <v>123456789</v>
      </c>
    </row>
    <row r="39" spans="1:4" x14ac:dyDescent="0.45">
      <c r="A39" t="s">
        <v>172</v>
      </c>
      <c r="B39">
        <v>34.9</v>
      </c>
      <c r="C39" s="2">
        <v>123456789</v>
      </c>
      <c r="D39" s="2">
        <v>123456789</v>
      </c>
    </row>
    <row r="40" spans="1:4" x14ac:dyDescent="0.45">
      <c r="A40" t="s">
        <v>173</v>
      </c>
      <c r="B40">
        <v>34.4</v>
      </c>
      <c r="C40" s="2">
        <v>123456789</v>
      </c>
      <c r="D40" s="2">
        <v>123456789</v>
      </c>
    </row>
    <row r="41" spans="1:4" x14ac:dyDescent="0.45">
      <c r="A41" t="s">
        <v>174</v>
      </c>
      <c r="B41">
        <v>34</v>
      </c>
      <c r="C41" s="2">
        <v>123456789</v>
      </c>
      <c r="D41" s="2">
        <v>123456789</v>
      </c>
    </row>
    <row r="42" spans="1:4" x14ac:dyDescent="0.45">
      <c r="A42" t="s">
        <v>175</v>
      </c>
      <c r="B42">
        <v>34</v>
      </c>
      <c r="C42" s="2">
        <v>123456789</v>
      </c>
      <c r="D42" s="2">
        <v>123456789</v>
      </c>
    </row>
    <row r="43" spans="1:4" x14ac:dyDescent="0.45">
      <c r="A43" t="s">
        <v>176</v>
      </c>
      <c r="B43">
        <v>34.200000000000003</v>
      </c>
      <c r="C43" s="2">
        <v>123456789</v>
      </c>
      <c r="D43" s="2">
        <v>123456789</v>
      </c>
    </row>
    <row r="44" spans="1:4" x14ac:dyDescent="0.45">
      <c r="A44" t="s">
        <v>177</v>
      </c>
      <c r="B44">
        <v>34.299999999999997</v>
      </c>
      <c r="C44" s="2">
        <v>123456789</v>
      </c>
      <c r="D44" s="2">
        <v>123456789</v>
      </c>
    </row>
    <row r="45" spans="1:4" x14ac:dyDescent="0.45">
      <c r="A45" t="s">
        <v>178</v>
      </c>
      <c r="B45">
        <v>34.4</v>
      </c>
      <c r="C45" s="2">
        <v>123456789</v>
      </c>
      <c r="D45" s="2">
        <v>123456789</v>
      </c>
    </row>
    <row r="46" spans="1:4" x14ac:dyDescent="0.45">
      <c r="A46" t="s">
        <v>179</v>
      </c>
      <c r="B46">
        <v>34.5</v>
      </c>
      <c r="C46" s="2">
        <v>123456789</v>
      </c>
      <c r="D46" s="2">
        <v>123456789</v>
      </c>
    </row>
    <row r="47" spans="1:4" x14ac:dyDescent="0.45">
      <c r="A47" t="s">
        <v>180</v>
      </c>
      <c r="B47">
        <v>34.4</v>
      </c>
      <c r="C47" s="2">
        <v>123456789</v>
      </c>
      <c r="D47" s="2">
        <v>123456789</v>
      </c>
    </row>
    <row r="48" spans="1:4" x14ac:dyDescent="0.45">
      <c r="A48" t="s">
        <v>181</v>
      </c>
      <c r="B48">
        <v>35.1</v>
      </c>
      <c r="C48" s="2">
        <v>123456789</v>
      </c>
      <c r="D48" s="2">
        <v>123456789</v>
      </c>
    </row>
    <row r="49" spans="1:4" x14ac:dyDescent="0.45">
      <c r="A49" t="s">
        <v>182</v>
      </c>
      <c r="B49">
        <v>37.6</v>
      </c>
      <c r="C49" s="2">
        <v>123456789</v>
      </c>
      <c r="D49" s="2">
        <v>123456789</v>
      </c>
    </row>
    <row r="50" spans="1:4" x14ac:dyDescent="0.45">
      <c r="A50" t="s">
        <v>183</v>
      </c>
      <c r="B50">
        <v>38.9</v>
      </c>
      <c r="C50" s="2">
        <v>123456789</v>
      </c>
      <c r="D50" s="2">
        <v>123456789</v>
      </c>
    </row>
    <row r="51" spans="1:4" x14ac:dyDescent="0.45">
      <c r="A51" t="s">
        <v>184</v>
      </c>
      <c r="B51">
        <v>39.799999999999997</v>
      </c>
      <c r="C51" s="2">
        <v>123456789</v>
      </c>
      <c r="D51" s="2">
        <v>123456789</v>
      </c>
    </row>
    <row r="52" spans="1:4" x14ac:dyDescent="0.45">
      <c r="A52" t="s">
        <v>185</v>
      </c>
      <c r="B52">
        <v>41.1</v>
      </c>
      <c r="C52" s="2">
        <v>123456789</v>
      </c>
      <c r="D52" s="2">
        <v>123456789</v>
      </c>
    </row>
    <row r="53" spans="1:4" x14ac:dyDescent="0.45">
      <c r="A53" t="s">
        <v>186</v>
      </c>
      <c r="B53">
        <v>41.7</v>
      </c>
      <c r="C53" s="2">
        <v>123456789</v>
      </c>
      <c r="D53" s="2">
        <v>123456789</v>
      </c>
    </row>
    <row r="54" spans="1:4" x14ac:dyDescent="0.45">
      <c r="A54" t="s">
        <v>187</v>
      </c>
      <c r="B54">
        <v>42.3</v>
      </c>
      <c r="C54" s="2">
        <v>123456789</v>
      </c>
      <c r="D54" s="2">
        <v>123456789</v>
      </c>
    </row>
    <row r="55" spans="1:4" x14ac:dyDescent="0.45">
      <c r="A55" t="s">
        <v>188</v>
      </c>
      <c r="B55">
        <v>43</v>
      </c>
      <c r="C55" s="2">
        <v>123456789</v>
      </c>
      <c r="D55" s="2">
        <v>123456789</v>
      </c>
    </row>
    <row r="56" spans="1:4" x14ac:dyDescent="0.45">
      <c r="A56" t="s">
        <v>189</v>
      </c>
      <c r="B56">
        <v>43.4</v>
      </c>
      <c r="C56" s="2">
        <v>123456789</v>
      </c>
      <c r="D56" s="2">
        <v>123456789</v>
      </c>
    </row>
    <row r="57" spans="1:4" x14ac:dyDescent="0.45">
      <c r="A57" t="s">
        <v>190</v>
      </c>
      <c r="B57">
        <v>44</v>
      </c>
      <c r="C57" s="2">
        <v>123456789</v>
      </c>
      <c r="D57" s="2">
        <v>123456789</v>
      </c>
    </row>
    <row r="58" spans="1:4" x14ac:dyDescent="0.45">
      <c r="A58" t="s">
        <v>191</v>
      </c>
      <c r="B58">
        <v>45.3</v>
      </c>
      <c r="C58" s="2">
        <v>123456789</v>
      </c>
      <c r="D58" s="2">
        <v>123456789</v>
      </c>
    </row>
    <row r="59" spans="1:4" x14ac:dyDescent="0.45">
      <c r="A59" t="s">
        <v>192</v>
      </c>
      <c r="B59">
        <v>46.2</v>
      </c>
      <c r="C59" s="2">
        <v>123456789</v>
      </c>
      <c r="D59" s="2">
        <v>123456789</v>
      </c>
    </row>
    <row r="60" spans="1:4" x14ac:dyDescent="0.45">
      <c r="A60" t="s">
        <v>193</v>
      </c>
      <c r="B60">
        <v>47.3</v>
      </c>
      <c r="C60" s="2">
        <v>123456789</v>
      </c>
      <c r="D60" s="2">
        <v>123456789</v>
      </c>
    </row>
    <row r="61" spans="1:4" x14ac:dyDescent="0.45">
      <c r="A61" t="s">
        <v>194</v>
      </c>
      <c r="B61">
        <v>48.3</v>
      </c>
      <c r="C61" s="2">
        <v>123456789</v>
      </c>
      <c r="D61" s="2">
        <v>123456789</v>
      </c>
    </row>
    <row r="62" spans="1:4" x14ac:dyDescent="0.45">
      <c r="A62" t="s">
        <v>195</v>
      </c>
      <c r="B62">
        <v>49.4</v>
      </c>
      <c r="C62" s="2">
        <v>123456789</v>
      </c>
      <c r="D62" s="2">
        <v>123456789</v>
      </c>
    </row>
    <row r="63" spans="1:4" x14ac:dyDescent="0.45">
      <c r="A63" t="s">
        <v>196</v>
      </c>
      <c r="B63">
        <v>49.9</v>
      </c>
      <c r="C63" s="2">
        <v>123456789</v>
      </c>
      <c r="D63" s="2">
        <v>123456789</v>
      </c>
    </row>
    <row r="64" spans="1:4" x14ac:dyDescent="0.45">
      <c r="A64" t="s">
        <v>197</v>
      </c>
      <c r="B64">
        <v>50.4</v>
      </c>
      <c r="C64" s="2">
        <v>123456789</v>
      </c>
      <c r="D64" s="2">
        <v>123456789</v>
      </c>
    </row>
    <row r="65" spans="1:4" x14ac:dyDescent="0.45">
      <c r="A65" t="s">
        <v>198</v>
      </c>
      <c r="B65">
        <v>51</v>
      </c>
      <c r="C65" s="2">
        <v>123456789</v>
      </c>
      <c r="D65" s="2">
        <v>123456789</v>
      </c>
    </row>
    <row r="66" spans="1:4" x14ac:dyDescent="0.45">
      <c r="A66" t="s">
        <v>199</v>
      </c>
      <c r="B66">
        <v>52.1</v>
      </c>
      <c r="C66" s="2">
        <v>123456789</v>
      </c>
      <c r="D66" s="2">
        <v>123456789</v>
      </c>
    </row>
    <row r="67" spans="1:4" x14ac:dyDescent="0.45">
      <c r="A67" t="s">
        <v>200</v>
      </c>
      <c r="B67">
        <v>53.2</v>
      </c>
      <c r="C67" s="2">
        <v>123456789</v>
      </c>
      <c r="D67" s="2">
        <v>123456789</v>
      </c>
    </row>
    <row r="68" spans="1:4" x14ac:dyDescent="0.45">
      <c r="A68" t="s">
        <v>201</v>
      </c>
      <c r="B68">
        <v>54.9</v>
      </c>
      <c r="C68" s="2">
        <v>123456789</v>
      </c>
      <c r="D68" s="2">
        <v>123456789</v>
      </c>
    </row>
    <row r="69" spans="1:4" x14ac:dyDescent="0.45">
      <c r="A69" t="s">
        <v>202</v>
      </c>
      <c r="B69">
        <v>56.4</v>
      </c>
      <c r="C69" s="2">
        <v>123456789</v>
      </c>
      <c r="D69" s="2">
        <v>123456789</v>
      </c>
    </row>
    <row r="70" spans="1:4" x14ac:dyDescent="0.45">
      <c r="A70" t="s">
        <v>203</v>
      </c>
      <c r="B70">
        <v>57</v>
      </c>
      <c r="C70" s="2">
        <v>123456789</v>
      </c>
      <c r="D70" s="2">
        <v>123456789</v>
      </c>
    </row>
    <row r="71" spans="1:4" x14ac:dyDescent="0.45">
      <c r="A71" t="s">
        <v>204</v>
      </c>
      <c r="B71">
        <v>57.7</v>
      </c>
      <c r="C71" s="2">
        <v>123456789</v>
      </c>
      <c r="D71" s="2">
        <v>123456789</v>
      </c>
    </row>
    <row r="72" spans="1:4" x14ac:dyDescent="0.45">
      <c r="A72" t="s">
        <v>205</v>
      </c>
      <c r="B72">
        <v>58.5</v>
      </c>
      <c r="C72" s="2">
        <v>123456789</v>
      </c>
      <c r="D72" s="2">
        <v>123456789</v>
      </c>
    </row>
    <row r="73" spans="1:4" x14ac:dyDescent="0.45">
      <c r="A73" t="s">
        <v>206</v>
      </c>
      <c r="B73">
        <v>59.5</v>
      </c>
      <c r="C73" s="2">
        <v>123456789</v>
      </c>
      <c r="D73" s="2">
        <v>123456789</v>
      </c>
    </row>
    <row r="74" spans="1:4" x14ac:dyDescent="0.45">
      <c r="A74" t="s">
        <v>207</v>
      </c>
      <c r="B74">
        <v>61</v>
      </c>
      <c r="C74" s="2">
        <v>123456789</v>
      </c>
      <c r="D74" s="2">
        <v>123456789</v>
      </c>
    </row>
    <row r="75" spans="1:4" x14ac:dyDescent="0.45">
      <c r="A75" t="s">
        <v>208</v>
      </c>
      <c r="B75">
        <v>62.9</v>
      </c>
      <c r="C75" s="2">
        <v>123456789</v>
      </c>
      <c r="D75" s="2">
        <v>123456789</v>
      </c>
    </row>
    <row r="76" spans="1:4" x14ac:dyDescent="0.45">
      <c r="A76" t="s">
        <v>209</v>
      </c>
      <c r="B76">
        <v>64.900000000000006</v>
      </c>
      <c r="C76" s="2">
        <v>123456789</v>
      </c>
      <c r="D76" s="2">
        <v>123456789</v>
      </c>
    </row>
    <row r="77" spans="1:4" x14ac:dyDescent="0.45">
      <c r="A77" t="s">
        <v>210</v>
      </c>
      <c r="B77">
        <v>65.8</v>
      </c>
      <c r="C77" s="2">
        <v>123456789</v>
      </c>
      <c r="D77" s="2">
        <v>123456789</v>
      </c>
    </row>
    <row r="78" spans="1:4" x14ac:dyDescent="0.45">
      <c r="A78" t="s">
        <v>211</v>
      </c>
      <c r="B78">
        <v>67.2</v>
      </c>
      <c r="C78" s="2">
        <v>123456789</v>
      </c>
      <c r="D78" s="2">
        <v>123456789</v>
      </c>
    </row>
    <row r="79" spans="1:4" x14ac:dyDescent="0.45">
      <c r="A79" t="s">
        <v>212</v>
      </c>
      <c r="B79">
        <v>68.5</v>
      </c>
      <c r="C79" s="2">
        <v>123456789</v>
      </c>
      <c r="D79" s="2">
        <v>123456789</v>
      </c>
    </row>
    <row r="80" spans="1:4" x14ac:dyDescent="0.45">
      <c r="A80" t="s">
        <v>213</v>
      </c>
      <c r="B80">
        <v>70.5</v>
      </c>
      <c r="C80" s="2">
        <v>123456789</v>
      </c>
      <c r="D80" s="2">
        <v>123456789</v>
      </c>
    </row>
    <row r="81" spans="1:4" x14ac:dyDescent="0.45">
      <c r="A81" t="s">
        <v>214</v>
      </c>
      <c r="B81">
        <v>71.5</v>
      </c>
      <c r="C81" s="2">
        <v>123456789</v>
      </c>
      <c r="D81" s="2">
        <v>123456789</v>
      </c>
    </row>
    <row r="82" spans="1:4" x14ac:dyDescent="0.45">
      <c r="A82" t="s">
        <v>215</v>
      </c>
      <c r="B82">
        <v>72.7</v>
      </c>
      <c r="C82" s="2">
        <v>123456789</v>
      </c>
      <c r="D82" s="2">
        <v>123456789</v>
      </c>
    </row>
    <row r="83" spans="1:4" x14ac:dyDescent="0.45">
      <c r="A83" t="s">
        <v>216</v>
      </c>
      <c r="B83">
        <v>72.8</v>
      </c>
      <c r="C83" s="2">
        <v>123456789</v>
      </c>
      <c r="D83" s="2">
        <v>123456789</v>
      </c>
    </row>
    <row r="84" spans="1:4" x14ac:dyDescent="0.45">
      <c r="A84" t="s">
        <v>217</v>
      </c>
      <c r="B84">
        <v>73.099999999999994</v>
      </c>
      <c r="C84" s="2">
        <v>123456789</v>
      </c>
      <c r="D84" s="2">
        <v>123456789</v>
      </c>
    </row>
    <row r="85" spans="1:4" x14ac:dyDescent="0.45">
      <c r="A85" t="s">
        <v>218</v>
      </c>
      <c r="B85">
        <v>73.400000000000006</v>
      </c>
      <c r="C85" s="2">
        <v>123456789</v>
      </c>
      <c r="D85" s="2">
        <v>123456789</v>
      </c>
    </row>
    <row r="86" spans="1:4" x14ac:dyDescent="0.45">
      <c r="A86" t="s">
        <v>219</v>
      </c>
      <c r="B86">
        <v>73.7</v>
      </c>
      <c r="C86" s="2">
        <v>123456789</v>
      </c>
      <c r="D86" s="2">
        <v>123456789</v>
      </c>
    </row>
    <row r="87" spans="1:4" x14ac:dyDescent="0.45">
      <c r="A87" t="s">
        <v>220</v>
      </c>
      <c r="B87">
        <v>73.3</v>
      </c>
      <c r="C87" s="2">
        <v>123456789</v>
      </c>
      <c r="D87" s="2">
        <v>123456789</v>
      </c>
    </row>
    <row r="88" spans="1:4" x14ac:dyDescent="0.45">
      <c r="A88" t="s">
        <v>221</v>
      </c>
      <c r="B88">
        <v>73.599999999999994</v>
      </c>
      <c r="C88" s="2">
        <v>123456789</v>
      </c>
      <c r="D88" s="2">
        <v>123456789</v>
      </c>
    </row>
    <row r="89" spans="1:4" x14ac:dyDescent="0.45">
      <c r="A89" t="s">
        <v>222</v>
      </c>
      <c r="B89">
        <v>73.2</v>
      </c>
      <c r="C89" s="2">
        <v>123456789</v>
      </c>
      <c r="D89" s="2">
        <v>123456789</v>
      </c>
    </row>
    <row r="90" spans="1:4" x14ac:dyDescent="0.45">
      <c r="A90" t="s">
        <v>223</v>
      </c>
      <c r="B90">
        <v>72.900000000000006</v>
      </c>
      <c r="C90" s="2">
        <v>123456789</v>
      </c>
      <c r="D90" s="2">
        <v>123456789</v>
      </c>
    </row>
    <row r="91" spans="1:4" x14ac:dyDescent="0.45">
      <c r="A91" t="s">
        <v>224</v>
      </c>
      <c r="B91">
        <v>73.3</v>
      </c>
      <c r="C91" s="2">
        <v>123456789</v>
      </c>
      <c r="D91" s="2">
        <v>123456789</v>
      </c>
    </row>
    <row r="92" spans="1:4" x14ac:dyDescent="0.45">
      <c r="A92" t="s">
        <v>225</v>
      </c>
      <c r="B92">
        <v>73.2</v>
      </c>
      <c r="C92" s="2">
        <v>123456789</v>
      </c>
      <c r="D92" s="2">
        <v>123456789</v>
      </c>
    </row>
    <row r="93" spans="1:4" x14ac:dyDescent="0.45">
      <c r="A93" t="s">
        <v>226</v>
      </c>
      <c r="B93">
        <v>72.900000000000006</v>
      </c>
      <c r="C93" s="2">
        <v>123456789</v>
      </c>
      <c r="D93" s="2">
        <v>123456789</v>
      </c>
    </row>
    <row r="94" spans="1:4" x14ac:dyDescent="0.45">
      <c r="A94" t="s">
        <v>227</v>
      </c>
      <c r="B94">
        <v>72.099999999999994</v>
      </c>
      <c r="C94" s="2">
        <v>123456789</v>
      </c>
      <c r="D94" s="2">
        <v>123456789</v>
      </c>
    </row>
    <row r="95" spans="1:4" x14ac:dyDescent="0.45">
      <c r="A95" t="s">
        <v>228</v>
      </c>
      <c r="B95">
        <v>71.5</v>
      </c>
      <c r="C95" s="2">
        <v>123456789</v>
      </c>
      <c r="D95" s="2">
        <v>123456789</v>
      </c>
    </row>
    <row r="96" spans="1:4" x14ac:dyDescent="0.45">
      <c r="A96" t="s">
        <v>229</v>
      </c>
      <c r="B96">
        <v>71</v>
      </c>
      <c r="C96" s="2">
        <v>123456789</v>
      </c>
      <c r="D96" s="2">
        <v>123456789</v>
      </c>
    </row>
    <row r="97" spans="1:4" x14ac:dyDescent="0.45">
      <c r="A97" t="s">
        <v>230</v>
      </c>
      <c r="B97">
        <v>70.3</v>
      </c>
      <c r="C97" s="2">
        <v>123456789</v>
      </c>
      <c r="D97" s="2">
        <v>123456789</v>
      </c>
    </row>
    <row r="98" spans="1:4" x14ac:dyDescent="0.45">
      <c r="A98" t="s">
        <v>231</v>
      </c>
      <c r="B98">
        <v>69.5</v>
      </c>
      <c r="C98" s="2">
        <v>123456789</v>
      </c>
      <c r="D98" s="2">
        <v>123456789</v>
      </c>
    </row>
    <row r="99" spans="1:4" x14ac:dyDescent="0.45">
      <c r="A99" t="s">
        <v>232</v>
      </c>
      <c r="B99">
        <v>68.7</v>
      </c>
      <c r="C99" s="2">
        <v>123456789</v>
      </c>
      <c r="D99" s="2">
        <v>123456789</v>
      </c>
    </row>
    <row r="100" spans="1:4" x14ac:dyDescent="0.45">
      <c r="A100" t="s">
        <v>233</v>
      </c>
      <c r="B100">
        <v>68.599999999999994</v>
      </c>
      <c r="C100" s="2">
        <v>123456789</v>
      </c>
      <c r="D100" s="2">
        <v>123456789</v>
      </c>
    </row>
    <row r="101" spans="1:4" x14ac:dyDescent="0.45">
      <c r="A101" t="s">
        <v>234</v>
      </c>
      <c r="B101">
        <v>68.599999999999994</v>
      </c>
      <c r="C101" s="2">
        <v>123456789</v>
      </c>
      <c r="D101" s="2">
        <v>123456789</v>
      </c>
    </row>
    <row r="102" spans="1:4" x14ac:dyDescent="0.45">
      <c r="A102" t="s">
        <v>235</v>
      </c>
      <c r="B102">
        <v>69.2</v>
      </c>
      <c r="C102" s="2">
        <v>123456789</v>
      </c>
      <c r="D102" s="2">
        <v>123456789</v>
      </c>
    </row>
    <row r="103" spans="1:4" x14ac:dyDescent="0.45">
      <c r="A103" t="s">
        <v>236</v>
      </c>
      <c r="B103">
        <v>69.2</v>
      </c>
      <c r="C103" s="2">
        <v>123456789</v>
      </c>
      <c r="D103" s="2">
        <v>123456789</v>
      </c>
    </row>
    <row r="104" spans="1:4" x14ac:dyDescent="0.45">
      <c r="A104" t="s">
        <v>237</v>
      </c>
      <c r="B104">
        <v>69.3</v>
      </c>
      <c r="C104" s="2">
        <v>123456789</v>
      </c>
      <c r="D104" s="2">
        <v>123456789</v>
      </c>
    </row>
    <row r="105" spans="1:4" x14ac:dyDescent="0.45">
      <c r="A105" t="s">
        <v>238</v>
      </c>
      <c r="B105">
        <v>69.599999999999994</v>
      </c>
      <c r="C105" s="2">
        <v>123456789</v>
      </c>
      <c r="D105" s="2">
        <v>123456789</v>
      </c>
    </row>
    <row r="106" spans="1:4" x14ac:dyDescent="0.45">
      <c r="A106" t="s">
        <v>239</v>
      </c>
      <c r="B106">
        <v>69.8</v>
      </c>
      <c r="C106" s="2">
        <v>123456789</v>
      </c>
      <c r="D106" s="2">
        <v>123456789</v>
      </c>
    </row>
    <row r="107" spans="1:4" x14ac:dyDescent="0.45">
      <c r="A107" t="s">
        <v>240</v>
      </c>
      <c r="B107">
        <v>69.900000000000006</v>
      </c>
      <c r="C107" s="2">
        <v>123456789</v>
      </c>
      <c r="D107" s="2">
        <v>123456789</v>
      </c>
    </row>
    <row r="108" spans="1:4" x14ac:dyDescent="0.45">
      <c r="A108" t="s">
        <v>241</v>
      </c>
      <c r="B108">
        <v>69.7</v>
      </c>
      <c r="C108" s="2">
        <v>123456789</v>
      </c>
      <c r="D108" s="2">
        <v>123456789</v>
      </c>
    </row>
    <row r="109" spans="1:4" x14ac:dyDescent="0.45">
      <c r="A109" t="s">
        <v>242</v>
      </c>
      <c r="B109">
        <v>69.8</v>
      </c>
      <c r="C109" s="2">
        <v>123456789</v>
      </c>
      <c r="D109" s="2">
        <v>123456789</v>
      </c>
    </row>
    <row r="110" spans="1:4" x14ac:dyDescent="0.45">
      <c r="A110" t="s">
        <v>243</v>
      </c>
      <c r="B110">
        <v>69.7</v>
      </c>
      <c r="C110" s="2">
        <v>123456789</v>
      </c>
      <c r="D110" s="2">
        <v>123456789</v>
      </c>
    </row>
    <row r="111" spans="1:4" x14ac:dyDescent="0.45">
      <c r="A111" t="s">
        <v>244</v>
      </c>
      <c r="B111">
        <v>70.099999999999994</v>
      </c>
      <c r="C111" s="2">
        <v>123456789</v>
      </c>
      <c r="D111" s="2">
        <v>123456789</v>
      </c>
    </row>
    <row r="112" spans="1:4" x14ac:dyDescent="0.45">
      <c r="A112" t="s">
        <v>245</v>
      </c>
      <c r="B112">
        <v>72.599999999999994</v>
      </c>
      <c r="C112" s="2">
        <v>123456789</v>
      </c>
      <c r="D112" s="2">
        <v>123456789</v>
      </c>
    </row>
    <row r="113" spans="1:4" x14ac:dyDescent="0.45">
      <c r="A113" t="s">
        <v>246</v>
      </c>
      <c r="B113">
        <v>72.7</v>
      </c>
      <c r="C113" s="2">
        <v>123456789</v>
      </c>
      <c r="D113" s="2">
        <v>123456789</v>
      </c>
    </row>
    <row r="114" spans="1:4" x14ac:dyDescent="0.45">
      <c r="A114" t="s">
        <v>247</v>
      </c>
      <c r="B114">
        <v>73</v>
      </c>
      <c r="C114" s="2">
        <v>123456789</v>
      </c>
      <c r="D114" s="2">
        <v>123456789</v>
      </c>
    </row>
    <row r="115" spans="1:4" x14ac:dyDescent="0.45">
      <c r="A115" t="s">
        <v>248</v>
      </c>
      <c r="B115">
        <v>73.8</v>
      </c>
      <c r="C115" s="2">
        <v>123456789</v>
      </c>
      <c r="D115" s="2">
        <v>123456789</v>
      </c>
    </row>
    <row r="116" spans="1:4" x14ac:dyDescent="0.45">
      <c r="A116" t="s">
        <v>249</v>
      </c>
      <c r="B116">
        <v>74.599999999999994</v>
      </c>
      <c r="C116" s="2">
        <v>123456789</v>
      </c>
      <c r="D116" s="2">
        <v>123456789</v>
      </c>
    </row>
    <row r="117" spans="1:4" x14ac:dyDescent="0.45">
      <c r="A117" t="s">
        <v>250</v>
      </c>
      <c r="B117">
        <v>74.7</v>
      </c>
      <c r="C117" s="2">
        <v>123456789</v>
      </c>
      <c r="D117" s="2">
        <v>123456789</v>
      </c>
    </row>
    <row r="118" spans="1:4" x14ac:dyDescent="0.45">
      <c r="A118" t="s">
        <v>251</v>
      </c>
      <c r="B118">
        <v>75.099999999999994</v>
      </c>
      <c r="C118" s="2">
        <v>123456789</v>
      </c>
      <c r="D118" s="2">
        <v>123456789</v>
      </c>
    </row>
    <row r="119" spans="1:4" x14ac:dyDescent="0.45">
      <c r="A119" t="s">
        <v>252</v>
      </c>
      <c r="B119">
        <v>76.599999999999994</v>
      </c>
      <c r="C119" s="2">
        <v>123456789</v>
      </c>
      <c r="D119" s="2">
        <v>123456789</v>
      </c>
    </row>
    <row r="120" spans="1:4" x14ac:dyDescent="0.45">
      <c r="A120" t="s">
        <v>253</v>
      </c>
      <c r="B120">
        <v>76.8</v>
      </c>
      <c r="C120" s="2">
        <v>123456789</v>
      </c>
      <c r="D120" s="2">
        <v>123456789</v>
      </c>
    </row>
    <row r="121" spans="1:4" x14ac:dyDescent="0.45">
      <c r="A121" t="s">
        <v>254</v>
      </c>
      <c r="B121">
        <v>77.2</v>
      </c>
      <c r="C121" s="2">
        <v>123456789</v>
      </c>
      <c r="D121" s="2">
        <v>123456789</v>
      </c>
    </row>
    <row r="122" spans="1:4" x14ac:dyDescent="0.45">
      <c r="A122" t="s">
        <v>255</v>
      </c>
      <c r="B122">
        <v>78</v>
      </c>
      <c r="C122" s="2">
        <v>123456789</v>
      </c>
      <c r="D122" s="2">
        <v>123456789</v>
      </c>
    </row>
    <row r="123" spans="1:4" x14ac:dyDescent="0.45">
      <c r="A123" t="s">
        <v>256</v>
      </c>
      <c r="B123">
        <v>79.099999999999994</v>
      </c>
      <c r="C123" s="2">
        <v>123456789</v>
      </c>
      <c r="D123" s="2">
        <v>123456789</v>
      </c>
    </row>
    <row r="124" spans="1:4" x14ac:dyDescent="0.45">
      <c r="A124" t="s">
        <v>257</v>
      </c>
      <c r="B124">
        <v>79.5</v>
      </c>
      <c r="C124" s="2">
        <v>123456789</v>
      </c>
      <c r="D124" s="2">
        <v>123456789</v>
      </c>
    </row>
    <row r="125" spans="1:4" x14ac:dyDescent="0.45">
      <c r="A125" t="s">
        <v>258</v>
      </c>
      <c r="B125">
        <v>80.5</v>
      </c>
      <c r="C125" s="2">
        <v>123456789</v>
      </c>
      <c r="D125" s="2">
        <v>123456789</v>
      </c>
    </row>
    <row r="126" spans="1:4" x14ac:dyDescent="0.45">
      <c r="A126" t="s">
        <v>259</v>
      </c>
      <c r="B126">
        <v>81.3</v>
      </c>
      <c r="C126" s="2">
        <v>123456789</v>
      </c>
      <c r="D126" s="2">
        <v>123456789</v>
      </c>
    </row>
    <row r="127" spans="1:4" x14ac:dyDescent="0.45">
      <c r="A127" t="s">
        <v>260</v>
      </c>
      <c r="B127">
        <v>82.3</v>
      </c>
      <c r="C127" s="2">
        <v>123456789</v>
      </c>
      <c r="D127" s="2">
        <v>123456789</v>
      </c>
    </row>
    <row r="128" spans="1:4" x14ac:dyDescent="0.45">
      <c r="A128" t="s">
        <v>261</v>
      </c>
      <c r="B128">
        <v>82.7</v>
      </c>
      <c r="C128" s="2">
        <v>123456789</v>
      </c>
      <c r="D128" s="2">
        <v>123456789</v>
      </c>
    </row>
    <row r="129" spans="1:4" x14ac:dyDescent="0.45">
      <c r="A129" t="s">
        <v>262</v>
      </c>
      <c r="B129">
        <v>83.6</v>
      </c>
      <c r="C129" s="2">
        <v>123456789</v>
      </c>
      <c r="D129" s="2">
        <v>123456789</v>
      </c>
    </row>
    <row r="130" spans="1:4" x14ac:dyDescent="0.45">
      <c r="A130" t="s">
        <v>263</v>
      </c>
      <c r="B130">
        <v>84.2</v>
      </c>
      <c r="C130" s="2">
        <v>123456789</v>
      </c>
      <c r="D130" s="2">
        <v>123456789</v>
      </c>
    </row>
    <row r="131" spans="1:4" x14ac:dyDescent="0.45">
      <c r="A131" t="s">
        <v>264</v>
      </c>
      <c r="B131">
        <v>84.9</v>
      </c>
      <c r="C131" s="2">
        <v>123456789</v>
      </c>
      <c r="D131" s="2">
        <v>123456789</v>
      </c>
    </row>
    <row r="132" spans="1:4" x14ac:dyDescent="0.45">
      <c r="A132" t="s">
        <v>265</v>
      </c>
      <c r="B132">
        <v>86.3</v>
      </c>
      <c r="C132" s="2">
        <v>123456789</v>
      </c>
      <c r="D132" s="2">
        <v>123456789</v>
      </c>
    </row>
    <row r="133" spans="1:4" x14ac:dyDescent="0.45">
      <c r="A133" t="s">
        <v>266</v>
      </c>
      <c r="B133">
        <v>87.6</v>
      </c>
      <c r="C133" s="2">
        <v>123456789</v>
      </c>
      <c r="D133" s="2">
        <v>123456789</v>
      </c>
    </row>
    <row r="134" spans="1:4" x14ac:dyDescent="0.45">
      <c r="A134" t="s">
        <v>267</v>
      </c>
      <c r="B134">
        <v>87</v>
      </c>
      <c r="C134" s="2">
        <v>123456789</v>
      </c>
      <c r="D134" s="2">
        <v>123456789</v>
      </c>
    </row>
    <row r="135" spans="1:4" x14ac:dyDescent="0.45">
      <c r="A135" t="s">
        <v>268</v>
      </c>
      <c r="B135">
        <v>87.8</v>
      </c>
      <c r="C135" s="2">
        <v>123456789</v>
      </c>
      <c r="D135" s="2">
        <v>123456789</v>
      </c>
    </row>
    <row r="136" spans="1:4" x14ac:dyDescent="0.45">
      <c r="A136" t="s">
        <v>269</v>
      </c>
      <c r="B136">
        <v>88.2</v>
      </c>
      <c r="C136" s="2">
        <v>123456789</v>
      </c>
      <c r="D136" s="2">
        <v>123456789</v>
      </c>
    </row>
    <row r="137" spans="1:4" x14ac:dyDescent="0.45">
      <c r="A137" t="s">
        <v>270</v>
      </c>
      <c r="B137">
        <v>88.5</v>
      </c>
      <c r="C137" s="2">
        <v>123456789</v>
      </c>
      <c r="D137" s="2">
        <v>123456789</v>
      </c>
    </row>
    <row r="138" spans="1:4" x14ac:dyDescent="0.45">
      <c r="A138" t="s">
        <v>271</v>
      </c>
      <c r="B138">
        <v>88.8</v>
      </c>
      <c r="C138" s="2">
        <v>123456789</v>
      </c>
      <c r="D138" s="2">
        <v>123456789</v>
      </c>
    </row>
    <row r="139" spans="1:4" x14ac:dyDescent="0.45">
      <c r="A139" t="s">
        <v>272</v>
      </c>
      <c r="B139">
        <v>89.5</v>
      </c>
      <c r="C139" s="2">
        <v>123456789</v>
      </c>
      <c r="D139" s="2">
        <v>123456789</v>
      </c>
    </row>
    <row r="140" spans="1:4" x14ac:dyDescent="0.45">
      <c r="A140" t="s">
        <v>273</v>
      </c>
      <c r="B140">
        <v>90.2</v>
      </c>
      <c r="C140" s="2">
        <v>123456789</v>
      </c>
      <c r="D140" s="2">
        <v>123456789</v>
      </c>
    </row>
    <row r="141" spans="1:4" x14ac:dyDescent="0.45">
      <c r="A141" t="s">
        <v>274</v>
      </c>
      <c r="B141">
        <v>90.5</v>
      </c>
      <c r="C141" s="2">
        <v>123456789</v>
      </c>
      <c r="D141" s="2">
        <v>123456789</v>
      </c>
    </row>
    <row r="142" spans="1:4" x14ac:dyDescent="0.45">
      <c r="A142" t="s">
        <v>275</v>
      </c>
      <c r="B142">
        <v>90.6</v>
      </c>
      <c r="C142" s="2">
        <v>123456789</v>
      </c>
      <c r="D142" s="2">
        <v>123456789</v>
      </c>
    </row>
    <row r="143" spans="1:4" x14ac:dyDescent="0.45">
      <c r="A143" t="s">
        <v>276</v>
      </c>
      <c r="B143">
        <v>91.6</v>
      </c>
      <c r="C143" s="2">
        <v>123456789</v>
      </c>
      <c r="D143" s="2">
        <v>123456789</v>
      </c>
    </row>
    <row r="144" spans="1:4" x14ac:dyDescent="0.45">
      <c r="A144" t="s">
        <v>277</v>
      </c>
      <c r="B144">
        <v>92.7</v>
      </c>
      <c r="C144" s="2">
        <v>123456789</v>
      </c>
      <c r="D144" s="2">
        <v>123456789</v>
      </c>
    </row>
    <row r="145" spans="1:4" x14ac:dyDescent="0.45">
      <c r="A145" t="s">
        <v>278</v>
      </c>
      <c r="B145">
        <v>93.5</v>
      </c>
      <c r="C145" s="2">
        <v>123456789</v>
      </c>
      <c r="D145" s="2">
        <v>123456789</v>
      </c>
    </row>
    <row r="146" spans="1:4" x14ac:dyDescent="0.45">
      <c r="A146" t="s">
        <v>279</v>
      </c>
      <c r="B146">
        <v>93.1</v>
      </c>
      <c r="C146" s="2">
        <v>123456789</v>
      </c>
      <c r="D146" s="2">
        <v>123456789</v>
      </c>
    </row>
    <row r="147" spans="1:4" x14ac:dyDescent="0.45">
      <c r="A147" t="s">
        <v>280</v>
      </c>
      <c r="B147">
        <v>94.3</v>
      </c>
      <c r="C147" s="2">
        <v>123456789</v>
      </c>
      <c r="D147" s="2">
        <v>123456789</v>
      </c>
    </row>
    <row r="148" spans="1:4" x14ac:dyDescent="0.45">
      <c r="A148" t="s">
        <v>281</v>
      </c>
      <c r="B148">
        <v>95.8</v>
      </c>
      <c r="C148" s="2">
        <v>123456789</v>
      </c>
      <c r="D148" s="2">
        <v>123456789</v>
      </c>
    </row>
    <row r="149" spans="1:4" x14ac:dyDescent="0.45">
      <c r="A149" t="s">
        <v>282</v>
      </c>
      <c r="B149">
        <v>96.6</v>
      </c>
      <c r="C149" s="2">
        <v>123456789</v>
      </c>
      <c r="D149" s="2">
        <v>123456789</v>
      </c>
    </row>
    <row r="150" spans="1:4" x14ac:dyDescent="0.45">
      <c r="A150" t="s">
        <v>283</v>
      </c>
      <c r="B150">
        <v>97.2</v>
      </c>
      <c r="C150" s="2">
        <v>123456789</v>
      </c>
      <c r="D150" s="2">
        <v>123456789</v>
      </c>
    </row>
    <row r="151" spans="1:4" x14ac:dyDescent="0.45">
      <c r="A151" t="s">
        <v>284</v>
      </c>
      <c r="B151">
        <v>97.4</v>
      </c>
      <c r="C151" s="2">
        <v>123456789</v>
      </c>
      <c r="D151" s="2">
        <v>123456789</v>
      </c>
    </row>
    <row r="152" spans="1:4" x14ac:dyDescent="0.45">
      <c r="A152" t="s">
        <v>285</v>
      </c>
      <c r="B152">
        <v>99.3</v>
      </c>
      <c r="C152" s="2">
        <v>123456789</v>
      </c>
      <c r="D152" s="2">
        <v>123456789</v>
      </c>
    </row>
    <row r="153" spans="1:4" x14ac:dyDescent="0.45">
      <c r="A153" t="s">
        <v>286</v>
      </c>
      <c r="B153">
        <v>100.2</v>
      </c>
      <c r="C153" s="2">
        <v>123456789</v>
      </c>
      <c r="D153" s="2">
        <v>123456789</v>
      </c>
    </row>
    <row r="154" spans="1:4" x14ac:dyDescent="0.45">
      <c r="A154" t="s">
        <v>287</v>
      </c>
      <c r="B154">
        <v>101.4</v>
      </c>
      <c r="C154" s="2">
        <v>123456789</v>
      </c>
      <c r="D154" s="2">
        <v>123456789</v>
      </c>
    </row>
    <row r="155" spans="1:4" x14ac:dyDescent="0.45">
      <c r="A155" t="s">
        <v>288</v>
      </c>
      <c r="B155">
        <v>101.2</v>
      </c>
      <c r="C155" s="2">
        <v>123456789</v>
      </c>
      <c r="D155" s="2">
        <v>123456789</v>
      </c>
    </row>
    <row r="156" spans="1:4" x14ac:dyDescent="0.45">
      <c r="A156" t="s">
        <v>289</v>
      </c>
      <c r="B156">
        <v>99.8</v>
      </c>
      <c r="C156" s="2">
        <v>123456789</v>
      </c>
      <c r="D156" s="2">
        <v>123456789</v>
      </c>
    </row>
    <row r="157" spans="1:4" x14ac:dyDescent="0.45">
      <c r="A157" t="s">
        <v>290</v>
      </c>
      <c r="B157">
        <v>97.2</v>
      </c>
      <c r="C157" s="2">
        <v>123456789</v>
      </c>
      <c r="D157" s="2">
        <v>123456789</v>
      </c>
    </row>
    <row r="158" spans="1:4" x14ac:dyDescent="0.45">
      <c r="A158" t="s">
        <v>291</v>
      </c>
      <c r="B158">
        <v>97.8</v>
      </c>
      <c r="C158" s="2">
        <v>123456789</v>
      </c>
      <c r="D158" s="2">
        <v>123456789</v>
      </c>
    </row>
    <row r="159" spans="1:4" x14ac:dyDescent="0.45">
      <c r="A159" t="s">
        <v>292</v>
      </c>
      <c r="B159">
        <v>103.3</v>
      </c>
      <c r="C159" s="2">
        <v>123456789</v>
      </c>
      <c r="D159" s="2">
        <v>123456789</v>
      </c>
    </row>
    <row r="160" spans="1:4" x14ac:dyDescent="0.45">
      <c r="A160" t="s">
        <v>293</v>
      </c>
      <c r="B160">
        <v>101.8</v>
      </c>
      <c r="C160" s="2">
        <v>123456789</v>
      </c>
      <c r="D160" s="2">
        <v>123456789</v>
      </c>
    </row>
    <row r="161" spans="1:4" x14ac:dyDescent="0.45">
      <c r="A161" t="s">
        <v>294</v>
      </c>
      <c r="B161">
        <v>102.1</v>
      </c>
      <c r="C161" s="2">
        <v>123456789</v>
      </c>
      <c r="D161" s="2">
        <v>123456789</v>
      </c>
    </row>
    <row r="162" spans="1:4" x14ac:dyDescent="0.45">
      <c r="A162" t="s">
        <v>295</v>
      </c>
      <c r="B162">
        <v>111.8</v>
      </c>
      <c r="C162" s="2">
        <v>123456789</v>
      </c>
      <c r="D162" s="2">
        <v>123456789</v>
      </c>
    </row>
    <row r="163" spans="1:4" x14ac:dyDescent="0.45">
      <c r="A163" t="s">
        <v>296</v>
      </c>
      <c r="B163">
        <v>109.8</v>
      </c>
      <c r="C163" s="2">
        <v>123456789</v>
      </c>
      <c r="D163" s="2">
        <v>123456789</v>
      </c>
    </row>
    <row r="164" spans="1:4" x14ac:dyDescent="0.45">
      <c r="A164" t="s">
        <v>297</v>
      </c>
      <c r="B164">
        <v>106.7</v>
      </c>
      <c r="C164" s="2">
        <v>123456789</v>
      </c>
      <c r="D164" s="2">
        <v>123456789</v>
      </c>
    </row>
    <row r="165" spans="1:4" x14ac:dyDescent="0.45">
      <c r="A165" t="s">
        <v>298</v>
      </c>
      <c r="B165">
        <v>103.9</v>
      </c>
      <c r="C165" s="2">
        <v>123456789</v>
      </c>
      <c r="D165" s="2">
        <v>123456789</v>
      </c>
    </row>
    <row r="166" spans="1:4" x14ac:dyDescent="0.45">
      <c r="A166" t="s">
        <v>299</v>
      </c>
      <c r="B166">
        <v>101.7</v>
      </c>
      <c r="C166" s="2">
        <v>123456789</v>
      </c>
      <c r="D166" s="2">
        <v>123456789</v>
      </c>
    </row>
    <row r="167" spans="1:4" x14ac:dyDescent="0.45">
      <c r="A167" t="s">
        <v>300</v>
      </c>
      <c r="B167">
        <v>100.5</v>
      </c>
      <c r="C167" s="2">
        <v>123456789</v>
      </c>
      <c r="D167" s="2">
        <v>123456789</v>
      </c>
    </row>
    <row r="168" spans="1:4" x14ac:dyDescent="0.45">
      <c r="A168" t="s">
        <v>301</v>
      </c>
      <c r="B168">
        <v>99.6</v>
      </c>
      <c r="C168" s="2">
        <v>123456789</v>
      </c>
      <c r="D168" s="2">
        <v>123456789</v>
      </c>
    </row>
    <row r="169" spans="1:4" x14ac:dyDescent="0.45">
      <c r="A169" t="s">
        <v>302</v>
      </c>
      <c r="B169">
        <v>98.3</v>
      </c>
      <c r="C169" s="2">
        <v>123456789</v>
      </c>
      <c r="D169" s="2">
        <v>123456789</v>
      </c>
    </row>
    <row r="170" spans="1:4" x14ac:dyDescent="0.45">
      <c r="A170" t="s">
        <v>303</v>
      </c>
      <c r="B170">
        <v>97.6</v>
      </c>
      <c r="C170" s="2">
        <v>123456789</v>
      </c>
      <c r="D170" s="2">
        <v>123456789</v>
      </c>
    </row>
    <row r="171" spans="1:4" x14ac:dyDescent="0.45">
      <c r="A171" t="s">
        <v>304</v>
      </c>
      <c r="B171">
        <v>96.8</v>
      </c>
      <c r="C171" s="2">
        <v>123456789</v>
      </c>
      <c r="D171" s="2">
        <v>123456789</v>
      </c>
    </row>
    <row r="172" spans="1:4" x14ac:dyDescent="0.45">
      <c r="A172" t="s">
        <v>305</v>
      </c>
      <c r="B172">
        <v>96</v>
      </c>
      <c r="C172" s="2">
        <v>123456789</v>
      </c>
      <c r="D172" s="2">
        <v>123456789</v>
      </c>
    </row>
    <row r="173" spans="1:4" x14ac:dyDescent="0.45">
      <c r="A173" t="s">
        <v>306</v>
      </c>
      <c r="B173">
        <v>94.6</v>
      </c>
      <c r="C173" s="2">
        <v>123456789</v>
      </c>
      <c r="D173" s="2">
        <v>123456789</v>
      </c>
    </row>
    <row r="174" spans="1:4" x14ac:dyDescent="0.45">
      <c r="A174" t="s">
        <v>307</v>
      </c>
      <c r="B174">
        <v>93.6</v>
      </c>
      <c r="C174" s="2">
        <v>123456789</v>
      </c>
      <c r="D174" s="2">
        <v>123456789</v>
      </c>
    </row>
    <row r="175" spans="1:4" x14ac:dyDescent="0.45">
      <c r="A175" t="s">
        <v>308</v>
      </c>
      <c r="B175">
        <v>91.9</v>
      </c>
      <c r="C175" s="2">
        <v>123456789</v>
      </c>
      <c r="D175" s="2">
        <v>123456789</v>
      </c>
    </row>
    <row r="176" spans="1:4" x14ac:dyDescent="0.45">
      <c r="A176" t="s">
        <v>309</v>
      </c>
      <c r="B176">
        <v>91.3</v>
      </c>
      <c r="C176" s="2">
        <v>123456789</v>
      </c>
      <c r="D176" s="2">
        <v>123456789</v>
      </c>
    </row>
    <row r="177" spans="1:4" x14ac:dyDescent="0.45">
      <c r="A177" t="s">
        <v>310</v>
      </c>
      <c r="B177">
        <v>90.8</v>
      </c>
      <c r="C177" s="2">
        <v>123456789</v>
      </c>
      <c r="D177" s="2">
        <v>123456789</v>
      </c>
    </row>
    <row r="178" spans="1:4" x14ac:dyDescent="0.45">
      <c r="A178" t="s">
        <v>311</v>
      </c>
      <c r="B178">
        <v>89.2</v>
      </c>
      <c r="C178" s="2">
        <v>123456789</v>
      </c>
      <c r="D178" s="2">
        <v>123456789</v>
      </c>
    </row>
    <row r="179" spans="1:4" x14ac:dyDescent="0.45">
      <c r="A179" t="s">
        <v>312</v>
      </c>
      <c r="B179">
        <v>88.9</v>
      </c>
      <c r="C179" s="2">
        <v>123456789</v>
      </c>
      <c r="D179" s="2">
        <v>123456789</v>
      </c>
    </row>
    <row r="180" spans="1:4" x14ac:dyDescent="0.45">
      <c r="A180" t="s">
        <v>313</v>
      </c>
      <c r="B180">
        <v>88.4</v>
      </c>
      <c r="C180" s="2">
        <v>123456789</v>
      </c>
      <c r="D180" s="2">
        <v>123456789</v>
      </c>
    </row>
    <row r="181" spans="1:4" x14ac:dyDescent="0.45">
      <c r="A181" t="s">
        <v>314</v>
      </c>
      <c r="B181">
        <v>87.4</v>
      </c>
      <c r="C181" s="2">
        <v>123456789</v>
      </c>
      <c r="D181" s="2">
        <v>123456789</v>
      </c>
    </row>
    <row r="182" spans="1:4" x14ac:dyDescent="0.45">
      <c r="A182" t="s">
        <v>315</v>
      </c>
      <c r="B182">
        <v>87</v>
      </c>
      <c r="C182" s="2">
        <v>123456789</v>
      </c>
      <c r="D182" s="2">
        <v>123456789</v>
      </c>
    </row>
    <row r="183" spans="1:4" x14ac:dyDescent="0.45">
      <c r="A183" t="s">
        <v>316</v>
      </c>
      <c r="B183">
        <v>86.3</v>
      </c>
      <c r="C183" s="2">
        <v>123456789</v>
      </c>
      <c r="D183" s="2">
        <v>123456789</v>
      </c>
    </row>
    <row r="184" spans="1:4" x14ac:dyDescent="0.45">
      <c r="A184" t="s">
        <v>317</v>
      </c>
      <c r="B184">
        <v>86.3</v>
      </c>
      <c r="C184" s="2">
        <v>123456789</v>
      </c>
      <c r="D184" s="2">
        <v>123456789</v>
      </c>
    </row>
    <row r="185" spans="1:4" x14ac:dyDescent="0.45">
      <c r="A185" t="s">
        <v>318</v>
      </c>
      <c r="B185">
        <v>86.9</v>
      </c>
      <c r="C185" s="2">
        <v>123456789</v>
      </c>
      <c r="D185" s="2">
        <v>123456789</v>
      </c>
    </row>
    <row r="186" spans="1:4" x14ac:dyDescent="0.45">
      <c r="A186" t="s">
        <v>319</v>
      </c>
      <c r="B186">
        <v>87.1</v>
      </c>
      <c r="C186" s="2">
        <v>123456789</v>
      </c>
      <c r="D186" s="2">
        <v>123456789</v>
      </c>
    </row>
    <row r="187" spans="1:4" x14ac:dyDescent="0.45">
      <c r="A187" t="s">
        <v>320</v>
      </c>
      <c r="B187">
        <v>87.3</v>
      </c>
      <c r="C187" s="2">
        <v>123456789</v>
      </c>
      <c r="D187" s="2">
        <v>123456789</v>
      </c>
    </row>
    <row r="188" spans="1:4" x14ac:dyDescent="0.45">
      <c r="A188" t="s">
        <v>321</v>
      </c>
      <c r="B188">
        <v>87.5</v>
      </c>
      <c r="C188" s="2">
        <v>123456789</v>
      </c>
      <c r="D188" s="2">
        <v>123456789</v>
      </c>
    </row>
    <row r="189" spans="1:4" x14ac:dyDescent="0.45">
      <c r="A189" t="s">
        <v>322</v>
      </c>
      <c r="B189">
        <v>87.3</v>
      </c>
      <c r="C189" s="2">
        <v>123456789</v>
      </c>
      <c r="D189" s="2">
        <v>123456789</v>
      </c>
    </row>
    <row r="190" spans="1:4" x14ac:dyDescent="0.45">
      <c r="A190" t="s">
        <v>323</v>
      </c>
      <c r="B190">
        <v>87.5</v>
      </c>
      <c r="C190" s="2">
        <v>123456789</v>
      </c>
      <c r="D190" s="2">
        <v>123456789</v>
      </c>
    </row>
    <row r="191" spans="1:4" x14ac:dyDescent="0.45">
      <c r="A191" t="s">
        <v>324</v>
      </c>
      <c r="B191">
        <v>87.8</v>
      </c>
      <c r="C191" s="2">
        <v>123456789</v>
      </c>
      <c r="D191" s="2">
        <v>123456789</v>
      </c>
    </row>
    <row r="192" spans="1:4" x14ac:dyDescent="0.45">
      <c r="A192" t="s">
        <v>325</v>
      </c>
      <c r="B192">
        <v>87.8</v>
      </c>
      <c r="C192" s="2">
        <v>123456789</v>
      </c>
      <c r="D192" s="2">
        <v>123456789</v>
      </c>
    </row>
    <row r="193" spans="1:4" x14ac:dyDescent="0.45">
      <c r="A193" t="s">
        <v>326</v>
      </c>
      <c r="B193">
        <v>87.2</v>
      </c>
      <c r="C193" s="2">
        <v>123456789</v>
      </c>
      <c r="D193" s="2">
        <v>123456789</v>
      </c>
    </row>
    <row r="194" spans="1:4" x14ac:dyDescent="0.45">
      <c r="A194" t="s">
        <v>327</v>
      </c>
      <c r="B194">
        <v>86.5</v>
      </c>
      <c r="C194" s="2">
        <v>123456789</v>
      </c>
      <c r="D194" s="2">
        <v>123456789</v>
      </c>
    </row>
    <row r="195" spans="1:4" x14ac:dyDescent="0.45">
      <c r="A195" t="s">
        <v>328</v>
      </c>
      <c r="B195">
        <v>86.6</v>
      </c>
      <c r="C195" s="2">
        <v>123456789</v>
      </c>
      <c r="D195" s="2">
        <v>123456789</v>
      </c>
    </row>
    <row r="196" spans="1:4" x14ac:dyDescent="0.45">
      <c r="A196" t="s">
        <v>329</v>
      </c>
      <c r="B196">
        <v>86.4</v>
      </c>
      <c r="C196" s="2">
        <v>123456789</v>
      </c>
      <c r="D196" s="2">
        <v>123456789</v>
      </c>
    </row>
    <row r="197" spans="1:4" x14ac:dyDescent="0.45">
      <c r="A197" t="s">
        <v>330</v>
      </c>
      <c r="B197">
        <v>86.3</v>
      </c>
      <c r="C197" s="2">
        <v>123456789</v>
      </c>
      <c r="D197" s="2">
        <v>123456789</v>
      </c>
    </row>
    <row r="198" spans="1:4" x14ac:dyDescent="0.45">
      <c r="A198" t="s">
        <v>331</v>
      </c>
      <c r="B198">
        <v>86</v>
      </c>
      <c r="C198" s="2">
        <v>123456789</v>
      </c>
      <c r="D198" s="2">
        <v>123456789</v>
      </c>
    </row>
    <row r="199" spans="1:4" x14ac:dyDescent="0.45">
      <c r="A199" t="s">
        <v>332</v>
      </c>
      <c r="B199">
        <v>86.1</v>
      </c>
      <c r="C199" s="2">
        <v>123456789</v>
      </c>
      <c r="D199" s="2">
        <v>123456789</v>
      </c>
    </row>
    <row r="200" spans="1:4" x14ac:dyDescent="0.45">
      <c r="A200" t="s">
        <v>333</v>
      </c>
      <c r="B200">
        <v>85.6</v>
      </c>
      <c r="C200" s="2">
        <v>123456789</v>
      </c>
      <c r="D200" s="2">
        <v>123456789</v>
      </c>
    </row>
    <row r="201" spans="1:4" x14ac:dyDescent="0.45">
      <c r="A201" t="s">
        <v>334</v>
      </c>
      <c r="B201">
        <v>85.2</v>
      </c>
      <c r="C201" s="2">
        <v>123456789</v>
      </c>
      <c r="D201" s="2">
        <v>123456789</v>
      </c>
    </row>
    <row r="202" spans="1:4" x14ac:dyDescent="0.45">
      <c r="A202" t="s">
        <v>335</v>
      </c>
      <c r="B202">
        <v>86.1</v>
      </c>
      <c r="C202" s="2">
        <v>123456789</v>
      </c>
      <c r="D202" s="2">
        <v>123456789</v>
      </c>
    </row>
    <row r="203" spans="1:4" x14ac:dyDescent="0.45">
      <c r="A203" t="s">
        <v>336</v>
      </c>
      <c r="B203">
        <v>88.9</v>
      </c>
      <c r="C203" s="2">
        <v>123456789</v>
      </c>
      <c r="D203" s="2">
        <v>123456789</v>
      </c>
    </row>
    <row r="204" spans="1:4" x14ac:dyDescent="0.45">
      <c r="A204" t="s">
        <v>337</v>
      </c>
      <c r="B204">
        <v>91.1</v>
      </c>
      <c r="C204" s="2">
        <v>123456789</v>
      </c>
      <c r="D204" s="2">
        <v>123456789</v>
      </c>
    </row>
    <row r="205" spans="1:4" x14ac:dyDescent="0.45">
      <c r="A205" t="s">
        <v>338</v>
      </c>
      <c r="B205">
        <v>93.7</v>
      </c>
      <c r="C205" s="2">
        <v>123456789</v>
      </c>
      <c r="D205" s="2">
        <v>123456789</v>
      </c>
    </row>
    <row r="206" spans="1:4" x14ac:dyDescent="0.45">
      <c r="A206" t="s">
        <v>339</v>
      </c>
      <c r="B206">
        <v>95.5</v>
      </c>
      <c r="C206" s="2">
        <v>123456789</v>
      </c>
      <c r="D206" s="2">
        <v>123456789</v>
      </c>
    </row>
    <row r="207" spans="1:4" x14ac:dyDescent="0.45">
      <c r="A207" t="s">
        <v>340</v>
      </c>
      <c r="B207">
        <v>92.2</v>
      </c>
      <c r="C207" s="2">
        <v>123456789</v>
      </c>
      <c r="D207" s="2">
        <v>123456789</v>
      </c>
    </row>
    <row r="208" spans="1:4" x14ac:dyDescent="0.45">
      <c r="A208" t="s">
        <v>341</v>
      </c>
      <c r="B208">
        <v>90.7</v>
      </c>
      <c r="C208" s="2">
        <v>123456789</v>
      </c>
      <c r="D208" s="2">
        <v>123456789</v>
      </c>
    </row>
    <row r="209" spans="1:4" x14ac:dyDescent="0.45">
      <c r="A209" t="s">
        <v>342</v>
      </c>
      <c r="B209">
        <v>89</v>
      </c>
      <c r="C209" s="2">
        <v>123456789</v>
      </c>
      <c r="D209" s="2">
        <v>123456789</v>
      </c>
    </row>
    <row r="210" spans="1:4" x14ac:dyDescent="0.45">
      <c r="A210" t="s">
        <v>343</v>
      </c>
      <c r="B210">
        <v>87.4</v>
      </c>
      <c r="C210" s="2">
        <v>123456789</v>
      </c>
      <c r="D210" s="2">
        <v>123456789</v>
      </c>
    </row>
    <row r="211" spans="1:4" x14ac:dyDescent="0.45">
      <c r="A211" t="s">
        <v>344</v>
      </c>
      <c r="B211">
        <v>85.9</v>
      </c>
      <c r="C211" s="2">
        <v>123456789</v>
      </c>
      <c r="D211" s="2">
        <v>123456789</v>
      </c>
    </row>
    <row r="212" spans="1:4" x14ac:dyDescent="0.45">
      <c r="A212" t="s">
        <v>345</v>
      </c>
      <c r="B212">
        <v>85.1</v>
      </c>
      <c r="C212" s="2">
        <v>123456789</v>
      </c>
      <c r="D212" s="2">
        <v>123456789</v>
      </c>
    </row>
    <row r="213" spans="1:4" x14ac:dyDescent="0.45">
      <c r="A213" t="s">
        <v>346</v>
      </c>
      <c r="B213">
        <v>82.8</v>
      </c>
      <c r="C213" s="2">
        <v>123456789</v>
      </c>
      <c r="D213" s="2">
        <v>123456789</v>
      </c>
    </row>
    <row r="214" spans="1:4" x14ac:dyDescent="0.45">
      <c r="A214" t="s">
        <v>347</v>
      </c>
      <c r="B214">
        <v>81.3</v>
      </c>
      <c r="C214" s="2">
        <v>123456789</v>
      </c>
      <c r="D214" s="2">
        <v>123456789</v>
      </c>
    </row>
    <row r="215" spans="1:4" x14ac:dyDescent="0.45">
      <c r="A215" t="s">
        <v>348</v>
      </c>
      <c r="B215">
        <v>79.099999999999994</v>
      </c>
      <c r="C215" s="2">
        <v>123456789</v>
      </c>
      <c r="D215" s="2">
        <v>123456789</v>
      </c>
    </row>
    <row r="216" spans="1:4" x14ac:dyDescent="0.45">
      <c r="A216" t="s">
        <v>349</v>
      </c>
      <c r="B216">
        <v>77.7</v>
      </c>
      <c r="C216" s="2">
        <v>123456789</v>
      </c>
      <c r="D216" s="2">
        <v>123456789</v>
      </c>
    </row>
    <row r="217" spans="1:4" x14ac:dyDescent="0.45">
      <c r="A217" t="s">
        <v>350</v>
      </c>
      <c r="B217">
        <v>76.900000000000006</v>
      </c>
      <c r="C217" s="2">
        <v>123456789</v>
      </c>
      <c r="D217" s="2">
        <v>123456789</v>
      </c>
    </row>
    <row r="218" spans="1:4" x14ac:dyDescent="0.45">
      <c r="A218" t="s">
        <v>351</v>
      </c>
      <c r="B218">
        <v>76.3</v>
      </c>
      <c r="C218" s="2">
        <v>123456789</v>
      </c>
      <c r="D218" s="2">
        <v>123456789</v>
      </c>
    </row>
    <row r="219" spans="1:4" x14ac:dyDescent="0.45">
      <c r="A219" t="s">
        <v>352</v>
      </c>
      <c r="B219">
        <v>75.2</v>
      </c>
      <c r="C219" s="2">
        <v>123456789</v>
      </c>
      <c r="D219" s="2">
        <v>123456789</v>
      </c>
    </row>
    <row r="220" spans="1:4" x14ac:dyDescent="0.45">
      <c r="A220" t="s">
        <v>353</v>
      </c>
      <c r="B220">
        <v>74.3</v>
      </c>
      <c r="C220" s="2">
        <v>123456789</v>
      </c>
      <c r="D220" s="2">
        <v>123456789</v>
      </c>
    </row>
    <row r="221" spans="1:4" x14ac:dyDescent="0.45">
      <c r="A221" t="s">
        <v>354</v>
      </c>
      <c r="B221">
        <v>74.599999999999994</v>
      </c>
      <c r="C221" s="2">
        <v>123456789</v>
      </c>
      <c r="D221" s="2">
        <v>123456789</v>
      </c>
    </row>
    <row r="222" spans="1:4" x14ac:dyDescent="0.45">
      <c r="A222" t="s">
        <v>355</v>
      </c>
      <c r="B222">
        <v>74.400000000000006</v>
      </c>
      <c r="C222" s="2">
        <v>123456789</v>
      </c>
      <c r="D222" s="2">
        <v>123456789</v>
      </c>
    </row>
    <row r="223" spans="1:4" x14ac:dyDescent="0.45">
      <c r="A223" s="4" t="s">
        <v>356</v>
      </c>
      <c r="B223" s="4">
        <v>74.400000000000006</v>
      </c>
      <c r="C223" s="2">
        <v>123456789</v>
      </c>
      <c r="D223" s="2">
        <v>123456789</v>
      </c>
    </row>
    <row r="224" spans="1:4" x14ac:dyDescent="0.45">
      <c r="A224" s="4" t="s">
        <v>357</v>
      </c>
      <c r="B224" s="4">
        <v>74.400000000000006</v>
      </c>
      <c r="C224" s="2">
        <v>123456789</v>
      </c>
      <c r="D224" s="2">
        <v>123456789</v>
      </c>
    </row>
    <row r="225" spans="1:4" x14ac:dyDescent="0.45">
      <c r="A225" s="4" t="s">
        <v>438</v>
      </c>
      <c r="B225" s="4">
        <v>74.400000000000006</v>
      </c>
      <c r="C225" s="2">
        <v>123456789</v>
      </c>
      <c r="D225" s="2">
        <v>123456789</v>
      </c>
    </row>
    <row r="226" spans="1:4" x14ac:dyDescent="0.45">
      <c r="A226" s="4" t="s">
        <v>441</v>
      </c>
      <c r="B226" s="4">
        <v>74.400000000000006</v>
      </c>
      <c r="C226" s="2">
        <v>123456789</v>
      </c>
      <c r="D226" s="2">
        <v>123456789</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4406-F6F3-468C-BF6A-4FA63BE40121}">
  <sheetPr>
    <tabColor theme="9" tint="0.79998168889431442"/>
  </sheetPr>
  <dimension ref="A1:D226"/>
  <sheetViews>
    <sheetView topLeftCell="A205" workbookViewId="0">
      <selection activeCell="F214" sqref="F214"/>
    </sheetView>
  </sheetViews>
  <sheetFormatPr defaultRowHeight="14.25" x14ac:dyDescent="0.45"/>
  <sheetData>
    <row r="1" spans="1:4" x14ac:dyDescent="0.45">
      <c r="B1" t="s">
        <v>6</v>
      </c>
      <c r="C1" t="s">
        <v>133</v>
      </c>
      <c r="D1" t="s">
        <v>134</v>
      </c>
    </row>
    <row r="2" spans="1:4" x14ac:dyDescent="0.45">
      <c r="A2" t="s">
        <v>135</v>
      </c>
      <c r="B2">
        <v>58</v>
      </c>
      <c r="C2" s="2">
        <v>123456789</v>
      </c>
      <c r="D2" s="2">
        <v>123456789</v>
      </c>
    </row>
    <row r="3" spans="1:4" x14ac:dyDescent="0.45">
      <c r="A3" t="s">
        <v>136</v>
      </c>
      <c r="B3">
        <v>59.4</v>
      </c>
      <c r="C3" s="2">
        <v>123456789</v>
      </c>
      <c r="D3" s="2">
        <v>123456789</v>
      </c>
    </row>
    <row r="4" spans="1:4" x14ac:dyDescent="0.45">
      <c r="A4" t="s">
        <v>137</v>
      </c>
      <c r="B4">
        <v>57.5</v>
      </c>
      <c r="C4" s="2">
        <v>123456789</v>
      </c>
      <c r="D4" s="2">
        <v>123456789</v>
      </c>
    </row>
    <row r="5" spans="1:4" x14ac:dyDescent="0.45">
      <c r="A5" t="s">
        <v>138</v>
      </c>
      <c r="B5">
        <v>58.6</v>
      </c>
      <c r="C5" s="2">
        <v>123456789</v>
      </c>
      <c r="D5" s="2">
        <v>123456789</v>
      </c>
    </row>
    <row r="6" spans="1:4" x14ac:dyDescent="0.45">
      <c r="A6" t="s">
        <v>139</v>
      </c>
      <c r="B6">
        <v>56.9</v>
      </c>
      <c r="C6" s="2">
        <v>123456789</v>
      </c>
      <c r="D6" s="2">
        <v>123456789</v>
      </c>
    </row>
    <row r="7" spans="1:4" x14ac:dyDescent="0.45">
      <c r="A7" t="s">
        <v>140</v>
      </c>
      <c r="B7">
        <v>55.2</v>
      </c>
      <c r="C7" s="2">
        <v>123456789</v>
      </c>
      <c r="D7" s="2">
        <v>123456789</v>
      </c>
    </row>
    <row r="8" spans="1:4" x14ac:dyDescent="0.45">
      <c r="A8" t="s">
        <v>141</v>
      </c>
      <c r="B8">
        <v>56.2</v>
      </c>
      <c r="C8" s="2">
        <v>123456789</v>
      </c>
      <c r="D8" s="2">
        <v>123456789</v>
      </c>
    </row>
    <row r="9" spans="1:4" x14ac:dyDescent="0.45">
      <c r="A9" t="s">
        <v>142</v>
      </c>
      <c r="B9">
        <v>57.2</v>
      </c>
      <c r="C9" s="2">
        <v>123456789</v>
      </c>
      <c r="D9" s="2">
        <v>123456789</v>
      </c>
    </row>
    <row r="10" spans="1:4" x14ac:dyDescent="0.45">
      <c r="A10" t="s">
        <v>143</v>
      </c>
      <c r="B10">
        <v>60.6</v>
      </c>
      <c r="C10" s="2">
        <v>123456789</v>
      </c>
      <c r="D10" s="2">
        <v>123456789</v>
      </c>
    </row>
    <row r="11" spans="1:4" x14ac:dyDescent="0.45">
      <c r="A11" t="s">
        <v>144</v>
      </c>
      <c r="B11">
        <v>61.3</v>
      </c>
      <c r="C11" s="2">
        <v>123456789</v>
      </c>
      <c r="D11" s="2">
        <v>123456789</v>
      </c>
    </row>
    <row r="12" spans="1:4" x14ac:dyDescent="0.45">
      <c r="A12" t="s">
        <v>145</v>
      </c>
      <c r="B12">
        <v>64.7</v>
      </c>
      <c r="C12" s="2">
        <v>123456789</v>
      </c>
      <c r="D12" s="2">
        <v>123456789</v>
      </c>
    </row>
    <row r="13" spans="1:4" x14ac:dyDescent="0.45">
      <c r="A13" t="s">
        <v>146</v>
      </c>
      <c r="B13">
        <v>65</v>
      </c>
      <c r="C13" s="2">
        <v>123456789</v>
      </c>
      <c r="D13" s="2">
        <v>123456789</v>
      </c>
    </row>
    <row r="14" spans="1:4" x14ac:dyDescent="0.45">
      <c r="A14" t="s">
        <v>147</v>
      </c>
      <c r="B14">
        <v>64.2</v>
      </c>
      <c r="C14" s="2">
        <v>123456789</v>
      </c>
      <c r="D14" s="2">
        <v>123456789</v>
      </c>
    </row>
    <row r="15" spans="1:4" x14ac:dyDescent="0.45">
      <c r="A15" t="s">
        <v>148</v>
      </c>
      <c r="B15">
        <v>66.3</v>
      </c>
      <c r="C15" s="2">
        <v>123456789</v>
      </c>
      <c r="D15" s="2">
        <v>123456789</v>
      </c>
    </row>
    <row r="16" spans="1:4" x14ac:dyDescent="0.45">
      <c r="A16" t="s">
        <v>149</v>
      </c>
      <c r="B16">
        <v>66</v>
      </c>
      <c r="C16" s="2">
        <v>123456789</v>
      </c>
      <c r="D16" s="2">
        <v>123456789</v>
      </c>
    </row>
    <row r="17" spans="1:4" x14ac:dyDescent="0.45">
      <c r="A17" t="s">
        <v>150</v>
      </c>
      <c r="B17">
        <v>63.9</v>
      </c>
      <c r="C17" s="2">
        <v>123456789</v>
      </c>
      <c r="D17" s="2">
        <v>123456789</v>
      </c>
    </row>
    <row r="18" spans="1:4" x14ac:dyDescent="0.45">
      <c r="A18" t="s">
        <v>151</v>
      </c>
      <c r="B18">
        <v>65</v>
      </c>
      <c r="C18" s="2">
        <v>123456789</v>
      </c>
      <c r="D18" s="2">
        <v>123456789</v>
      </c>
    </row>
    <row r="19" spans="1:4" x14ac:dyDescent="0.45">
      <c r="A19" t="s">
        <v>152</v>
      </c>
      <c r="B19">
        <v>64.900000000000006</v>
      </c>
      <c r="C19" s="2">
        <v>123456789</v>
      </c>
      <c r="D19" s="2">
        <v>123456789</v>
      </c>
    </row>
    <row r="20" spans="1:4" x14ac:dyDescent="0.45">
      <c r="A20" t="s">
        <v>153</v>
      </c>
      <c r="B20">
        <v>64.099999999999994</v>
      </c>
      <c r="C20" s="2">
        <v>123456789</v>
      </c>
      <c r="D20" s="2">
        <v>123456789</v>
      </c>
    </row>
    <row r="21" spans="1:4" x14ac:dyDescent="0.45">
      <c r="A21" t="s">
        <v>154</v>
      </c>
      <c r="B21">
        <v>61.3</v>
      </c>
      <c r="C21" s="2">
        <v>123456789</v>
      </c>
      <c r="D21" s="2">
        <v>123456789</v>
      </c>
    </row>
    <row r="22" spans="1:4" x14ac:dyDescent="0.45">
      <c r="A22" t="s">
        <v>155</v>
      </c>
      <c r="B22">
        <v>59.5</v>
      </c>
      <c r="C22" s="2">
        <v>123456789</v>
      </c>
      <c r="D22" s="2">
        <v>123456789</v>
      </c>
    </row>
    <row r="23" spans="1:4" x14ac:dyDescent="0.45">
      <c r="A23" t="s">
        <v>156</v>
      </c>
      <c r="B23">
        <v>59.3</v>
      </c>
      <c r="C23" s="2">
        <v>123456789</v>
      </c>
      <c r="D23" s="2">
        <v>123456789</v>
      </c>
    </row>
    <row r="24" spans="1:4" x14ac:dyDescent="0.45">
      <c r="A24" t="s">
        <v>157</v>
      </c>
      <c r="B24">
        <v>56.5</v>
      </c>
      <c r="C24" s="2">
        <v>123456789</v>
      </c>
      <c r="D24" s="2">
        <v>123456789</v>
      </c>
    </row>
    <row r="25" spans="1:4" x14ac:dyDescent="0.45">
      <c r="A25" t="s">
        <v>158</v>
      </c>
      <c r="B25">
        <v>57.9</v>
      </c>
      <c r="C25" s="2">
        <v>123456789</v>
      </c>
      <c r="D25" s="2">
        <v>123456789</v>
      </c>
    </row>
    <row r="26" spans="1:4" x14ac:dyDescent="0.45">
      <c r="A26" t="s">
        <v>159</v>
      </c>
      <c r="B26">
        <v>57.7</v>
      </c>
      <c r="C26" s="2">
        <v>123456789</v>
      </c>
      <c r="D26" s="2">
        <v>123456789</v>
      </c>
    </row>
    <row r="27" spans="1:4" x14ac:dyDescent="0.45">
      <c r="A27" t="s">
        <v>160</v>
      </c>
      <c r="B27">
        <v>57.2</v>
      </c>
      <c r="C27" s="2">
        <v>123456789</v>
      </c>
      <c r="D27" s="2">
        <v>123456789</v>
      </c>
    </row>
    <row r="28" spans="1:4" x14ac:dyDescent="0.45">
      <c r="A28" t="s">
        <v>161</v>
      </c>
      <c r="B28">
        <v>57.4</v>
      </c>
      <c r="C28" s="2">
        <v>123456789</v>
      </c>
      <c r="D28" s="2">
        <v>123456789</v>
      </c>
    </row>
    <row r="29" spans="1:4" x14ac:dyDescent="0.45">
      <c r="A29" t="s">
        <v>162</v>
      </c>
      <c r="B29">
        <v>58.3</v>
      </c>
      <c r="C29" s="2">
        <v>123456789</v>
      </c>
      <c r="D29" s="2">
        <v>123456789</v>
      </c>
    </row>
    <row r="30" spans="1:4" x14ac:dyDescent="0.45">
      <c r="A30" t="s">
        <v>163</v>
      </c>
      <c r="B30">
        <v>56.3</v>
      </c>
      <c r="C30" s="2">
        <v>123456789</v>
      </c>
      <c r="D30" s="2">
        <v>123456789</v>
      </c>
    </row>
    <row r="31" spans="1:4" x14ac:dyDescent="0.45">
      <c r="A31" t="s">
        <v>164</v>
      </c>
      <c r="B31">
        <v>56.5</v>
      </c>
      <c r="C31" s="2">
        <v>123456789</v>
      </c>
      <c r="D31" s="2">
        <v>123456789</v>
      </c>
    </row>
    <row r="32" spans="1:4" x14ac:dyDescent="0.45">
      <c r="A32" t="s">
        <v>165</v>
      </c>
      <c r="B32">
        <v>55.9</v>
      </c>
      <c r="C32" s="2">
        <v>123456789</v>
      </c>
      <c r="D32" s="2">
        <v>123456789</v>
      </c>
    </row>
    <row r="33" spans="1:4" x14ac:dyDescent="0.45">
      <c r="A33" t="s">
        <v>166</v>
      </c>
      <c r="B33">
        <v>56</v>
      </c>
      <c r="C33" s="2">
        <v>123456789</v>
      </c>
      <c r="D33" s="2">
        <v>123456789</v>
      </c>
    </row>
    <row r="34" spans="1:4" x14ac:dyDescent="0.45">
      <c r="A34" t="s">
        <v>167</v>
      </c>
      <c r="B34">
        <v>55.9</v>
      </c>
      <c r="C34" s="2">
        <v>123456789</v>
      </c>
      <c r="D34" s="2">
        <v>123456789</v>
      </c>
    </row>
    <row r="35" spans="1:4" x14ac:dyDescent="0.45">
      <c r="A35" t="s">
        <v>168</v>
      </c>
      <c r="B35">
        <v>56.4</v>
      </c>
      <c r="C35" s="2">
        <v>123456789</v>
      </c>
      <c r="D35" s="2">
        <v>123456789</v>
      </c>
    </row>
    <row r="36" spans="1:4" x14ac:dyDescent="0.45">
      <c r="A36" t="s">
        <v>169</v>
      </c>
      <c r="B36">
        <v>55.6</v>
      </c>
      <c r="C36" s="2">
        <v>123456789</v>
      </c>
      <c r="D36" s="2">
        <v>123456789</v>
      </c>
    </row>
    <row r="37" spans="1:4" x14ac:dyDescent="0.45">
      <c r="A37" t="s">
        <v>170</v>
      </c>
      <c r="B37">
        <v>55.5</v>
      </c>
      <c r="C37" s="2">
        <v>123456789</v>
      </c>
      <c r="D37" s="2">
        <v>123456789</v>
      </c>
    </row>
    <row r="38" spans="1:4" x14ac:dyDescent="0.45">
      <c r="A38" t="s">
        <v>171</v>
      </c>
      <c r="B38">
        <v>56.1</v>
      </c>
      <c r="C38" s="2">
        <v>123456789</v>
      </c>
      <c r="D38" s="2">
        <v>123456789</v>
      </c>
    </row>
    <row r="39" spans="1:4" x14ac:dyDescent="0.45">
      <c r="A39" t="s">
        <v>172</v>
      </c>
      <c r="B39">
        <v>56.7</v>
      </c>
      <c r="C39" s="2">
        <v>123456789</v>
      </c>
      <c r="D39" s="2">
        <v>123456789</v>
      </c>
    </row>
    <row r="40" spans="1:4" x14ac:dyDescent="0.45">
      <c r="A40" t="s">
        <v>173</v>
      </c>
      <c r="B40">
        <v>56.2</v>
      </c>
      <c r="C40" s="2">
        <v>123456789</v>
      </c>
      <c r="D40" s="2">
        <v>123456789</v>
      </c>
    </row>
    <row r="41" spans="1:4" x14ac:dyDescent="0.45">
      <c r="A41" t="s">
        <v>174</v>
      </c>
      <c r="B41">
        <v>55.6</v>
      </c>
      <c r="C41" s="2">
        <v>123456789</v>
      </c>
      <c r="D41" s="2">
        <v>123456789</v>
      </c>
    </row>
    <row r="42" spans="1:4" x14ac:dyDescent="0.45">
      <c r="A42" t="s">
        <v>175</v>
      </c>
      <c r="B42">
        <v>56.8</v>
      </c>
      <c r="C42" s="2">
        <v>123456789</v>
      </c>
      <c r="D42" s="2">
        <v>123456789</v>
      </c>
    </row>
    <row r="43" spans="1:4" x14ac:dyDescent="0.45">
      <c r="A43" t="s">
        <v>176</v>
      </c>
      <c r="B43">
        <v>57.1</v>
      </c>
      <c r="C43" s="2">
        <v>123456789</v>
      </c>
      <c r="D43" s="2">
        <v>123456789</v>
      </c>
    </row>
    <row r="44" spans="1:4" x14ac:dyDescent="0.45">
      <c r="A44" t="s">
        <v>177</v>
      </c>
      <c r="B44">
        <v>56.8</v>
      </c>
      <c r="C44" s="2">
        <v>123456789</v>
      </c>
      <c r="D44" s="2">
        <v>123456789</v>
      </c>
    </row>
    <row r="45" spans="1:4" x14ac:dyDescent="0.45">
      <c r="A45" t="s">
        <v>178</v>
      </c>
      <c r="B45">
        <v>56.7</v>
      </c>
      <c r="C45" s="2">
        <v>123456789</v>
      </c>
      <c r="D45" s="2">
        <v>123456789</v>
      </c>
    </row>
    <row r="46" spans="1:4" x14ac:dyDescent="0.45">
      <c r="A46" t="s">
        <v>179</v>
      </c>
      <c r="B46">
        <v>56.5</v>
      </c>
      <c r="C46" s="2">
        <v>123456789</v>
      </c>
      <c r="D46" s="2">
        <v>123456789</v>
      </c>
    </row>
    <row r="47" spans="1:4" x14ac:dyDescent="0.45">
      <c r="A47" t="s">
        <v>180</v>
      </c>
      <c r="B47">
        <v>56.5</v>
      </c>
      <c r="C47" s="2">
        <v>123456789</v>
      </c>
      <c r="D47" s="2">
        <v>123456789</v>
      </c>
    </row>
    <row r="48" spans="1:4" x14ac:dyDescent="0.45">
      <c r="A48" t="s">
        <v>181</v>
      </c>
      <c r="B48">
        <v>58.1</v>
      </c>
      <c r="C48" s="2">
        <v>123456789</v>
      </c>
      <c r="D48" s="2">
        <v>123456789</v>
      </c>
    </row>
    <row r="49" spans="1:4" x14ac:dyDescent="0.45">
      <c r="A49" t="s">
        <v>182</v>
      </c>
      <c r="B49">
        <v>60.6</v>
      </c>
      <c r="C49" s="2">
        <v>123456789</v>
      </c>
      <c r="D49" s="2">
        <v>123456789</v>
      </c>
    </row>
    <row r="50" spans="1:4" x14ac:dyDescent="0.45">
      <c r="A50" t="s">
        <v>183</v>
      </c>
      <c r="B50">
        <v>61.1</v>
      </c>
      <c r="C50" s="2">
        <v>123456789</v>
      </c>
      <c r="D50" s="2">
        <v>123456789</v>
      </c>
    </row>
    <row r="51" spans="1:4" x14ac:dyDescent="0.45">
      <c r="A51" t="s">
        <v>184</v>
      </c>
      <c r="B51">
        <v>63.2</v>
      </c>
      <c r="C51" s="2">
        <v>123456789</v>
      </c>
      <c r="D51" s="2">
        <v>123456789</v>
      </c>
    </row>
    <row r="52" spans="1:4" x14ac:dyDescent="0.45">
      <c r="A52" t="s">
        <v>185</v>
      </c>
      <c r="B52">
        <v>64</v>
      </c>
      <c r="C52" s="2">
        <v>123456789</v>
      </c>
      <c r="D52" s="2">
        <v>123456789</v>
      </c>
    </row>
    <row r="53" spans="1:4" x14ac:dyDescent="0.45">
      <c r="A53" t="s">
        <v>186</v>
      </c>
      <c r="B53">
        <v>65.599999999999994</v>
      </c>
      <c r="C53" s="2">
        <v>123456789</v>
      </c>
      <c r="D53" s="2">
        <v>123456789</v>
      </c>
    </row>
    <row r="54" spans="1:4" x14ac:dyDescent="0.45">
      <c r="A54" t="s">
        <v>187</v>
      </c>
      <c r="B54">
        <v>66.400000000000006</v>
      </c>
      <c r="C54" s="2">
        <v>123456789</v>
      </c>
      <c r="D54" s="2">
        <v>123456789</v>
      </c>
    </row>
    <row r="55" spans="1:4" x14ac:dyDescent="0.45">
      <c r="A55" t="s">
        <v>188</v>
      </c>
      <c r="B55">
        <v>67.5</v>
      </c>
      <c r="C55" s="2">
        <v>123456789</v>
      </c>
      <c r="D55" s="2">
        <v>123456789</v>
      </c>
    </row>
    <row r="56" spans="1:4" x14ac:dyDescent="0.45">
      <c r="A56" t="s">
        <v>189</v>
      </c>
      <c r="B56">
        <v>67.8</v>
      </c>
      <c r="C56" s="2">
        <v>123456789</v>
      </c>
      <c r="D56" s="2">
        <v>123456789</v>
      </c>
    </row>
    <row r="57" spans="1:4" x14ac:dyDescent="0.45">
      <c r="A57" t="s">
        <v>190</v>
      </c>
      <c r="B57">
        <v>68.400000000000006</v>
      </c>
      <c r="C57" s="2">
        <v>123456789</v>
      </c>
      <c r="D57" s="2">
        <v>123456789</v>
      </c>
    </row>
    <row r="58" spans="1:4" x14ac:dyDescent="0.45">
      <c r="A58" t="s">
        <v>191</v>
      </c>
      <c r="B58">
        <v>70.599999999999994</v>
      </c>
      <c r="C58" s="2">
        <v>123456789</v>
      </c>
      <c r="D58" s="2">
        <v>123456789</v>
      </c>
    </row>
    <row r="59" spans="1:4" x14ac:dyDescent="0.45">
      <c r="A59" t="s">
        <v>192</v>
      </c>
      <c r="B59">
        <v>72.400000000000006</v>
      </c>
      <c r="C59" s="2">
        <v>123456789</v>
      </c>
      <c r="D59" s="2">
        <v>123456789</v>
      </c>
    </row>
    <row r="60" spans="1:4" x14ac:dyDescent="0.45">
      <c r="A60" t="s">
        <v>193</v>
      </c>
      <c r="B60">
        <v>73.400000000000006</v>
      </c>
      <c r="C60" s="2">
        <v>123456789</v>
      </c>
      <c r="D60" s="2">
        <v>123456789</v>
      </c>
    </row>
    <row r="61" spans="1:4" x14ac:dyDescent="0.45">
      <c r="A61" t="s">
        <v>194</v>
      </c>
      <c r="B61">
        <v>76</v>
      </c>
      <c r="C61" s="2">
        <v>123456789</v>
      </c>
      <c r="D61" s="2">
        <v>123456789</v>
      </c>
    </row>
    <row r="62" spans="1:4" x14ac:dyDescent="0.45">
      <c r="A62" t="s">
        <v>195</v>
      </c>
      <c r="B62">
        <v>77.400000000000006</v>
      </c>
      <c r="C62" s="2">
        <v>123456789</v>
      </c>
      <c r="D62" s="2">
        <v>123456789</v>
      </c>
    </row>
    <row r="63" spans="1:4" x14ac:dyDescent="0.45">
      <c r="A63" t="s">
        <v>196</v>
      </c>
      <c r="B63">
        <v>76.5</v>
      </c>
      <c r="C63" s="2">
        <v>123456789</v>
      </c>
      <c r="D63" s="2">
        <v>123456789</v>
      </c>
    </row>
    <row r="64" spans="1:4" x14ac:dyDescent="0.45">
      <c r="A64" t="s">
        <v>197</v>
      </c>
      <c r="B64">
        <v>78</v>
      </c>
      <c r="C64" s="2">
        <v>123456789</v>
      </c>
      <c r="D64" s="2">
        <v>123456789</v>
      </c>
    </row>
    <row r="65" spans="1:4" x14ac:dyDescent="0.45">
      <c r="A65" t="s">
        <v>198</v>
      </c>
      <c r="B65">
        <v>77.3</v>
      </c>
      <c r="C65" s="2">
        <v>123456789</v>
      </c>
      <c r="D65" s="2">
        <v>123456789</v>
      </c>
    </row>
    <row r="66" spans="1:4" x14ac:dyDescent="0.45">
      <c r="A66" t="s">
        <v>199</v>
      </c>
      <c r="B66">
        <v>79.900000000000006</v>
      </c>
      <c r="C66" s="2">
        <v>123456789</v>
      </c>
      <c r="D66" s="2">
        <v>123456789</v>
      </c>
    </row>
    <row r="67" spans="1:4" x14ac:dyDescent="0.45">
      <c r="A67" t="s">
        <v>200</v>
      </c>
      <c r="B67">
        <v>81.3</v>
      </c>
      <c r="C67" s="2">
        <v>123456789</v>
      </c>
      <c r="D67" s="2">
        <v>123456789</v>
      </c>
    </row>
    <row r="68" spans="1:4" x14ac:dyDescent="0.45">
      <c r="A68" t="s">
        <v>201</v>
      </c>
      <c r="B68">
        <v>81.900000000000006</v>
      </c>
      <c r="C68" s="2">
        <v>123456789</v>
      </c>
      <c r="D68" s="2">
        <v>123456789</v>
      </c>
    </row>
    <row r="69" spans="1:4" x14ac:dyDescent="0.45">
      <c r="A69" t="s">
        <v>202</v>
      </c>
      <c r="B69">
        <v>84.7</v>
      </c>
      <c r="C69" s="2">
        <v>123456789</v>
      </c>
      <c r="D69" s="2">
        <v>123456789</v>
      </c>
    </row>
    <row r="70" spans="1:4" x14ac:dyDescent="0.45">
      <c r="A70" t="s">
        <v>203</v>
      </c>
      <c r="B70">
        <v>86.5</v>
      </c>
      <c r="C70" s="2">
        <v>123456789</v>
      </c>
      <c r="D70" s="2">
        <v>123456789</v>
      </c>
    </row>
    <row r="71" spans="1:4" x14ac:dyDescent="0.45">
      <c r="A71" t="s">
        <v>204</v>
      </c>
      <c r="B71">
        <v>87.3</v>
      </c>
      <c r="C71" s="2">
        <v>123456789</v>
      </c>
      <c r="D71" s="2">
        <v>123456789</v>
      </c>
    </row>
    <row r="72" spans="1:4" x14ac:dyDescent="0.45">
      <c r="A72" t="s">
        <v>205</v>
      </c>
      <c r="B72">
        <v>88.6</v>
      </c>
      <c r="C72" s="2">
        <v>123456789</v>
      </c>
      <c r="D72" s="2">
        <v>123456789</v>
      </c>
    </row>
    <row r="73" spans="1:4" x14ac:dyDescent="0.45">
      <c r="A73" t="s">
        <v>206</v>
      </c>
      <c r="B73">
        <v>88.5</v>
      </c>
      <c r="C73" s="2">
        <v>123456789</v>
      </c>
      <c r="D73" s="2">
        <v>123456789</v>
      </c>
    </row>
    <row r="74" spans="1:4" x14ac:dyDescent="0.45">
      <c r="A74" t="s">
        <v>207</v>
      </c>
      <c r="B74">
        <v>90.8</v>
      </c>
      <c r="C74" s="2">
        <v>123456789</v>
      </c>
      <c r="D74" s="2">
        <v>123456789</v>
      </c>
    </row>
    <row r="75" spans="1:4" x14ac:dyDescent="0.45">
      <c r="A75" t="s">
        <v>208</v>
      </c>
      <c r="B75">
        <v>94.5</v>
      </c>
      <c r="C75" s="2">
        <v>123456789</v>
      </c>
      <c r="D75" s="2">
        <v>123456789</v>
      </c>
    </row>
    <row r="76" spans="1:4" x14ac:dyDescent="0.45">
      <c r="A76" t="s">
        <v>209</v>
      </c>
      <c r="B76">
        <v>97.2</v>
      </c>
      <c r="C76" s="2">
        <v>123456789</v>
      </c>
      <c r="D76" s="2">
        <v>123456789</v>
      </c>
    </row>
    <row r="77" spans="1:4" x14ac:dyDescent="0.45">
      <c r="A77" t="s">
        <v>210</v>
      </c>
      <c r="B77">
        <v>98.4</v>
      </c>
      <c r="C77" s="2">
        <v>123456789</v>
      </c>
      <c r="D77" s="2">
        <v>123456789</v>
      </c>
    </row>
    <row r="78" spans="1:4" x14ac:dyDescent="0.45">
      <c r="A78" t="s">
        <v>211</v>
      </c>
      <c r="B78">
        <v>101.3</v>
      </c>
      <c r="C78" s="2">
        <v>123456789</v>
      </c>
      <c r="D78" s="2">
        <v>123456789</v>
      </c>
    </row>
    <row r="79" spans="1:4" x14ac:dyDescent="0.45">
      <c r="A79" t="s">
        <v>212</v>
      </c>
      <c r="B79">
        <v>103.9</v>
      </c>
      <c r="C79" s="2">
        <v>123456789</v>
      </c>
      <c r="D79" s="2">
        <v>123456789</v>
      </c>
    </row>
    <row r="80" spans="1:4" x14ac:dyDescent="0.45">
      <c r="A80" t="s">
        <v>213</v>
      </c>
      <c r="B80">
        <v>106.1</v>
      </c>
      <c r="C80" s="2">
        <v>123456789</v>
      </c>
      <c r="D80" s="2">
        <v>123456789</v>
      </c>
    </row>
    <row r="81" spans="1:4" x14ac:dyDescent="0.45">
      <c r="A81" t="s">
        <v>214</v>
      </c>
      <c r="B81">
        <v>107</v>
      </c>
      <c r="C81" s="2">
        <v>123456789</v>
      </c>
      <c r="D81" s="2">
        <v>123456789</v>
      </c>
    </row>
    <row r="82" spans="1:4" x14ac:dyDescent="0.45">
      <c r="A82" t="s">
        <v>215</v>
      </c>
      <c r="B82">
        <v>112.6</v>
      </c>
      <c r="C82" s="2">
        <v>123456789</v>
      </c>
      <c r="D82" s="2">
        <v>123456789</v>
      </c>
    </row>
    <row r="83" spans="1:4" x14ac:dyDescent="0.45">
      <c r="A83" t="s">
        <v>216</v>
      </c>
      <c r="B83">
        <v>114.1</v>
      </c>
      <c r="C83" s="2">
        <v>123456789</v>
      </c>
      <c r="D83" s="2">
        <v>123456789</v>
      </c>
    </row>
    <row r="84" spans="1:4" x14ac:dyDescent="0.45">
      <c r="A84" t="s">
        <v>217</v>
      </c>
      <c r="B84">
        <v>113.8</v>
      </c>
      <c r="C84" s="2">
        <v>123456789</v>
      </c>
      <c r="D84" s="2">
        <v>123456789</v>
      </c>
    </row>
    <row r="85" spans="1:4" x14ac:dyDescent="0.45">
      <c r="A85" t="s">
        <v>218</v>
      </c>
      <c r="B85">
        <v>114.7</v>
      </c>
      <c r="C85" s="2">
        <v>123456789</v>
      </c>
      <c r="D85" s="2">
        <v>123456789</v>
      </c>
    </row>
    <row r="86" spans="1:4" x14ac:dyDescent="0.45">
      <c r="A86" t="s">
        <v>219</v>
      </c>
      <c r="B86">
        <v>115.3</v>
      </c>
      <c r="C86" s="2">
        <v>123456789</v>
      </c>
      <c r="D86" s="2">
        <v>123456789</v>
      </c>
    </row>
    <row r="87" spans="1:4" x14ac:dyDescent="0.45">
      <c r="A87" t="s">
        <v>220</v>
      </c>
      <c r="B87">
        <v>117.1</v>
      </c>
      <c r="C87" s="2">
        <v>123456789</v>
      </c>
      <c r="D87" s="2">
        <v>123456789</v>
      </c>
    </row>
    <row r="88" spans="1:4" x14ac:dyDescent="0.45">
      <c r="A88" t="s">
        <v>221</v>
      </c>
      <c r="B88">
        <v>116.3</v>
      </c>
      <c r="C88" s="2">
        <v>123456789</v>
      </c>
      <c r="D88" s="2">
        <v>123456789</v>
      </c>
    </row>
    <row r="89" spans="1:4" x14ac:dyDescent="0.45">
      <c r="A89" t="s">
        <v>222</v>
      </c>
      <c r="B89">
        <v>114.7</v>
      </c>
      <c r="C89" s="2">
        <v>123456789</v>
      </c>
      <c r="D89" s="2">
        <v>123456789</v>
      </c>
    </row>
    <row r="90" spans="1:4" x14ac:dyDescent="0.45">
      <c r="A90" t="s">
        <v>223</v>
      </c>
      <c r="B90">
        <v>113.9</v>
      </c>
      <c r="C90" s="2">
        <v>123456789</v>
      </c>
      <c r="D90" s="2">
        <v>123456789</v>
      </c>
    </row>
    <row r="91" spans="1:4" x14ac:dyDescent="0.45">
      <c r="A91" t="s">
        <v>224</v>
      </c>
      <c r="B91">
        <v>113</v>
      </c>
      <c r="C91" s="2">
        <v>123456789</v>
      </c>
      <c r="D91" s="2">
        <v>123456789</v>
      </c>
    </row>
    <row r="92" spans="1:4" x14ac:dyDescent="0.45">
      <c r="A92" t="s">
        <v>225</v>
      </c>
      <c r="B92">
        <v>112.4</v>
      </c>
      <c r="C92" s="2">
        <v>123456789</v>
      </c>
      <c r="D92" s="2">
        <v>123456789</v>
      </c>
    </row>
    <row r="93" spans="1:4" x14ac:dyDescent="0.45">
      <c r="A93" t="s">
        <v>226</v>
      </c>
      <c r="B93">
        <v>115.8</v>
      </c>
      <c r="C93" s="2">
        <v>123456789</v>
      </c>
      <c r="D93" s="2">
        <v>123456789</v>
      </c>
    </row>
    <row r="94" spans="1:4" x14ac:dyDescent="0.45">
      <c r="A94" t="s">
        <v>227</v>
      </c>
      <c r="B94">
        <v>113.2</v>
      </c>
      <c r="C94" s="2">
        <v>123456789</v>
      </c>
      <c r="D94" s="2">
        <v>123456789</v>
      </c>
    </row>
    <row r="95" spans="1:4" x14ac:dyDescent="0.45">
      <c r="A95" t="s">
        <v>228</v>
      </c>
      <c r="B95">
        <v>112.6</v>
      </c>
      <c r="C95" s="2">
        <v>123456789</v>
      </c>
      <c r="D95" s="2">
        <v>123456789</v>
      </c>
    </row>
    <row r="96" spans="1:4" x14ac:dyDescent="0.45">
      <c r="A96" t="s">
        <v>229</v>
      </c>
      <c r="B96">
        <v>112.8</v>
      </c>
      <c r="C96" s="2">
        <v>123456789</v>
      </c>
      <c r="D96" s="2">
        <v>123456789</v>
      </c>
    </row>
    <row r="97" spans="1:4" x14ac:dyDescent="0.45">
      <c r="A97" t="s">
        <v>230</v>
      </c>
      <c r="B97">
        <v>114.3</v>
      </c>
      <c r="C97" s="2">
        <v>123456789</v>
      </c>
      <c r="D97" s="2">
        <v>123456789</v>
      </c>
    </row>
    <row r="98" spans="1:4" x14ac:dyDescent="0.45">
      <c r="A98" t="s">
        <v>231</v>
      </c>
      <c r="B98">
        <v>112.1</v>
      </c>
      <c r="C98" s="2">
        <v>123456789</v>
      </c>
      <c r="D98" s="2">
        <v>123456789</v>
      </c>
    </row>
    <row r="99" spans="1:4" x14ac:dyDescent="0.45">
      <c r="A99" t="s">
        <v>232</v>
      </c>
      <c r="B99">
        <v>109.6</v>
      </c>
      <c r="C99" s="2">
        <v>123456789</v>
      </c>
      <c r="D99" s="2">
        <v>123456789</v>
      </c>
    </row>
    <row r="100" spans="1:4" x14ac:dyDescent="0.45">
      <c r="A100" t="s">
        <v>233</v>
      </c>
      <c r="B100">
        <v>109.5</v>
      </c>
      <c r="C100" s="2">
        <v>123456789</v>
      </c>
      <c r="D100" s="2">
        <v>123456789</v>
      </c>
    </row>
    <row r="101" spans="1:4" x14ac:dyDescent="0.45">
      <c r="A101" t="s">
        <v>234</v>
      </c>
      <c r="B101">
        <v>110.9</v>
      </c>
      <c r="C101" s="2">
        <v>123456789</v>
      </c>
      <c r="D101" s="2">
        <v>123456789</v>
      </c>
    </row>
    <row r="102" spans="1:4" x14ac:dyDescent="0.45">
      <c r="A102" t="s">
        <v>235</v>
      </c>
      <c r="B102">
        <v>109.9</v>
      </c>
      <c r="C102" s="2">
        <v>123456789</v>
      </c>
      <c r="D102" s="2">
        <v>123456789</v>
      </c>
    </row>
    <row r="103" spans="1:4" x14ac:dyDescent="0.45">
      <c r="A103" t="s">
        <v>236</v>
      </c>
      <c r="B103">
        <v>110.5</v>
      </c>
      <c r="C103" s="2">
        <v>123456789</v>
      </c>
      <c r="D103" s="2">
        <v>123456789</v>
      </c>
    </row>
    <row r="104" spans="1:4" x14ac:dyDescent="0.45">
      <c r="A104" t="s">
        <v>237</v>
      </c>
      <c r="B104">
        <v>109.9</v>
      </c>
      <c r="C104" s="2">
        <v>123456789</v>
      </c>
      <c r="D104" s="2">
        <v>123456789</v>
      </c>
    </row>
    <row r="105" spans="1:4" x14ac:dyDescent="0.45">
      <c r="A105" t="s">
        <v>238</v>
      </c>
      <c r="B105">
        <v>112</v>
      </c>
      <c r="C105" s="2">
        <v>123456789</v>
      </c>
      <c r="D105" s="2">
        <v>123456789</v>
      </c>
    </row>
    <row r="106" spans="1:4" x14ac:dyDescent="0.45">
      <c r="A106" t="s">
        <v>239</v>
      </c>
      <c r="B106">
        <v>109.2</v>
      </c>
      <c r="C106" s="2">
        <v>123456789</v>
      </c>
      <c r="D106" s="2">
        <v>123456789</v>
      </c>
    </row>
    <row r="107" spans="1:4" x14ac:dyDescent="0.45">
      <c r="A107" t="s">
        <v>240</v>
      </c>
      <c r="B107">
        <v>109.7</v>
      </c>
      <c r="C107" s="2">
        <v>123456789</v>
      </c>
      <c r="D107" s="2">
        <v>123456789</v>
      </c>
    </row>
    <row r="108" spans="1:4" x14ac:dyDescent="0.45">
      <c r="A108" t="s">
        <v>241</v>
      </c>
      <c r="B108">
        <v>109.4</v>
      </c>
      <c r="C108" s="2">
        <v>123456789</v>
      </c>
      <c r="D108" s="2">
        <v>123456789</v>
      </c>
    </row>
    <row r="109" spans="1:4" x14ac:dyDescent="0.45">
      <c r="A109" t="s">
        <v>242</v>
      </c>
      <c r="B109">
        <v>108.7</v>
      </c>
      <c r="C109" s="2">
        <v>123456789</v>
      </c>
      <c r="D109" s="2">
        <v>123456789</v>
      </c>
    </row>
    <row r="110" spans="1:4" x14ac:dyDescent="0.45">
      <c r="A110" t="s">
        <v>243</v>
      </c>
      <c r="B110">
        <v>108.2</v>
      </c>
      <c r="C110" s="2">
        <v>123456789</v>
      </c>
      <c r="D110" s="2">
        <v>123456789</v>
      </c>
    </row>
    <row r="111" spans="1:4" x14ac:dyDescent="0.45">
      <c r="A111" t="s">
        <v>244</v>
      </c>
      <c r="B111">
        <v>110</v>
      </c>
      <c r="C111" s="2">
        <v>123456789</v>
      </c>
      <c r="D111" s="2">
        <v>123456789</v>
      </c>
    </row>
    <row r="112" spans="1:4" x14ac:dyDescent="0.45">
      <c r="A112" t="s">
        <v>245</v>
      </c>
      <c r="B112">
        <v>112.1</v>
      </c>
      <c r="C112" s="2">
        <v>123456789</v>
      </c>
      <c r="D112" s="2">
        <v>123456789</v>
      </c>
    </row>
    <row r="113" spans="1:4" x14ac:dyDescent="0.45">
      <c r="A113" t="s">
        <v>246</v>
      </c>
      <c r="B113">
        <v>112</v>
      </c>
      <c r="C113" s="2">
        <v>123456789</v>
      </c>
      <c r="D113" s="2">
        <v>123456789</v>
      </c>
    </row>
    <row r="114" spans="1:4" x14ac:dyDescent="0.45">
      <c r="A114" t="s">
        <v>247</v>
      </c>
      <c r="B114">
        <v>113.6</v>
      </c>
      <c r="C114" s="2">
        <v>123456789</v>
      </c>
      <c r="D114" s="2">
        <v>123456789</v>
      </c>
    </row>
    <row r="115" spans="1:4" x14ac:dyDescent="0.45">
      <c r="A115" t="s">
        <v>248</v>
      </c>
      <c r="B115">
        <v>115.2</v>
      </c>
      <c r="C115" s="2">
        <v>123456789</v>
      </c>
      <c r="D115" s="2">
        <v>123456789</v>
      </c>
    </row>
    <row r="116" spans="1:4" x14ac:dyDescent="0.45">
      <c r="A116" t="s">
        <v>249</v>
      </c>
      <c r="B116">
        <v>118.9</v>
      </c>
      <c r="C116" s="2">
        <v>123456789</v>
      </c>
      <c r="D116" s="2">
        <v>123456789</v>
      </c>
    </row>
    <row r="117" spans="1:4" x14ac:dyDescent="0.45">
      <c r="A117" t="s">
        <v>250</v>
      </c>
      <c r="B117">
        <v>120</v>
      </c>
      <c r="C117" s="2">
        <v>123456789</v>
      </c>
      <c r="D117" s="2">
        <v>123456789</v>
      </c>
    </row>
    <row r="118" spans="1:4" x14ac:dyDescent="0.45">
      <c r="A118" t="s">
        <v>251</v>
      </c>
      <c r="B118">
        <v>123.1</v>
      </c>
      <c r="C118" s="2">
        <v>123456789</v>
      </c>
      <c r="D118" s="2">
        <v>123456789</v>
      </c>
    </row>
    <row r="119" spans="1:4" x14ac:dyDescent="0.45">
      <c r="A119" t="s">
        <v>252</v>
      </c>
      <c r="B119">
        <v>125.8</v>
      </c>
      <c r="C119" s="2">
        <v>123456789</v>
      </c>
      <c r="D119" s="2">
        <v>123456789</v>
      </c>
    </row>
    <row r="120" spans="1:4" x14ac:dyDescent="0.45">
      <c r="A120" t="s">
        <v>253</v>
      </c>
      <c r="B120">
        <v>126.7</v>
      </c>
      <c r="C120" s="2">
        <v>123456789</v>
      </c>
      <c r="D120" s="2">
        <v>123456789</v>
      </c>
    </row>
    <row r="121" spans="1:4" x14ac:dyDescent="0.45">
      <c r="A121" t="s">
        <v>254</v>
      </c>
      <c r="B121">
        <v>128.69999999999999</v>
      </c>
      <c r="C121" s="2">
        <v>123456789</v>
      </c>
      <c r="D121" s="2">
        <v>123456789</v>
      </c>
    </row>
    <row r="122" spans="1:4" x14ac:dyDescent="0.45">
      <c r="A122" t="s">
        <v>255</v>
      </c>
      <c r="B122">
        <v>130.1</v>
      </c>
      <c r="C122" s="2">
        <v>123456789</v>
      </c>
      <c r="D122" s="2">
        <v>123456789</v>
      </c>
    </row>
    <row r="123" spans="1:4" x14ac:dyDescent="0.45">
      <c r="A123" t="s">
        <v>256</v>
      </c>
      <c r="B123">
        <v>133.5</v>
      </c>
      <c r="C123" s="2">
        <v>123456789</v>
      </c>
      <c r="D123" s="2">
        <v>123456789</v>
      </c>
    </row>
    <row r="124" spans="1:4" x14ac:dyDescent="0.45">
      <c r="A124" t="s">
        <v>257</v>
      </c>
      <c r="B124">
        <v>135.19999999999999</v>
      </c>
      <c r="C124" s="2">
        <v>123456789</v>
      </c>
      <c r="D124" s="2">
        <v>123456789</v>
      </c>
    </row>
    <row r="125" spans="1:4" x14ac:dyDescent="0.45">
      <c r="A125" t="s">
        <v>258</v>
      </c>
      <c r="B125">
        <v>136</v>
      </c>
      <c r="C125" s="2">
        <v>123456789</v>
      </c>
      <c r="D125" s="2">
        <v>123456789</v>
      </c>
    </row>
    <row r="126" spans="1:4" x14ac:dyDescent="0.45">
      <c r="A126" t="s">
        <v>259</v>
      </c>
      <c r="B126">
        <v>139.6</v>
      </c>
      <c r="C126" s="2">
        <v>123456789</v>
      </c>
      <c r="D126" s="2">
        <v>123456789</v>
      </c>
    </row>
    <row r="127" spans="1:4" x14ac:dyDescent="0.45">
      <c r="A127" t="s">
        <v>260</v>
      </c>
      <c r="B127">
        <v>140.4</v>
      </c>
      <c r="C127" s="2">
        <v>123456789</v>
      </c>
      <c r="D127" s="2">
        <v>123456789</v>
      </c>
    </row>
    <row r="128" spans="1:4" x14ac:dyDescent="0.45">
      <c r="A128" t="s">
        <v>261</v>
      </c>
      <c r="B128">
        <v>141.69999999999999</v>
      </c>
      <c r="C128" s="2">
        <v>123456789</v>
      </c>
      <c r="D128" s="2">
        <v>123456789</v>
      </c>
    </row>
    <row r="129" spans="1:4" x14ac:dyDescent="0.45">
      <c r="A129" t="s">
        <v>262</v>
      </c>
      <c r="B129">
        <v>144.4</v>
      </c>
      <c r="C129" s="2">
        <v>123456789</v>
      </c>
      <c r="D129" s="2">
        <v>123456789</v>
      </c>
    </row>
    <row r="130" spans="1:4" x14ac:dyDescent="0.45">
      <c r="A130" t="s">
        <v>263</v>
      </c>
      <c r="B130">
        <v>146.5</v>
      </c>
      <c r="C130" s="2">
        <v>123456789</v>
      </c>
      <c r="D130" s="2">
        <v>123456789</v>
      </c>
    </row>
    <row r="131" spans="1:4" x14ac:dyDescent="0.45">
      <c r="A131" t="s">
        <v>264</v>
      </c>
      <c r="B131">
        <v>149.1</v>
      </c>
      <c r="C131" s="2">
        <v>123456789</v>
      </c>
      <c r="D131" s="2">
        <v>123456789</v>
      </c>
    </row>
    <row r="132" spans="1:4" x14ac:dyDescent="0.45">
      <c r="A132" t="s">
        <v>265</v>
      </c>
      <c r="B132">
        <v>154.5</v>
      </c>
      <c r="C132" s="2">
        <v>123456789</v>
      </c>
      <c r="D132" s="2">
        <v>123456789</v>
      </c>
    </row>
    <row r="133" spans="1:4" x14ac:dyDescent="0.45">
      <c r="A133" t="s">
        <v>266</v>
      </c>
      <c r="B133">
        <v>154.4</v>
      </c>
      <c r="C133" s="2">
        <v>123456789</v>
      </c>
      <c r="D133" s="2">
        <v>123456789</v>
      </c>
    </row>
    <row r="134" spans="1:4" x14ac:dyDescent="0.45">
      <c r="A134" t="s">
        <v>267</v>
      </c>
      <c r="B134">
        <v>152</v>
      </c>
      <c r="C134" s="2">
        <v>123456789</v>
      </c>
      <c r="D134" s="2">
        <v>123456789</v>
      </c>
    </row>
    <row r="135" spans="1:4" x14ac:dyDescent="0.45">
      <c r="A135" t="s">
        <v>268</v>
      </c>
      <c r="B135">
        <v>154.19999999999999</v>
      </c>
      <c r="C135" s="2">
        <v>123456789</v>
      </c>
      <c r="D135" s="2">
        <v>123456789</v>
      </c>
    </row>
    <row r="136" spans="1:4" x14ac:dyDescent="0.45">
      <c r="A136" t="s">
        <v>269</v>
      </c>
      <c r="B136">
        <v>154.69999999999999</v>
      </c>
      <c r="C136" s="2">
        <v>123456789</v>
      </c>
      <c r="D136" s="2">
        <v>123456789</v>
      </c>
    </row>
    <row r="137" spans="1:4" x14ac:dyDescent="0.45">
      <c r="A137" t="s">
        <v>270</v>
      </c>
      <c r="B137">
        <v>154.6</v>
      </c>
      <c r="C137" s="2">
        <v>123456789</v>
      </c>
      <c r="D137" s="2">
        <v>123456789</v>
      </c>
    </row>
    <row r="138" spans="1:4" x14ac:dyDescent="0.45">
      <c r="A138" t="s">
        <v>271</v>
      </c>
      <c r="B138">
        <v>154.4</v>
      </c>
      <c r="C138" s="2">
        <v>123456789</v>
      </c>
      <c r="D138" s="2">
        <v>123456789</v>
      </c>
    </row>
    <row r="139" spans="1:4" x14ac:dyDescent="0.45">
      <c r="A139" t="s">
        <v>272</v>
      </c>
      <c r="B139">
        <v>154.9</v>
      </c>
      <c r="C139" s="2">
        <v>123456789</v>
      </c>
      <c r="D139" s="2">
        <v>123456789</v>
      </c>
    </row>
    <row r="140" spans="1:4" x14ac:dyDescent="0.45">
      <c r="A140" t="s">
        <v>273</v>
      </c>
      <c r="B140">
        <v>157.30000000000001</v>
      </c>
      <c r="C140" s="2">
        <v>123456789</v>
      </c>
      <c r="D140" s="2">
        <v>123456789</v>
      </c>
    </row>
    <row r="141" spans="1:4" x14ac:dyDescent="0.45">
      <c r="A141" t="s">
        <v>274</v>
      </c>
      <c r="B141">
        <v>158.19999999999999</v>
      </c>
      <c r="C141" s="2">
        <v>123456789</v>
      </c>
      <c r="D141" s="2">
        <v>123456789</v>
      </c>
    </row>
    <row r="142" spans="1:4" x14ac:dyDescent="0.45">
      <c r="A142" t="s">
        <v>275</v>
      </c>
      <c r="B142">
        <v>158.69999999999999</v>
      </c>
      <c r="C142" s="2">
        <v>123456789</v>
      </c>
      <c r="D142" s="2">
        <v>123456789</v>
      </c>
    </row>
    <row r="143" spans="1:4" x14ac:dyDescent="0.45">
      <c r="A143" t="s">
        <v>276</v>
      </c>
      <c r="B143">
        <v>162.4</v>
      </c>
      <c r="C143" s="2">
        <v>123456789</v>
      </c>
      <c r="D143" s="2">
        <v>123456789</v>
      </c>
    </row>
    <row r="144" spans="1:4" x14ac:dyDescent="0.45">
      <c r="A144" t="s">
        <v>277</v>
      </c>
      <c r="B144">
        <v>164.3</v>
      </c>
      <c r="C144" s="2">
        <v>123456789</v>
      </c>
      <c r="D144" s="2">
        <v>123456789</v>
      </c>
    </row>
    <row r="145" spans="1:4" x14ac:dyDescent="0.45">
      <c r="A145" t="s">
        <v>278</v>
      </c>
      <c r="B145">
        <v>165.7</v>
      </c>
      <c r="C145" s="2">
        <v>123456789</v>
      </c>
      <c r="D145" s="2">
        <v>123456789</v>
      </c>
    </row>
    <row r="146" spans="1:4" x14ac:dyDescent="0.45">
      <c r="A146" t="s">
        <v>279</v>
      </c>
      <c r="B146">
        <v>166.5</v>
      </c>
      <c r="C146" s="2">
        <v>123456789</v>
      </c>
      <c r="D146" s="2">
        <v>123456789</v>
      </c>
    </row>
    <row r="147" spans="1:4" x14ac:dyDescent="0.45">
      <c r="A147" t="s">
        <v>280</v>
      </c>
      <c r="B147">
        <v>168.8</v>
      </c>
      <c r="C147" s="2">
        <v>123456789</v>
      </c>
      <c r="D147" s="2">
        <v>123456789</v>
      </c>
    </row>
    <row r="148" spans="1:4" x14ac:dyDescent="0.45">
      <c r="A148" t="s">
        <v>281</v>
      </c>
      <c r="B148">
        <v>172.2</v>
      </c>
      <c r="C148" s="2">
        <v>123456789</v>
      </c>
      <c r="D148" s="2">
        <v>123456789</v>
      </c>
    </row>
    <row r="149" spans="1:4" x14ac:dyDescent="0.45">
      <c r="A149" t="s">
        <v>282</v>
      </c>
      <c r="B149">
        <v>172.2</v>
      </c>
      <c r="C149" s="2">
        <v>123456789</v>
      </c>
      <c r="D149" s="2">
        <v>123456789</v>
      </c>
    </row>
    <row r="150" spans="1:4" x14ac:dyDescent="0.45">
      <c r="A150" t="s">
        <v>283</v>
      </c>
      <c r="B150">
        <v>170.7</v>
      </c>
      <c r="C150" s="2">
        <v>123456789</v>
      </c>
      <c r="D150" s="2">
        <v>123456789</v>
      </c>
    </row>
    <row r="151" spans="1:4" x14ac:dyDescent="0.45">
      <c r="A151" t="s">
        <v>284</v>
      </c>
      <c r="B151">
        <v>171.4</v>
      </c>
      <c r="C151" s="2">
        <v>123456789</v>
      </c>
      <c r="D151" s="2">
        <v>123456789</v>
      </c>
    </row>
    <row r="152" spans="1:4" x14ac:dyDescent="0.45">
      <c r="A152" t="s">
        <v>285</v>
      </c>
      <c r="B152">
        <v>174.6</v>
      </c>
      <c r="C152" s="2">
        <v>123456789</v>
      </c>
      <c r="D152" s="2">
        <v>123456789</v>
      </c>
    </row>
    <row r="153" spans="1:4" x14ac:dyDescent="0.45">
      <c r="A153" t="s">
        <v>286</v>
      </c>
      <c r="B153">
        <v>176</v>
      </c>
      <c r="C153" s="2">
        <v>123456789</v>
      </c>
      <c r="D153" s="2">
        <v>123456789</v>
      </c>
    </row>
    <row r="154" spans="1:4" x14ac:dyDescent="0.45">
      <c r="A154" t="s">
        <v>287</v>
      </c>
      <c r="B154">
        <v>178.9</v>
      </c>
      <c r="C154" s="2">
        <v>123456789</v>
      </c>
      <c r="D154" s="2">
        <v>123456789</v>
      </c>
    </row>
    <row r="155" spans="1:4" x14ac:dyDescent="0.45">
      <c r="A155" t="s">
        <v>288</v>
      </c>
      <c r="B155">
        <v>178.4</v>
      </c>
      <c r="C155" s="2">
        <v>123456789</v>
      </c>
      <c r="D155" s="2">
        <v>123456789</v>
      </c>
    </row>
    <row r="156" spans="1:4" x14ac:dyDescent="0.45">
      <c r="A156" t="s">
        <v>289</v>
      </c>
      <c r="B156">
        <v>179.2</v>
      </c>
      <c r="C156" s="2">
        <v>123456789</v>
      </c>
      <c r="D156" s="2">
        <v>123456789</v>
      </c>
    </row>
    <row r="157" spans="1:4" x14ac:dyDescent="0.45">
      <c r="A157" t="s">
        <v>290</v>
      </c>
      <c r="B157">
        <v>185.3</v>
      </c>
      <c r="C157" s="2">
        <v>123456789</v>
      </c>
      <c r="D157" s="2">
        <v>123456789</v>
      </c>
    </row>
    <row r="158" spans="1:4" x14ac:dyDescent="0.45">
      <c r="A158" t="s">
        <v>291</v>
      </c>
      <c r="B158">
        <v>185</v>
      </c>
      <c r="C158" s="2">
        <v>123456789</v>
      </c>
      <c r="D158" s="2">
        <v>123456789</v>
      </c>
    </row>
    <row r="159" spans="1:4" x14ac:dyDescent="0.45">
      <c r="A159" t="s">
        <v>292</v>
      </c>
      <c r="B159">
        <v>181.6</v>
      </c>
      <c r="C159" s="2">
        <v>123456789</v>
      </c>
      <c r="D159" s="2">
        <v>123456789</v>
      </c>
    </row>
    <row r="160" spans="1:4" x14ac:dyDescent="0.45">
      <c r="A160" t="s">
        <v>293</v>
      </c>
      <c r="B160">
        <v>185.3</v>
      </c>
      <c r="C160" s="2">
        <v>123456789</v>
      </c>
      <c r="D160" s="2">
        <v>123456789</v>
      </c>
    </row>
    <row r="161" spans="1:4" x14ac:dyDescent="0.45">
      <c r="A161" t="s">
        <v>294</v>
      </c>
      <c r="B161">
        <v>185.2</v>
      </c>
      <c r="C161" s="2">
        <v>123456789</v>
      </c>
      <c r="D161" s="2">
        <v>123456789</v>
      </c>
    </row>
    <row r="162" spans="1:4" x14ac:dyDescent="0.45">
      <c r="A162" t="s">
        <v>295</v>
      </c>
      <c r="B162">
        <v>186.3</v>
      </c>
      <c r="C162" s="2">
        <v>123456789</v>
      </c>
      <c r="D162" s="2">
        <v>123456789</v>
      </c>
    </row>
    <row r="163" spans="1:4" x14ac:dyDescent="0.45">
      <c r="A163" t="s">
        <v>296</v>
      </c>
      <c r="B163">
        <v>182.4</v>
      </c>
      <c r="C163" s="2">
        <v>123456789</v>
      </c>
      <c r="D163" s="2">
        <v>123456789</v>
      </c>
    </row>
    <row r="164" spans="1:4" x14ac:dyDescent="0.45">
      <c r="A164" t="s">
        <v>297</v>
      </c>
      <c r="B164">
        <v>181.8</v>
      </c>
      <c r="C164" s="2">
        <v>123456789</v>
      </c>
      <c r="D164" s="2">
        <v>123456789</v>
      </c>
    </row>
    <row r="165" spans="1:4" x14ac:dyDescent="0.45">
      <c r="A165" t="s">
        <v>298</v>
      </c>
      <c r="B165">
        <v>177</v>
      </c>
      <c r="C165" s="2">
        <v>123456789</v>
      </c>
      <c r="D165" s="2">
        <v>123456789</v>
      </c>
    </row>
    <row r="166" spans="1:4" x14ac:dyDescent="0.45">
      <c r="A166" t="s">
        <v>299</v>
      </c>
      <c r="B166">
        <v>175.7</v>
      </c>
      <c r="C166" s="2">
        <v>123456789</v>
      </c>
      <c r="D166" s="2">
        <v>123456789</v>
      </c>
    </row>
    <row r="167" spans="1:4" x14ac:dyDescent="0.45">
      <c r="A167" t="s">
        <v>300</v>
      </c>
      <c r="B167">
        <v>175.1</v>
      </c>
      <c r="C167" s="2">
        <v>123456789</v>
      </c>
      <c r="D167" s="2">
        <v>123456789</v>
      </c>
    </row>
    <row r="168" spans="1:4" x14ac:dyDescent="0.45">
      <c r="A168" t="s">
        <v>301</v>
      </c>
      <c r="B168">
        <v>174.1</v>
      </c>
      <c r="C168" s="2">
        <v>123456789</v>
      </c>
      <c r="D168" s="2">
        <v>123456789</v>
      </c>
    </row>
    <row r="169" spans="1:4" x14ac:dyDescent="0.45">
      <c r="A169" t="s">
        <v>302</v>
      </c>
      <c r="B169">
        <v>172.5</v>
      </c>
      <c r="C169" s="2">
        <v>123456789</v>
      </c>
      <c r="D169" s="2">
        <v>123456789</v>
      </c>
    </row>
    <row r="170" spans="1:4" x14ac:dyDescent="0.45">
      <c r="A170" t="s">
        <v>303</v>
      </c>
      <c r="B170">
        <v>174.6</v>
      </c>
      <c r="C170" s="2">
        <v>123456789</v>
      </c>
      <c r="D170" s="2">
        <v>123456789</v>
      </c>
    </row>
    <row r="171" spans="1:4" x14ac:dyDescent="0.45">
      <c r="A171" t="s">
        <v>304</v>
      </c>
      <c r="B171">
        <v>175.5</v>
      </c>
      <c r="C171" s="2">
        <v>123456789</v>
      </c>
      <c r="D171" s="2">
        <v>123456789</v>
      </c>
    </row>
    <row r="172" spans="1:4" x14ac:dyDescent="0.45">
      <c r="A172" t="s">
        <v>305</v>
      </c>
      <c r="B172">
        <v>175.5</v>
      </c>
      <c r="C172" s="2">
        <v>123456789</v>
      </c>
      <c r="D172" s="2">
        <v>123456789</v>
      </c>
    </row>
    <row r="173" spans="1:4" x14ac:dyDescent="0.45">
      <c r="A173" t="s">
        <v>306</v>
      </c>
      <c r="B173">
        <v>173.1</v>
      </c>
      <c r="C173" s="2">
        <v>123456789</v>
      </c>
      <c r="D173" s="2">
        <v>123456789</v>
      </c>
    </row>
    <row r="174" spans="1:4" x14ac:dyDescent="0.45">
      <c r="A174" t="s">
        <v>307</v>
      </c>
      <c r="B174">
        <v>170.9</v>
      </c>
      <c r="C174" s="2">
        <v>123456789</v>
      </c>
      <c r="D174" s="2">
        <v>123456789</v>
      </c>
    </row>
    <row r="175" spans="1:4" x14ac:dyDescent="0.45">
      <c r="A175" t="s">
        <v>308</v>
      </c>
      <c r="B175">
        <v>172.2</v>
      </c>
      <c r="C175" s="2">
        <v>123456789</v>
      </c>
      <c r="D175" s="2">
        <v>123456789</v>
      </c>
    </row>
    <row r="176" spans="1:4" x14ac:dyDescent="0.45">
      <c r="A176" t="s">
        <v>309</v>
      </c>
      <c r="B176">
        <v>169.7</v>
      </c>
      <c r="C176" s="2">
        <v>123456789</v>
      </c>
      <c r="D176" s="2">
        <v>123456789</v>
      </c>
    </row>
    <row r="177" spans="1:4" x14ac:dyDescent="0.45">
      <c r="A177" t="s">
        <v>310</v>
      </c>
      <c r="B177">
        <v>167.5</v>
      </c>
      <c r="C177" s="2">
        <v>123456789</v>
      </c>
      <c r="D177" s="2">
        <v>123456789</v>
      </c>
    </row>
    <row r="178" spans="1:4" x14ac:dyDescent="0.45">
      <c r="A178" t="s">
        <v>311</v>
      </c>
      <c r="B178">
        <v>164.7</v>
      </c>
      <c r="C178" s="2">
        <v>123456789</v>
      </c>
      <c r="D178" s="2">
        <v>123456789</v>
      </c>
    </row>
    <row r="179" spans="1:4" x14ac:dyDescent="0.45">
      <c r="A179" t="s">
        <v>312</v>
      </c>
      <c r="B179">
        <v>162.6</v>
      </c>
      <c r="C179" s="2">
        <v>123456789</v>
      </c>
      <c r="D179" s="2">
        <v>123456789</v>
      </c>
    </row>
    <row r="180" spans="1:4" x14ac:dyDescent="0.45">
      <c r="A180" t="s">
        <v>313</v>
      </c>
      <c r="B180">
        <v>161.4</v>
      </c>
      <c r="C180" s="2">
        <v>123456789</v>
      </c>
      <c r="D180" s="2">
        <v>123456789</v>
      </c>
    </row>
    <row r="181" spans="1:4" x14ac:dyDescent="0.45">
      <c r="A181" t="s">
        <v>314</v>
      </c>
      <c r="B181">
        <v>160</v>
      </c>
      <c r="C181" s="2">
        <v>123456789</v>
      </c>
      <c r="D181" s="2">
        <v>123456789</v>
      </c>
    </row>
    <row r="182" spans="1:4" x14ac:dyDescent="0.45">
      <c r="A182" t="s">
        <v>315</v>
      </c>
      <c r="B182">
        <v>160.4</v>
      </c>
      <c r="C182" s="2">
        <v>123456789</v>
      </c>
      <c r="D182" s="2">
        <v>123456789</v>
      </c>
    </row>
    <row r="183" spans="1:4" x14ac:dyDescent="0.45">
      <c r="A183" t="s">
        <v>316</v>
      </c>
      <c r="B183">
        <v>157</v>
      </c>
      <c r="C183" s="2">
        <v>123456789</v>
      </c>
      <c r="D183" s="2">
        <v>123456789</v>
      </c>
    </row>
    <row r="184" spans="1:4" x14ac:dyDescent="0.45">
      <c r="A184" t="s">
        <v>317</v>
      </c>
      <c r="B184">
        <v>157.4</v>
      </c>
      <c r="C184" s="2">
        <v>123456789</v>
      </c>
      <c r="D184" s="2">
        <v>123456789</v>
      </c>
    </row>
    <row r="185" spans="1:4" x14ac:dyDescent="0.45">
      <c r="A185" t="s">
        <v>318</v>
      </c>
      <c r="B185">
        <v>157.80000000000001</v>
      </c>
      <c r="C185" s="2">
        <v>123456789</v>
      </c>
      <c r="D185" s="2">
        <v>123456789</v>
      </c>
    </row>
    <row r="186" spans="1:4" x14ac:dyDescent="0.45">
      <c r="A186" t="s">
        <v>319</v>
      </c>
      <c r="B186">
        <v>158.4</v>
      </c>
      <c r="C186" s="2">
        <v>123456789</v>
      </c>
      <c r="D186" s="2">
        <v>123456789</v>
      </c>
    </row>
    <row r="187" spans="1:4" x14ac:dyDescent="0.45">
      <c r="A187" t="s">
        <v>320</v>
      </c>
      <c r="B187">
        <v>161.80000000000001</v>
      </c>
      <c r="C187" s="2">
        <v>123456789</v>
      </c>
      <c r="D187" s="2">
        <v>123456789</v>
      </c>
    </row>
    <row r="188" spans="1:4" x14ac:dyDescent="0.45">
      <c r="A188" t="s">
        <v>321</v>
      </c>
      <c r="B188">
        <v>164</v>
      </c>
      <c r="C188" s="2">
        <v>123456789</v>
      </c>
      <c r="D188" s="2">
        <v>123456789</v>
      </c>
    </row>
    <row r="189" spans="1:4" x14ac:dyDescent="0.45">
      <c r="A189" t="s">
        <v>322</v>
      </c>
      <c r="B189">
        <v>163.30000000000001</v>
      </c>
      <c r="C189" s="2">
        <v>123456789</v>
      </c>
      <c r="D189" s="2">
        <v>123456789</v>
      </c>
    </row>
    <row r="190" spans="1:4" x14ac:dyDescent="0.45">
      <c r="A190" t="s">
        <v>323</v>
      </c>
      <c r="B190">
        <v>163.80000000000001</v>
      </c>
      <c r="C190" s="2">
        <v>123456789</v>
      </c>
      <c r="D190" s="2">
        <v>123456789</v>
      </c>
    </row>
    <row r="191" spans="1:4" x14ac:dyDescent="0.45">
      <c r="A191" t="s">
        <v>324</v>
      </c>
      <c r="B191">
        <v>162.30000000000001</v>
      </c>
      <c r="C191" s="2">
        <v>123456789</v>
      </c>
      <c r="D191" s="2">
        <v>123456789</v>
      </c>
    </row>
    <row r="192" spans="1:4" x14ac:dyDescent="0.45">
      <c r="A192" t="s">
        <v>325</v>
      </c>
      <c r="B192">
        <v>163</v>
      </c>
      <c r="C192" s="2">
        <v>123456789</v>
      </c>
      <c r="D192" s="2">
        <v>123456789</v>
      </c>
    </row>
    <row r="193" spans="1:4" x14ac:dyDescent="0.45">
      <c r="A193" t="s">
        <v>326</v>
      </c>
      <c r="B193">
        <v>163.69999999999999</v>
      </c>
      <c r="C193" s="2">
        <v>123456789</v>
      </c>
      <c r="D193" s="2">
        <v>123456789</v>
      </c>
    </row>
    <row r="194" spans="1:4" x14ac:dyDescent="0.45">
      <c r="A194" t="s">
        <v>327</v>
      </c>
      <c r="B194">
        <v>161.30000000000001</v>
      </c>
      <c r="C194" s="2">
        <v>123456789</v>
      </c>
      <c r="D194" s="2">
        <v>123456789</v>
      </c>
    </row>
    <row r="195" spans="1:4" x14ac:dyDescent="0.45">
      <c r="A195" t="s">
        <v>328</v>
      </c>
      <c r="B195">
        <v>160.6</v>
      </c>
      <c r="C195" s="2">
        <v>123456789</v>
      </c>
      <c r="D195" s="2">
        <v>123456789</v>
      </c>
    </row>
    <row r="196" spans="1:4" x14ac:dyDescent="0.45">
      <c r="A196" t="s">
        <v>329</v>
      </c>
      <c r="B196">
        <v>159.1</v>
      </c>
      <c r="C196" s="2">
        <v>123456789</v>
      </c>
      <c r="D196" s="2">
        <v>123456789</v>
      </c>
    </row>
    <row r="197" spans="1:4" x14ac:dyDescent="0.45">
      <c r="A197" t="s">
        <v>330</v>
      </c>
      <c r="B197">
        <v>158.5</v>
      </c>
      <c r="C197" s="2">
        <v>123456789</v>
      </c>
      <c r="D197" s="2">
        <v>123456789</v>
      </c>
    </row>
    <row r="198" spans="1:4" x14ac:dyDescent="0.45">
      <c r="A198" t="s">
        <v>331</v>
      </c>
      <c r="B198">
        <v>156.1</v>
      </c>
      <c r="C198" s="2">
        <v>123456789</v>
      </c>
      <c r="D198" s="2">
        <v>123456789</v>
      </c>
    </row>
    <row r="199" spans="1:4" x14ac:dyDescent="0.45">
      <c r="A199" t="s">
        <v>332</v>
      </c>
      <c r="B199">
        <v>157.4</v>
      </c>
      <c r="C199" s="2">
        <v>123456789</v>
      </c>
      <c r="D199" s="2">
        <v>123456789</v>
      </c>
    </row>
    <row r="200" spans="1:4" x14ac:dyDescent="0.45">
      <c r="A200" t="s">
        <v>333</v>
      </c>
      <c r="B200">
        <v>158.69999999999999</v>
      </c>
      <c r="C200" s="2">
        <v>123456789</v>
      </c>
      <c r="D200" s="2">
        <v>123456789</v>
      </c>
    </row>
    <row r="201" spans="1:4" x14ac:dyDescent="0.45">
      <c r="A201" t="s">
        <v>334</v>
      </c>
      <c r="B201">
        <v>157</v>
      </c>
      <c r="C201" s="2">
        <v>123456789</v>
      </c>
      <c r="D201" s="2">
        <v>123456789</v>
      </c>
    </row>
    <row r="202" spans="1:4" x14ac:dyDescent="0.45">
      <c r="A202" t="s">
        <v>335</v>
      </c>
      <c r="B202">
        <v>160.4</v>
      </c>
      <c r="C202" s="2">
        <v>123456789</v>
      </c>
      <c r="D202" s="2">
        <v>123456789</v>
      </c>
    </row>
    <row r="203" spans="1:4" x14ac:dyDescent="0.45">
      <c r="A203" t="s">
        <v>336</v>
      </c>
      <c r="B203">
        <v>169.4</v>
      </c>
      <c r="C203" s="2">
        <v>123456789</v>
      </c>
      <c r="D203" s="2">
        <v>123456789</v>
      </c>
    </row>
    <row r="204" spans="1:4" x14ac:dyDescent="0.45">
      <c r="A204" t="s">
        <v>337</v>
      </c>
      <c r="B204">
        <v>173</v>
      </c>
      <c r="C204" s="2">
        <v>123456789</v>
      </c>
      <c r="D204" s="2">
        <v>123456789</v>
      </c>
    </row>
    <row r="205" spans="1:4" x14ac:dyDescent="0.45">
      <c r="A205" t="s">
        <v>338</v>
      </c>
      <c r="B205">
        <v>176.7</v>
      </c>
      <c r="C205" s="2">
        <v>123456789</v>
      </c>
      <c r="D205" s="2">
        <v>123456789</v>
      </c>
    </row>
    <row r="206" spans="1:4" x14ac:dyDescent="0.45">
      <c r="A206" t="s">
        <v>339</v>
      </c>
      <c r="B206">
        <v>177.6</v>
      </c>
      <c r="C206" s="2">
        <v>123456789</v>
      </c>
      <c r="D206" s="2">
        <v>123456789</v>
      </c>
    </row>
    <row r="207" spans="1:4" x14ac:dyDescent="0.45">
      <c r="A207" t="s">
        <v>340</v>
      </c>
      <c r="B207">
        <v>172.5</v>
      </c>
      <c r="C207" s="2">
        <v>123456789</v>
      </c>
      <c r="D207" s="2">
        <v>123456789</v>
      </c>
    </row>
    <row r="208" spans="1:4" x14ac:dyDescent="0.45">
      <c r="A208" t="s">
        <v>341</v>
      </c>
      <c r="B208">
        <v>168.4</v>
      </c>
      <c r="C208" s="2">
        <v>123456789</v>
      </c>
      <c r="D208" s="2">
        <v>123456789</v>
      </c>
    </row>
    <row r="209" spans="1:4" x14ac:dyDescent="0.45">
      <c r="A209" t="s">
        <v>342</v>
      </c>
      <c r="B209">
        <v>163.9</v>
      </c>
      <c r="C209" s="2">
        <v>123456789</v>
      </c>
      <c r="D209" s="2">
        <v>123456789</v>
      </c>
    </row>
    <row r="210" spans="1:4" x14ac:dyDescent="0.45">
      <c r="A210" t="s">
        <v>343</v>
      </c>
      <c r="B210">
        <v>156.69999999999999</v>
      </c>
      <c r="C210" s="2">
        <v>123456789</v>
      </c>
      <c r="D210" s="2">
        <v>123456789</v>
      </c>
    </row>
    <row r="211" spans="1:4" x14ac:dyDescent="0.45">
      <c r="A211" t="s">
        <v>344</v>
      </c>
      <c r="B211">
        <v>153.5</v>
      </c>
      <c r="C211" s="2">
        <v>123456789</v>
      </c>
      <c r="D211" s="2">
        <v>123456789</v>
      </c>
    </row>
    <row r="212" spans="1:4" x14ac:dyDescent="0.45">
      <c r="A212" t="s">
        <v>345</v>
      </c>
      <c r="B212">
        <v>152.1</v>
      </c>
      <c r="C212" s="2">
        <v>123456789</v>
      </c>
      <c r="D212" s="2">
        <v>123456789</v>
      </c>
    </row>
    <row r="213" spans="1:4" x14ac:dyDescent="0.45">
      <c r="A213" t="s">
        <v>346</v>
      </c>
      <c r="B213">
        <v>148.6</v>
      </c>
      <c r="C213" s="2">
        <v>123456789</v>
      </c>
      <c r="D213" s="2">
        <v>123456789</v>
      </c>
    </row>
    <row r="214" spans="1:4" x14ac:dyDescent="0.45">
      <c r="A214" t="s">
        <v>347</v>
      </c>
      <c r="B214">
        <v>149</v>
      </c>
      <c r="C214" s="2">
        <v>123456789</v>
      </c>
      <c r="D214" s="2">
        <v>123456789</v>
      </c>
    </row>
    <row r="215" spans="1:4" x14ac:dyDescent="0.45">
      <c r="A215" t="s">
        <v>348</v>
      </c>
      <c r="B215">
        <v>145</v>
      </c>
      <c r="C215" s="2">
        <v>123456789</v>
      </c>
      <c r="D215" s="2">
        <v>123456789</v>
      </c>
    </row>
    <row r="216" spans="1:4" x14ac:dyDescent="0.45">
      <c r="A216" t="s">
        <v>349</v>
      </c>
      <c r="B216">
        <v>143.80000000000001</v>
      </c>
      <c r="C216" s="2">
        <v>123456789</v>
      </c>
      <c r="D216" s="2">
        <v>123456789</v>
      </c>
    </row>
    <row r="217" spans="1:4" x14ac:dyDescent="0.45">
      <c r="A217" t="s">
        <v>350</v>
      </c>
      <c r="B217">
        <v>142.4</v>
      </c>
      <c r="C217" s="2">
        <v>123456789</v>
      </c>
      <c r="D217" s="2">
        <v>123456789</v>
      </c>
    </row>
    <row r="218" spans="1:4" x14ac:dyDescent="0.45">
      <c r="A218" t="s">
        <v>351</v>
      </c>
      <c r="B218">
        <v>140</v>
      </c>
      <c r="C218" s="2">
        <v>123456789</v>
      </c>
      <c r="D218" s="2">
        <v>123456789</v>
      </c>
    </row>
    <row r="219" spans="1:4" x14ac:dyDescent="0.45">
      <c r="A219" t="s">
        <v>352</v>
      </c>
      <c r="B219">
        <v>139.4</v>
      </c>
      <c r="C219" s="2">
        <v>123456789</v>
      </c>
      <c r="D219" s="2">
        <v>123456789</v>
      </c>
    </row>
    <row r="220" spans="1:4" x14ac:dyDescent="0.45">
      <c r="A220" t="s">
        <v>353</v>
      </c>
      <c r="B220">
        <v>138.5</v>
      </c>
      <c r="C220" s="2">
        <v>123456789</v>
      </c>
      <c r="D220" s="2">
        <v>123456789</v>
      </c>
    </row>
    <row r="221" spans="1:4" x14ac:dyDescent="0.45">
      <c r="A221" t="s">
        <v>354</v>
      </c>
      <c r="B221">
        <v>137.5</v>
      </c>
      <c r="C221" s="2">
        <v>123456789</v>
      </c>
      <c r="D221" s="2">
        <v>123456789</v>
      </c>
    </row>
    <row r="222" spans="1:4" x14ac:dyDescent="0.45">
      <c r="A222" s="40" t="s">
        <v>355</v>
      </c>
      <c r="B222" s="40">
        <v>135.6</v>
      </c>
      <c r="C222" s="2">
        <v>123456789</v>
      </c>
      <c r="D222" s="2">
        <v>123456789</v>
      </c>
    </row>
    <row r="223" spans="1:4" x14ac:dyDescent="0.45">
      <c r="A223" s="4" t="s">
        <v>356</v>
      </c>
      <c r="B223" s="4">
        <v>135.6</v>
      </c>
      <c r="C223" s="2">
        <v>123456789</v>
      </c>
      <c r="D223" s="2">
        <v>123456789</v>
      </c>
    </row>
    <row r="224" spans="1:4" x14ac:dyDescent="0.45">
      <c r="A224" s="4" t="s">
        <v>357</v>
      </c>
      <c r="B224" s="4">
        <v>135.6</v>
      </c>
      <c r="C224" s="2">
        <v>123456789</v>
      </c>
      <c r="D224" s="2">
        <v>123456789</v>
      </c>
    </row>
    <row r="225" spans="1:4" x14ac:dyDescent="0.45">
      <c r="A225" s="4" t="s">
        <v>438</v>
      </c>
      <c r="B225" s="4">
        <v>135.6</v>
      </c>
      <c r="C225" s="2">
        <v>123456789</v>
      </c>
      <c r="D225" s="2">
        <v>123456789</v>
      </c>
    </row>
    <row r="226" spans="1:4" x14ac:dyDescent="0.45">
      <c r="A226" s="4" t="s">
        <v>441</v>
      </c>
      <c r="B226" s="4">
        <v>135.6</v>
      </c>
      <c r="C226" s="2">
        <v>123456789</v>
      </c>
      <c r="D226" s="2">
        <v>123456789</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EA96-23A7-4B58-96FB-8D734CA3243D}">
  <sheetPr>
    <tabColor theme="9" tint="0.79998168889431442"/>
  </sheetPr>
  <dimension ref="A1:D226"/>
  <sheetViews>
    <sheetView topLeftCell="A206" workbookViewId="0">
      <selection activeCell="L226" sqref="L226"/>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f>credit_to_gdp_all!B14-credit_to_gdp_all!B2</f>
        <v>6.2000000000000028</v>
      </c>
      <c r="C14" s="2">
        <v>123456789</v>
      </c>
      <c r="D14" s="2">
        <v>123456789</v>
      </c>
    </row>
    <row r="15" spans="1:4" x14ac:dyDescent="0.45">
      <c r="A15" t="s">
        <v>148</v>
      </c>
      <c r="B15">
        <f>credit_to_gdp_all!B15-credit_to_gdp_all!B3</f>
        <v>6.8999999999999986</v>
      </c>
      <c r="C15" s="2">
        <v>123456789</v>
      </c>
      <c r="D15" s="2">
        <v>123456789</v>
      </c>
    </row>
    <row r="16" spans="1:4" x14ac:dyDescent="0.45">
      <c r="A16" t="s">
        <v>149</v>
      </c>
      <c r="B16">
        <f>credit_to_gdp_all!B16-credit_to_gdp_all!B4</f>
        <v>8.5</v>
      </c>
      <c r="C16" s="2">
        <v>123456789</v>
      </c>
      <c r="D16" s="2">
        <v>123456789</v>
      </c>
    </row>
    <row r="17" spans="1:4" x14ac:dyDescent="0.45">
      <c r="A17" t="s">
        <v>150</v>
      </c>
      <c r="B17">
        <f>credit_to_gdp_all!B17-credit_to_gdp_all!B5</f>
        <v>5.2999999999999972</v>
      </c>
      <c r="C17" s="2">
        <v>123456789</v>
      </c>
      <c r="D17" s="2">
        <v>123456789</v>
      </c>
    </row>
    <row r="18" spans="1:4" x14ac:dyDescent="0.45">
      <c r="A18" t="s">
        <v>151</v>
      </c>
      <c r="B18">
        <f>credit_to_gdp_all!B18-credit_to_gdp_all!B6</f>
        <v>8.1000000000000014</v>
      </c>
      <c r="C18" s="2">
        <v>123456789</v>
      </c>
      <c r="D18" s="2">
        <v>123456789</v>
      </c>
    </row>
    <row r="19" spans="1:4" x14ac:dyDescent="0.45">
      <c r="A19" t="s">
        <v>152</v>
      </c>
      <c r="B19">
        <f>credit_to_gdp_all!B19-credit_to_gdp_all!B7</f>
        <v>9.7000000000000028</v>
      </c>
      <c r="C19" s="2">
        <v>123456789</v>
      </c>
      <c r="D19" s="2">
        <v>123456789</v>
      </c>
    </row>
    <row r="20" spans="1:4" x14ac:dyDescent="0.45">
      <c r="A20" t="s">
        <v>153</v>
      </c>
      <c r="B20">
        <f>credit_to_gdp_all!B20-credit_to_gdp_all!B8</f>
        <v>7.8999999999999915</v>
      </c>
      <c r="C20" s="2">
        <v>123456789</v>
      </c>
      <c r="D20" s="2">
        <v>123456789</v>
      </c>
    </row>
    <row r="21" spans="1:4" x14ac:dyDescent="0.45">
      <c r="A21" t="s">
        <v>154</v>
      </c>
      <c r="B21">
        <f>credit_to_gdp_all!B21-credit_to_gdp_all!B9</f>
        <v>4.0999999999999943</v>
      </c>
      <c r="C21" s="2">
        <v>123456789</v>
      </c>
      <c r="D21" s="2">
        <v>123456789</v>
      </c>
    </row>
    <row r="22" spans="1:4" x14ac:dyDescent="0.45">
      <c r="A22" t="s">
        <v>155</v>
      </c>
      <c r="B22">
        <f>credit_to_gdp_all!B22-credit_to_gdp_all!B10</f>
        <v>-1.1000000000000014</v>
      </c>
      <c r="C22" s="2">
        <v>123456789</v>
      </c>
      <c r="D22" s="2">
        <v>123456789</v>
      </c>
    </row>
    <row r="23" spans="1:4" x14ac:dyDescent="0.45">
      <c r="A23" t="s">
        <v>156</v>
      </c>
      <c r="B23">
        <f>credit_to_gdp_all!B23-credit_to_gdp_all!B11</f>
        <v>-2</v>
      </c>
      <c r="C23" s="2">
        <v>123456789</v>
      </c>
      <c r="D23" s="2">
        <v>123456789</v>
      </c>
    </row>
    <row r="24" spans="1:4" x14ac:dyDescent="0.45">
      <c r="A24" t="s">
        <v>157</v>
      </c>
      <c r="B24">
        <f>credit_to_gdp_all!B24-credit_to_gdp_all!B12</f>
        <v>-8.2000000000000028</v>
      </c>
      <c r="C24" s="2">
        <v>123456789</v>
      </c>
      <c r="D24" s="2">
        <v>123456789</v>
      </c>
    </row>
    <row r="25" spans="1:4" x14ac:dyDescent="0.45">
      <c r="A25" t="s">
        <v>158</v>
      </c>
      <c r="B25">
        <f>credit_to_gdp_all!B25-credit_to_gdp_all!B13</f>
        <v>-7.1000000000000014</v>
      </c>
      <c r="C25" s="2">
        <v>123456789</v>
      </c>
      <c r="D25" s="2">
        <v>123456789</v>
      </c>
    </row>
    <row r="26" spans="1:4" x14ac:dyDescent="0.45">
      <c r="A26" t="s">
        <v>159</v>
      </c>
      <c r="B26">
        <f>credit_to_gdp_all!B26-credit_to_gdp_all!B14</f>
        <v>-6.5</v>
      </c>
      <c r="C26" s="2">
        <v>123456789</v>
      </c>
      <c r="D26" s="2">
        <v>123456789</v>
      </c>
    </row>
    <row r="27" spans="1:4" x14ac:dyDescent="0.45">
      <c r="A27" t="s">
        <v>160</v>
      </c>
      <c r="B27">
        <f>credit_to_gdp_all!B27-credit_to_gdp_all!B15</f>
        <v>-9.0999999999999943</v>
      </c>
      <c r="C27" s="2">
        <v>123456789</v>
      </c>
      <c r="D27" s="2">
        <v>123456789</v>
      </c>
    </row>
    <row r="28" spans="1:4" x14ac:dyDescent="0.45">
      <c r="A28" t="s">
        <v>161</v>
      </c>
      <c r="B28">
        <f>credit_to_gdp_all!B28-credit_to_gdp_all!B16</f>
        <v>-8.6000000000000014</v>
      </c>
      <c r="C28" s="2">
        <v>123456789</v>
      </c>
      <c r="D28" s="2">
        <v>123456789</v>
      </c>
    </row>
    <row r="29" spans="1:4" x14ac:dyDescent="0.45">
      <c r="A29" t="s">
        <v>162</v>
      </c>
      <c r="B29">
        <f>credit_to_gdp_all!B29-credit_to_gdp_all!B17</f>
        <v>-5.6000000000000014</v>
      </c>
      <c r="C29" s="2">
        <v>123456789</v>
      </c>
      <c r="D29" s="2">
        <v>123456789</v>
      </c>
    </row>
    <row r="30" spans="1:4" x14ac:dyDescent="0.45">
      <c r="A30" t="s">
        <v>163</v>
      </c>
      <c r="B30">
        <f>credit_to_gdp_all!B30-credit_to_gdp_all!B18</f>
        <v>-8.7000000000000028</v>
      </c>
      <c r="C30" s="2">
        <v>123456789</v>
      </c>
      <c r="D30" s="2">
        <v>123456789</v>
      </c>
    </row>
    <row r="31" spans="1:4" x14ac:dyDescent="0.45">
      <c r="A31" t="s">
        <v>164</v>
      </c>
      <c r="B31">
        <f>credit_to_gdp_all!B31-credit_to_gdp_all!B19</f>
        <v>-8.4000000000000057</v>
      </c>
      <c r="C31" s="2">
        <v>123456789</v>
      </c>
      <c r="D31" s="2">
        <v>123456789</v>
      </c>
    </row>
    <row r="32" spans="1:4" x14ac:dyDescent="0.45">
      <c r="A32" t="s">
        <v>165</v>
      </c>
      <c r="B32">
        <f>credit_to_gdp_all!B32-credit_to_gdp_all!B20</f>
        <v>-8.1999999999999957</v>
      </c>
      <c r="C32" s="2">
        <v>123456789</v>
      </c>
      <c r="D32" s="2">
        <v>123456789</v>
      </c>
    </row>
    <row r="33" spans="1:4" x14ac:dyDescent="0.45">
      <c r="A33" t="s">
        <v>166</v>
      </c>
      <c r="B33">
        <f>credit_to_gdp_all!B33-credit_to_gdp_all!B21</f>
        <v>-5.2999999999999972</v>
      </c>
      <c r="C33" s="2">
        <v>123456789</v>
      </c>
      <c r="D33" s="2">
        <v>123456789</v>
      </c>
    </row>
    <row r="34" spans="1:4" x14ac:dyDescent="0.45">
      <c r="A34" t="s">
        <v>167</v>
      </c>
      <c r="B34">
        <f>credit_to_gdp_all!B34-credit_to_gdp_all!B22</f>
        <v>-3.6000000000000014</v>
      </c>
      <c r="C34" s="2">
        <v>123456789</v>
      </c>
      <c r="D34" s="2">
        <v>123456789</v>
      </c>
    </row>
    <row r="35" spans="1:4" x14ac:dyDescent="0.45">
      <c r="A35" t="s">
        <v>168</v>
      </c>
      <c r="B35">
        <f>credit_to_gdp_all!B35-credit_to_gdp_all!B23</f>
        <v>-2.8999999999999986</v>
      </c>
      <c r="C35" s="2">
        <v>123456789</v>
      </c>
      <c r="D35" s="2">
        <v>123456789</v>
      </c>
    </row>
    <row r="36" spans="1:4" x14ac:dyDescent="0.45">
      <c r="A36" t="s">
        <v>169</v>
      </c>
      <c r="B36">
        <f>credit_to_gdp_all!B36-credit_to_gdp_all!B24</f>
        <v>-0.89999999999999858</v>
      </c>
      <c r="C36" s="2">
        <v>123456789</v>
      </c>
      <c r="D36" s="2">
        <v>123456789</v>
      </c>
    </row>
    <row r="37" spans="1:4" x14ac:dyDescent="0.45">
      <c r="A37" t="s">
        <v>170</v>
      </c>
      <c r="B37">
        <f>credit_to_gdp_all!B37-credit_to_gdp_all!B25</f>
        <v>-2.3999999999999986</v>
      </c>
      <c r="C37" s="2">
        <v>123456789</v>
      </c>
      <c r="D37" s="2">
        <v>123456789</v>
      </c>
    </row>
    <row r="38" spans="1:4" x14ac:dyDescent="0.45">
      <c r="A38" t="s">
        <v>171</v>
      </c>
      <c r="B38">
        <f>credit_to_gdp_all!B38-credit_to_gdp_all!B26</f>
        <v>-1.6000000000000014</v>
      </c>
      <c r="C38" s="2">
        <v>123456789</v>
      </c>
      <c r="D38" s="2">
        <v>123456789</v>
      </c>
    </row>
    <row r="39" spans="1:4" x14ac:dyDescent="0.45">
      <c r="A39" t="s">
        <v>172</v>
      </c>
      <c r="B39">
        <f>credit_to_gdp_all!B39-credit_to_gdp_all!B27</f>
        <v>-0.5</v>
      </c>
      <c r="C39" s="2">
        <v>123456789</v>
      </c>
      <c r="D39" s="2">
        <v>123456789</v>
      </c>
    </row>
    <row r="40" spans="1:4" x14ac:dyDescent="0.45">
      <c r="A40" t="s">
        <v>173</v>
      </c>
      <c r="B40">
        <f>credit_to_gdp_all!B40-credit_to_gdp_all!B28</f>
        <v>-1.1999999999999957</v>
      </c>
      <c r="C40" s="2">
        <v>123456789</v>
      </c>
      <c r="D40" s="2">
        <v>123456789</v>
      </c>
    </row>
    <row r="41" spans="1:4" x14ac:dyDescent="0.45">
      <c r="A41" t="s">
        <v>174</v>
      </c>
      <c r="B41">
        <f>credit_to_gdp_all!B41-credit_to_gdp_all!B29</f>
        <v>-2.6999999999999957</v>
      </c>
      <c r="C41" s="2">
        <v>123456789</v>
      </c>
      <c r="D41" s="2">
        <v>123456789</v>
      </c>
    </row>
    <row r="42" spans="1:4" x14ac:dyDescent="0.45">
      <c r="A42" t="s">
        <v>175</v>
      </c>
      <c r="B42">
        <f>credit_to_gdp_all!B42-credit_to_gdp_all!B30</f>
        <v>0.5</v>
      </c>
      <c r="C42" s="2">
        <v>123456789</v>
      </c>
      <c r="D42" s="2">
        <v>123456789</v>
      </c>
    </row>
    <row r="43" spans="1:4" x14ac:dyDescent="0.45">
      <c r="A43" t="s">
        <v>176</v>
      </c>
      <c r="B43">
        <f>credit_to_gdp_all!B43-credit_to_gdp_all!B31</f>
        <v>0.60000000000000142</v>
      </c>
      <c r="C43" s="2">
        <v>123456789</v>
      </c>
      <c r="D43" s="2">
        <v>123456789</v>
      </c>
    </row>
    <row r="44" spans="1:4" x14ac:dyDescent="0.45">
      <c r="A44" t="s">
        <v>177</v>
      </c>
      <c r="B44">
        <f>credit_to_gdp_all!B44-credit_to_gdp_all!B32</f>
        <v>0.89999999999999858</v>
      </c>
      <c r="C44" s="2">
        <v>123456789</v>
      </c>
      <c r="D44" s="2">
        <v>123456789</v>
      </c>
    </row>
    <row r="45" spans="1:4" x14ac:dyDescent="0.45">
      <c r="A45" t="s">
        <v>178</v>
      </c>
      <c r="B45">
        <f>credit_to_gdp_all!B45-credit_to_gdp_all!B33</f>
        <v>0.70000000000000284</v>
      </c>
      <c r="C45" s="2">
        <v>123456789</v>
      </c>
      <c r="D45" s="2">
        <v>123456789</v>
      </c>
    </row>
    <row r="46" spans="1:4" x14ac:dyDescent="0.45">
      <c r="A46" t="s">
        <v>179</v>
      </c>
      <c r="B46">
        <f>credit_to_gdp_all!B46-credit_to_gdp_all!B34</f>
        <v>0.60000000000000142</v>
      </c>
      <c r="C46" s="2">
        <v>123456789</v>
      </c>
      <c r="D46" s="2">
        <v>123456789</v>
      </c>
    </row>
    <row r="47" spans="1:4" x14ac:dyDescent="0.45">
      <c r="A47" t="s">
        <v>180</v>
      </c>
      <c r="B47">
        <f>credit_to_gdp_all!B47-credit_to_gdp_all!B35</f>
        <v>0.10000000000000142</v>
      </c>
      <c r="C47" s="2">
        <v>123456789</v>
      </c>
      <c r="D47" s="2">
        <v>123456789</v>
      </c>
    </row>
    <row r="48" spans="1:4" x14ac:dyDescent="0.45">
      <c r="A48" t="s">
        <v>181</v>
      </c>
      <c r="B48">
        <f>credit_to_gdp_all!B48-credit_to_gdp_all!B36</f>
        <v>2.5</v>
      </c>
      <c r="C48" s="2">
        <v>123456789</v>
      </c>
      <c r="D48" s="2">
        <v>123456789</v>
      </c>
    </row>
    <row r="49" spans="1:4" x14ac:dyDescent="0.45">
      <c r="A49" t="s">
        <v>182</v>
      </c>
      <c r="B49">
        <f>credit_to_gdp_all!B49-credit_to_gdp_all!B37</f>
        <v>5.1000000000000014</v>
      </c>
      <c r="C49" s="2">
        <v>123456789</v>
      </c>
      <c r="D49" s="2">
        <v>123456789</v>
      </c>
    </row>
    <row r="50" spans="1:4" x14ac:dyDescent="0.45">
      <c r="A50" t="s">
        <v>183</v>
      </c>
      <c r="B50">
        <f>credit_to_gdp_all!B50-credit_to_gdp_all!B38</f>
        <v>5</v>
      </c>
      <c r="C50" s="2">
        <v>123456789</v>
      </c>
      <c r="D50" s="2">
        <v>123456789</v>
      </c>
    </row>
    <row r="51" spans="1:4" x14ac:dyDescent="0.45">
      <c r="A51" t="s">
        <v>184</v>
      </c>
      <c r="B51">
        <f>credit_to_gdp_all!B51-credit_to_gdp_all!B39</f>
        <v>6.5</v>
      </c>
      <c r="C51" s="2">
        <v>123456789</v>
      </c>
      <c r="D51" s="2">
        <v>123456789</v>
      </c>
    </row>
    <row r="52" spans="1:4" x14ac:dyDescent="0.45">
      <c r="A52" t="s">
        <v>185</v>
      </c>
      <c r="B52">
        <f>credit_to_gdp_all!B52-credit_to_gdp_all!B40</f>
        <v>7.7999999999999972</v>
      </c>
      <c r="C52" s="2">
        <v>123456789</v>
      </c>
      <c r="D52" s="2">
        <v>123456789</v>
      </c>
    </row>
    <row r="53" spans="1:4" x14ac:dyDescent="0.45">
      <c r="A53" t="s">
        <v>186</v>
      </c>
      <c r="B53">
        <f>credit_to_gdp_all!B53-credit_to_gdp_all!B41</f>
        <v>9.9999999999999929</v>
      </c>
      <c r="C53" s="2">
        <v>123456789</v>
      </c>
      <c r="D53" s="2">
        <v>123456789</v>
      </c>
    </row>
    <row r="54" spans="1:4" x14ac:dyDescent="0.45">
      <c r="A54" t="s">
        <v>187</v>
      </c>
      <c r="B54">
        <f>credit_to_gdp_all!B54-credit_to_gdp_all!B42</f>
        <v>9.6000000000000085</v>
      </c>
      <c r="C54" s="2">
        <v>123456789</v>
      </c>
      <c r="D54" s="2">
        <v>123456789</v>
      </c>
    </row>
    <row r="55" spans="1:4" x14ac:dyDescent="0.45">
      <c r="A55" t="s">
        <v>188</v>
      </c>
      <c r="B55">
        <f>credit_to_gdp_all!B55-credit_to_gdp_all!B43</f>
        <v>10.399999999999999</v>
      </c>
      <c r="C55" s="2">
        <v>123456789</v>
      </c>
      <c r="D55" s="2">
        <v>123456789</v>
      </c>
    </row>
    <row r="56" spans="1:4" x14ac:dyDescent="0.45">
      <c r="A56" t="s">
        <v>189</v>
      </c>
      <c r="B56">
        <f>credit_to_gdp_all!B56-credit_to_gdp_all!B44</f>
        <v>11</v>
      </c>
      <c r="C56" s="2">
        <v>123456789</v>
      </c>
      <c r="D56" s="2">
        <v>123456789</v>
      </c>
    </row>
    <row r="57" spans="1:4" x14ac:dyDescent="0.45">
      <c r="A57" t="s">
        <v>190</v>
      </c>
      <c r="B57">
        <f>credit_to_gdp_all!B57-credit_to_gdp_all!B45</f>
        <v>11.700000000000003</v>
      </c>
      <c r="C57" s="2">
        <v>123456789</v>
      </c>
      <c r="D57" s="2">
        <v>123456789</v>
      </c>
    </row>
    <row r="58" spans="1:4" x14ac:dyDescent="0.45">
      <c r="A58" t="s">
        <v>191</v>
      </c>
      <c r="B58">
        <f>credit_to_gdp_all!B58-credit_to_gdp_all!B46</f>
        <v>14.099999999999994</v>
      </c>
      <c r="C58" s="2">
        <v>123456789</v>
      </c>
      <c r="D58" s="2">
        <v>123456789</v>
      </c>
    </row>
    <row r="59" spans="1:4" x14ac:dyDescent="0.45">
      <c r="A59" t="s">
        <v>192</v>
      </c>
      <c r="B59">
        <f>credit_to_gdp_all!B59-credit_to_gdp_all!B47</f>
        <v>15.900000000000006</v>
      </c>
      <c r="C59" s="2">
        <v>123456789</v>
      </c>
      <c r="D59" s="2">
        <v>123456789</v>
      </c>
    </row>
    <row r="60" spans="1:4" x14ac:dyDescent="0.45">
      <c r="A60" t="s">
        <v>193</v>
      </c>
      <c r="B60">
        <f>credit_to_gdp_all!B60-credit_to_gdp_all!B48</f>
        <v>15.300000000000004</v>
      </c>
      <c r="C60" s="2">
        <v>123456789</v>
      </c>
      <c r="D60" s="2">
        <v>123456789</v>
      </c>
    </row>
    <row r="61" spans="1:4" x14ac:dyDescent="0.45">
      <c r="A61" t="s">
        <v>194</v>
      </c>
      <c r="B61">
        <f>credit_to_gdp_all!B61-credit_to_gdp_all!B49</f>
        <v>15.399999999999999</v>
      </c>
      <c r="C61" s="2">
        <v>123456789</v>
      </c>
      <c r="D61" s="2">
        <v>123456789</v>
      </c>
    </row>
    <row r="62" spans="1:4" x14ac:dyDescent="0.45">
      <c r="A62" t="s">
        <v>195</v>
      </c>
      <c r="B62">
        <f>credit_to_gdp_all!B62-credit_to_gdp_all!B50</f>
        <v>16.300000000000004</v>
      </c>
      <c r="C62" s="2">
        <v>123456789</v>
      </c>
      <c r="D62" s="2">
        <v>123456789</v>
      </c>
    </row>
    <row r="63" spans="1:4" x14ac:dyDescent="0.45">
      <c r="A63" t="s">
        <v>196</v>
      </c>
      <c r="B63">
        <f>credit_to_gdp_all!B63-credit_to_gdp_all!B51</f>
        <v>13.299999999999997</v>
      </c>
      <c r="C63" s="2">
        <v>123456789</v>
      </c>
      <c r="D63" s="2">
        <v>123456789</v>
      </c>
    </row>
    <row r="64" spans="1:4" x14ac:dyDescent="0.45">
      <c r="A64" t="s">
        <v>197</v>
      </c>
      <c r="B64">
        <f>credit_to_gdp_all!B64-credit_to_gdp_all!B52</f>
        <v>14</v>
      </c>
      <c r="C64" s="2">
        <v>123456789</v>
      </c>
      <c r="D64" s="2">
        <v>123456789</v>
      </c>
    </row>
    <row r="65" spans="1:4" x14ac:dyDescent="0.45">
      <c r="A65" t="s">
        <v>198</v>
      </c>
      <c r="B65">
        <f>credit_to_gdp_all!B65-credit_to_gdp_all!B53</f>
        <v>11.700000000000003</v>
      </c>
      <c r="C65" s="2">
        <v>123456789</v>
      </c>
      <c r="D65" s="2">
        <v>123456789</v>
      </c>
    </row>
    <row r="66" spans="1:4" x14ac:dyDescent="0.45">
      <c r="A66" t="s">
        <v>199</v>
      </c>
      <c r="B66">
        <f>credit_to_gdp_all!B66-credit_to_gdp_all!B54</f>
        <v>13.5</v>
      </c>
      <c r="C66" s="2">
        <v>123456789</v>
      </c>
      <c r="D66" s="2">
        <v>123456789</v>
      </c>
    </row>
    <row r="67" spans="1:4" x14ac:dyDescent="0.45">
      <c r="A67" t="s">
        <v>200</v>
      </c>
      <c r="B67">
        <f>credit_to_gdp_all!B67-credit_to_gdp_all!B55</f>
        <v>13.799999999999997</v>
      </c>
      <c r="C67" s="2">
        <v>123456789</v>
      </c>
      <c r="D67" s="2">
        <v>123456789</v>
      </c>
    </row>
    <row r="68" spans="1:4" x14ac:dyDescent="0.45">
      <c r="A68" t="s">
        <v>201</v>
      </c>
      <c r="B68">
        <f>credit_to_gdp_all!B68-credit_to_gdp_all!B56</f>
        <v>14.100000000000009</v>
      </c>
      <c r="C68" s="2">
        <v>123456789</v>
      </c>
      <c r="D68" s="2">
        <v>123456789</v>
      </c>
    </row>
    <row r="69" spans="1:4" x14ac:dyDescent="0.45">
      <c r="A69" t="s">
        <v>202</v>
      </c>
      <c r="B69">
        <f>credit_to_gdp_all!B69-credit_to_gdp_all!B57</f>
        <v>16.299999999999997</v>
      </c>
      <c r="C69" s="2">
        <v>123456789</v>
      </c>
      <c r="D69" s="2">
        <v>123456789</v>
      </c>
    </row>
    <row r="70" spans="1:4" x14ac:dyDescent="0.45">
      <c r="A70" t="s">
        <v>203</v>
      </c>
      <c r="B70">
        <f>credit_to_gdp_all!B70-credit_to_gdp_all!B58</f>
        <v>15.900000000000006</v>
      </c>
      <c r="C70" s="2">
        <v>123456789</v>
      </c>
      <c r="D70" s="2">
        <v>123456789</v>
      </c>
    </row>
    <row r="71" spans="1:4" x14ac:dyDescent="0.45">
      <c r="A71" t="s">
        <v>204</v>
      </c>
      <c r="B71">
        <f>credit_to_gdp_all!B71-credit_to_gdp_all!B59</f>
        <v>14.899999999999991</v>
      </c>
      <c r="C71" s="2">
        <v>123456789</v>
      </c>
      <c r="D71" s="2">
        <v>123456789</v>
      </c>
    </row>
    <row r="72" spans="1:4" x14ac:dyDescent="0.45">
      <c r="A72" t="s">
        <v>205</v>
      </c>
      <c r="B72">
        <f>credit_to_gdp_all!B72-credit_to_gdp_all!B60</f>
        <v>15.199999999999989</v>
      </c>
      <c r="C72" s="2">
        <v>123456789</v>
      </c>
      <c r="D72" s="2">
        <v>123456789</v>
      </c>
    </row>
    <row r="73" spans="1:4" x14ac:dyDescent="0.45">
      <c r="A73" t="s">
        <v>206</v>
      </c>
      <c r="B73">
        <f>credit_to_gdp_all!B73-credit_to_gdp_all!B61</f>
        <v>12.5</v>
      </c>
      <c r="C73" s="2">
        <v>123456789</v>
      </c>
      <c r="D73" s="2">
        <v>123456789</v>
      </c>
    </row>
    <row r="74" spans="1:4" x14ac:dyDescent="0.45">
      <c r="A74" t="s">
        <v>207</v>
      </c>
      <c r="B74">
        <f>credit_to_gdp_all!B74-credit_to_gdp_all!B62</f>
        <v>13.399999999999991</v>
      </c>
      <c r="C74" s="2">
        <v>123456789</v>
      </c>
      <c r="D74" s="2">
        <v>123456789</v>
      </c>
    </row>
    <row r="75" spans="1:4" x14ac:dyDescent="0.45">
      <c r="A75" t="s">
        <v>208</v>
      </c>
      <c r="B75">
        <f>credit_to_gdp_all!B75-credit_to_gdp_all!B63</f>
        <v>18</v>
      </c>
      <c r="C75" s="2">
        <v>123456789</v>
      </c>
      <c r="D75" s="2">
        <v>123456789</v>
      </c>
    </row>
    <row r="76" spans="1:4" x14ac:dyDescent="0.45">
      <c r="A76" t="s">
        <v>209</v>
      </c>
      <c r="B76">
        <f>credit_to_gdp_all!B76-credit_to_gdp_all!B64</f>
        <v>19.200000000000003</v>
      </c>
      <c r="C76" s="2">
        <v>123456789</v>
      </c>
      <c r="D76" s="2">
        <v>123456789</v>
      </c>
    </row>
    <row r="77" spans="1:4" x14ac:dyDescent="0.45">
      <c r="A77" t="s">
        <v>210</v>
      </c>
      <c r="B77">
        <f>credit_to_gdp_all!B77-credit_to_gdp_all!B65</f>
        <v>21.100000000000009</v>
      </c>
      <c r="C77" s="2">
        <v>123456789</v>
      </c>
      <c r="D77" s="2">
        <v>123456789</v>
      </c>
    </row>
    <row r="78" spans="1:4" x14ac:dyDescent="0.45">
      <c r="A78" t="s">
        <v>211</v>
      </c>
      <c r="B78">
        <f>credit_to_gdp_all!B78-credit_to_gdp_all!B66</f>
        <v>21.399999999999991</v>
      </c>
      <c r="C78" s="2">
        <v>123456789</v>
      </c>
      <c r="D78" s="2">
        <v>123456789</v>
      </c>
    </row>
    <row r="79" spans="1:4" x14ac:dyDescent="0.45">
      <c r="A79" t="s">
        <v>212</v>
      </c>
      <c r="B79">
        <f>credit_to_gdp_all!B79-credit_to_gdp_all!B67</f>
        <v>22.600000000000009</v>
      </c>
      <c r="C79" s="2">
        <v>123456789</v>
      </c>
      <c r="D79" s="2">
        <v>123456789</v>
      </c>
    </row>
    <row r="80" spans="1:4" x14ac:dyDescent="0.45">
      <c r="A80" t="s">
        <v>213</v>
      </c>
      <c r="B80">
        <f>credit_to_gdp_all!B80-credit_to_gdp_all!B68</f>
        <v>24.199999999999989</v>
      </c>
      <c r="C80" s="2">
        <v>123456789</v>
      </c>
      <c r="D80" s="2">
        <v>123456789</v>
      </c>
    </row>
    <row r="81" spans="1:4" x14ac:dyDescent="0.45">
      <c r="A81" t="s">
        <v>214</v>
      </c>
      <c r="B81">
        <f>credit_to_gdp_all!B81-credit_to_gdp_all!B69</f>
        <v>22.299999999999997</v>
      </c>
      <c r="C81" s="2">
        <v>123456789</v>
      </c>
      <c r="D81" s="2">
        <v>123456789</v>
      </c>
    </row>
    <row r="82" spans="1:4" x14ac:dyDescent="0.45">
      <c r="A82" t="s">
        <v>215</v>
      </c>
      <c r="B82">
        <f>credit_to_gdp_all!B82-credit_to_gdp_all!B70</f>
        <v>26.099999999999994</v>
      </c>
      <c r="C82" s="2">
        <v>123456789</v>
      </c>
      <c r="D82" s="2">
        <v>123456789</v>
      </c>
    </row>
    <row r="83" spans="1:4" x14ac:dyDescent="0.45">
      <c r="A83" t="s">
        <v>216</v>
      </c>
      <c r="B83">
        <f>credit_to_gdp_all!B83-credit_to_gdp_all!B71</f>
        <v>26.799999999999997</v>
      </c>
      <c r="C83" s="2">
        <v>123456789</v>
      </c>
      <c r="D83" s="2">
        <v>123456789</v>
      </c>
    </row>
    <row r="84" spans="1:4" x14ac:dyDescent="0.45">
      <c r="A84" t="s">
        <v>217</v>
      </c>
      <c r="B84">
        <f>credit_to_gdp_all!B84-credit_to_gdp_all!B72</f>
        <v>25.200000000000003</v>
      </c>
      <c r="C84" s="2">
        <v>123456789</v>
      </c>
      <c r="D84" s="2">
        <v>123456789</v>
      </c>
    </row>
    <row r="85" spans="1:4" x14ac:dyDescent="0.45">
      <c r="A85" t="s">
        <v>218</v>
      </c>
      <c r="B85">
        <f>credit_to_gdp_all!B85-credit_to_gdp_all!B73</f>
        <v>26.200000000000003</v>
      </c>
      <c r="C85" s="2">
        <v>123456789</v>
      </c>
      <c r="D85" s="2">
        <v>123456789</v>
      </c>
    </row>
    <row r="86" spans="1:4" x14ac:dyDescent="0.45">
      <c r="A86" t="s">
        <v>219</v>
      </c>
      <c r="B86">
        <f>credit_to_gdp_all!B86-credit_to_gdp_all!B74</f>
        <v>24.5</v>
      </c>
      <c r="C86" s="2">
        <v>123456789</v>
      </c>
      <c r="D86" s="2">
        <v>123456789</v>
      </c>
    </row>
    <row r="87" spans="1:4" x14ac:dyDescent="0.45">
      <c r="A87" t="s">
        <v>220</v>
      </c>
      <c r="B87">
        <f>credit_to_gdp_all!B87-credit_to_gdp_all!B75</f>
        <v>22.599999999999994</v>
      </c>
      <c r="C87" s="2">
        <v>123456789</v>
      </c>
      <c r="D87" s="2">
        <v>123456789</v>
      </c>
    </row>
    <row r="88" spans="1:4" x14ac:dyDescent="0.45">
      <c r="A88" t="s">
        <v>221</v>
      </c>
      <c r="B88">
        <f>credit_to_gdp_all!B88-credit_to_gdp_all!B76</f>
        <v>19.099999999999994</v>
      </c>
      <c r="C88" s="2">
        <v>123456789</v>
      </c>
      <c r="D88" s="2">
        <v>123456789</v>
      </c>
    </row>
    <row r="89" spans="1:4" x14ac:dyDescent="0.45">
      <c r="A89" t="s">
        <v>222</v>
      </c>
      <c r="B89">
        <f>credit_to_gdp_all!B89-credit_to_gdp_all!B77</f>
        <v>16.299999999999997</v>
      </c>
      <c r="C89" s="2">
        <v>123456789</v>
      </c>
      <c r="D89" s="2">
        <v>123456789</v>
      </c>
    </row>
    <row r="90" spans="1:4" x14ac:dyDescent="0.45">
      <c r="A90" t="s">
        <v>223</v>
      </c>
      <c r="B90">
        <f>credit_to_gdp_all!B90-credit_to_gdp_all!B78</f>
        <v>12.600000000000009</v>
      </c>
      <c r="C90" s="2">
        <v>123456789</v>
      </c>
      <c r="D90" s="2">
        <v>123456789</v>
      </c>
    </row>
    <row r="91" spans="1:4" x14ac:dyDescent="0.45">
      <c r="A91" t="s">
        <v>224</v>
      </c>
      <c r="B91">
        <f>credit_to_gdp_all!B91-credit_to_gdp_all!B79</f>
        <v>9.0999999999999943</v>
      </c>
      <c r="C91" s="2">
        <v>123456789</v>
      </c>
      <c r="D91" s="2">
        <v>123456789</v>
      </c>
    </row>
    <row r="92" spans="1:4" x14ac:dyDescent="0.45">
      <c r="A92" t="s">
        <v>225</v>
      </c>
      <c r="B92">
        <f>credit_to_gdp_all!B92-credit_to_gdp_all!B80</f>
        <v>6.3000000000000114</v>
      </c>
      <c r="C92" s="2">
        <v>123456789</v>
      </c>
      <c r="D92" s="2">
        <v>123456789</v>
      </c>
    </row>
    <row r="93" spans="1:4" x14ac:dyDescent="0.45">
      <c r="A93" t="s">
        <v>226</v>
      </c>
      <c r="B93">
        <f>credit_to_gdp_all!B93-credit_to_gdp_all!B81</f>
        <v>8.7999999999999972</v>
      </c>
      <c r="C93" s="2">
        <v>123456789</v>
      </c>
      <c r="D93" s="2">
        <v>123456789</v>
      </c>
    </row>
    <row r="94" spans="1:4" x14ac:dyDescent="0.45">
      <c r="A94" t="s">
        <v>227</v>
      </c>
      <c r="B94">
        <f>credit_to_gdp_all!B94-credit_to_gdp_all!B82</f>
        <v>0.60000000000000853</v>
      </c>
      <c r="C94" s="2">
        <v>123456789</v>
      </c>
      <c r="D94" s="2">
        <v>123456789</v>
      </c>
    </row>
    <row r="95" spans="1:4" x14ac:dyDescent="0.45">
      <c r="A95" t="s">
        <v>228</v>
      </c>
      <c r="B95">
        <f>credit_to_gdp_all!B95-credit_to_gdp_all!B83</f>
        <v>-1.5</v>
      </c>
      <c r="C95" s="2">
        <v>123456789</v>
      </c>
      <c r="D95" s="2">
        <v>123456789</v>
      </c>
    </row>
    <row r="96" spans="1:4" x14ac:dyDescent="0.45">
      <c r="A96" t="s">
        <v>229</v>
      </c>
      <c r="B96">
        <f>credit_to_gdp_all!B96-credit_to_gdp_all!B84</f>
        <v>-1</v>
      </c>
      <c r="C96" s="2">
        <v>123456789</v>
      </c>
      <c r="D96" s="2">
        <v>123456789</v>
      </c>
    </row>
    <row r="97" spans="1:4" x14ac:dyDescent="0.45">
      <c r="A97" t="s">
        <v>230</v>
      </c>
      <c r="B97">
        <f>credit_to_gdp_all!B97-credit_to_gdp_all!B85</f>
        <v>-0.40000000000000568</v>
      </c>
      <c r="C97" s="2">
        <v>123456789</v>
      </c>
      <c r="D97" s="2">
        <v>123456789</v>
      </c>
    </row>
    <row r="98" spans="1:4" x14ac:dyDescent="0.45">
      <c r="A98" t="s">
        <v>231</v>
      </c>
      <c r="B98">
        <f>credit_to_gdp_all!B98-credit_to_gdp_all!B86</f>
        <v>-3.2000000000000028</v>
      </c>
      <c r="C98" s="2">
        <v>123456789</v>
      </c>
      <c r="D98" s="2">
        <v>123456789</v>
      </c>
    </row>
    <row r="99" spans="1:4" x14ac:dyDescent="0.45">
      <c r="A99" t="s">
        <v>232</v>
      </c>
      <c r="B99">
        <f>credit_to_gdp_all!B99-credit_to_gdp_all!B87</f>
        <v>-7.5</v>
      </c>
      <c r="C99" s="2">
        <v>123456789</v>
      </c>
      <c r="D99" s="2">
        <v>123456789</v>
      </c>
    </row>
    <row r="100" spans="1:4" x14ac:dyDescent="0.45">
      <c r="A100" t="s">
        <v>233</v>
      </c>
      <c r="B100">
        <f>credit_to_gdp_all!B100-credit_to_gdp_all!B88</f>
        <v>-6.7999999999999972</v>
      </c>
      <c r="C100" s="2">
        <v>123456789</v>
      </c>
      <c r="D100" s="2">
        <v>123456789</v>
      </c>
    </row>
    <row r="101" spans="1:4" x14ac:dyDescent="0.45">
      <c r="A101" t="s">
        <v>234</v>
      </c>
      <c r="B101">
        <f>credit_to_gdp_all!B101-credit_to_gdp_all!B89</f>
        <v>-3.7999999999999972</v>
      </c>
      <c r="C101" s="2">
        <v>123456789</v>
      </c>
      <c r="D101" s="2">
        <v>123456789</v>
      </c>
    </row>
    <row r="102" spans="1:4" x14ac:dyDescent="0.45">
      <c r="A102" t="s">
        <v>235</v>
      </c>
      <c r="B102">
        <f>credit_to_gdp_all!B102-credit_to_gdp_all!B90</f>
        <v>-4</v>
      </c>
      <c r="C102" s="2">
        <v>123456789</v>
      </c>
      <c r="D102" s="2">
        <v>123456789</v>
      </c>
    </row>
    <row r="103" spans="1:4" x14ac:dyDescent="0.45">
      <c r="A103" t="s">
        <v>236</v>
      </c>
      <c r="B103">
        <f>credit_to_gdp_all!B103-credit_to_gdp_all!B91</f>
        <v>-2.5</v>
      </c>
      <c r="C103" s="2">
        <v>123456789</v>
      </c>
      <c r="D103" s="2">
        <v>123456789</v>
      </c>
    </row>
    <row r="104" spans="1:4" x14ac:dyDescent="0.45">
      <c r="A104" t="s">
        <v>237</v>
      </c>
      <c r="B104">
        <f>credit_to_gdp_all!B104-credit_to_gdp_all!B92</f>
        <v>-2.5</v>
      </c>
      <c r="C104" s="2">
        <v>123456789</v>
      </c>
      <c r="D104" s="2">
        <v>123456789</v>
      </c>
    </row>
    <row r="105" spans="1:4" x14ac:dyDescent="0.45">
      <c r="A105" t="s">
        <v>238</v>
      </c>
      <c r="B105">
        <f>credit_to_gdp_all!B105-credit_to_gdp_all!B93</f>
        <v>-3.7999999999999972</v>
      </c>
      <c r="C105" s="2">
        <v>123456789</v>
      </c>
      <c r="D105" s="2">
        <v>123456789</v>
      </c>
    </row>
    <row r="106" spans="1:4" x14ac:dyDescent="0.45">
      <c r="A106" t="s">
        <v>239</v>
      </c>
      <c r="B106">
        <f>credit_to_gdp_all!B106-credit_to_gdp_all!B94</f>
        <v>-4</v>
      </c>
      <c r="C106" s="2">
        <v>123456789</v>
      </c>
      <c r="D106" s="2">
        <v>123456789</v>
      </c>
    </row>
    <row r="107" spans="1:4" x14ac:dyDescent="0.45">
      <c r="A107" t="s">
        <v>240</v>
      </c>
      <c r="B107">
        <f>credit_to_gdp_all!B107-credit_to_gdp_all!B95</f>
        <v>-2.8999999999999915</v>
      </c>
      <c r="C107" s="2">
        <v>123456789</v>
      </c>
      <c r="D107" s="2">
        <v>123456789</v>
      </c>
    </row>
    <row r="108" spans="1:4" x14ac:dyDescent="0.45">
      <c r="A108" t="s">
        <v>241</v>
      </c>
      <c r="B108">
        <f>credit_to_gdp_all!B108-credit_to_gdp_all!B96</f>
        <v>-3.3999999999999915</v>
      </c>
      <c r="C108" s="2">
        <v>123456789</v>
      </c>
      <c r="D108" s="2">
        <v>123456789</v>
      </c>
    </row>
    <row r="109" spans="1:4" x14ac:dyDescent="0.45">
      <c r="A109" t="s">
        <v>242</v>
      </c>
      <c r="B109">
        <f>credit_to_gdp_all!B109-credit_to_gdp_all!B97</f>
        <v>-5.5999999999999943</v>
      </c>
      <c r="C109" s="2">
        <v>123456789</v>
      </c>
      <c r="D109" s="2">
        <v>123456789</v>
      </c>
    </row>
    <row r="110" spans="1:4" x14ac:dyDescent="0.45">
      <c r="A110" t="s">
        <v>243</v>
      </c>
      <c r="B110">
        <f>credit_to_gdp_all!B110-credit_to_gdp_all!B98</f>
        <v>-3.8999999999999915</v>
      </c>
      <c r="C110" s="2">
        <v>123456789</v>
      </c>
      <c r="D110" s="2">
        <v>123456789</v>
      </c>
    </row>
    <row r="111" spans="1:4" x14ac:dyDescent="0.45">
      <c r="A111" t="s">
        <v>244</v>
      </c>
      <c r="B111">
        <f>credit_to_gdp_all!B111-credit_to_gdp_all!B99</f>
        <v>0.40000000000000568</v>
      </c>
      <c r="C111" s="2">
        <v>123456789</v>
      </c>
      <c r="D111" s="2">
        <v>123456789</v>
      </c>
    </row>
    <row r="112" spans="1:4" x14ac:dyDescent="0.45">
      <c r="A112" t="s">
        <v>245</v>
      </c>
      <c r="B112">
        <f>credit_to_gdp_all!B112-credit_to_gdp_all!B100</f>
        <v>2.5999999999999943</v>
      </c>
      <c r="C112" s="2">
        <v>123456789</v>
      </c>
      <c r="D112" s="2">
        <v>123456789</v>
      </c>
    </row>
    <row r="113" spans="1:4" x14ac:dyDescent="0.45">
      <c r="A113" t="s">
        <v>246</v>
      </c>
      <c r="B113">
        <f>credit_to_gdp_all!B113-credit_to_gdp_all!B101</f>
        <v>1.0999999999999943</v>
      </c>
      <c r="C113" s="2">
        <v>123456789</v>
      </c>
      <c r="D113" s="2">
        <v>123456789</v>
      </c>
    </row>
    <row r="114" spans="1:4" x14ac:dyDescent="0.45">
      <c r="A114" t="s">
        <v>247</v>
      </c>
      <c r="B114">
        <f>credit_to_gdp_all!B114-credit_to_gdp_all!B102</f>
        <v>3.6999999999999886</v>
      </c>
      <c r="C114" s="2">
        <v>123456789</v>
      </c>
      <c r="D114" s="2">
        <v>123456789</v>
      </c>
    </row>
    <row r="115" spans="1:4" x14ac:dyDescent="0.45">
      <c r="A115" t="s">
        <v>248</v>
      </c>
      <c r="B115">
        <f>credit_to_gdp_all!B115-credit_to_gdp_all!B103</f>
        <v>4.7000000000000028</v>
      </c>
      <c r="C115" s="2">
        <v>123456789</v>
      </c>
      <c r="D115" s="2">
        <v>123456789</v>
      </c>
    </row>
    <row r="116" spans="1:4" x14ac:dyDescent="0.45">
      <c r="A116" t="s">
        <v>249</v>
      </c>
      <c r="B116">
        <f>credit_to_gdp_all!B116-credit_to_gdp_all!B104</f>
        <v>9</v>
      </c>
      <c r="C116" s="2">
        <v>123456789</v>
      </c>
      <c r="D116" s="2">
        <v>123456789</v>
      </c>
    </row>
    <row r="117" spans="1:4" x14ac:dyDescent="0.45">
      <c r="A117" t="s">
        <v>250</v>
      </c>
      <c r="B117">
        <f>credit_to_gdp_all!B117-credit_to_gdp_all!B105</f>
        <v>8</v>
      </c>
      <c r="C117" s="2">
        <v>123456789</v>
      </c>
      <c r="D117" s="2">
        <v>123456789</v>
      </c>
    </row>
    <row r="118" spans="1:4" x14ac:dyDescent="0.45">
      <c r="A118" t="s">
        <v>251</v>
      </c>
      <c r="B118">
        <f>credit_to_gdp_all!B118-credit_to_gdp_all!B106</f>
        <v>13.899999999999991</v>
      </c>
      <c r="C118" s="2">
        <v>123456789</v>
      </c>
      <c r="D118" s="2">
        <v>123456789</v>
      </c>
    </row>
    <row r="119" spans="1:4" x14ac:dyDescent="0.45">
      <c r="A119" t="s">
        <v>252</v>
      </c>
      <c r="B119">
        <f>credit_to_gdp_all!B119-credit_to_gdp_all!B107</f>
        <v>16.099999999999994</v>
      </c>
      <c r="C119" s="2">
        <v>123456789</v>
      </c>
      <c r="D119" s="2">
        <v>123456789</v>
      </c>
    </row>
    <row r="120" spans="1:4" x14ac:dyDescent="0.45">
      <c r="A120" t="s">
        <v>253</v>
      </c>
      <c r="B120">
        <f>credit_to_gdp_all!B120-credit_to_gdp_all!B108</f>
        <v>17.299999999999997</v>
      </c>
      <c r="C120" s="2">
        <v>123456789</v>
      </c>
      <c r="D120" s="2">
        <v>123456789</v>
      </c>
    </row>
    <row r="121" spans="1:4" x14ac:dyDescent="0.45">
      <c r="A121" t="s">
        <v>254</v>
      </c>
      <c r="B121">
        <f>credit_to_gdp_all!B121-credit_to_gdp_all!B109</f>
        <v>19.999999999999986</v>
      </c>
      <c r="C121" s="2">
        <v>123456789</v>
      </c>
      <c r="D121" s="2">
        <v>123456789</v>
      </c>
    </row>
    <row r="122" spans="1:4" x14ac:dyDescent="0.45">
      <c r="A122" t="s">
        <v>255</v>
      </c>
      <c r="B122">
        <f>credit_to_gdp_all!B122-credit_to_gdp_all!B110</f>
        <v>21.899999999999991</v>
      </c>
      <c r="C122" s="2">
        <v>123456789</v>
      </c>
      <c r="D122" s="2">
        <v>123456789</v>
      </c>
    </row>
    <row r="123" spans="1:4" x14ac:dyDescent="0.45">
      <c r="A123" t="s">
        <v>256</v>
      </c>
      <c r="B123">
        <f>credit_to_gdp_all!B123-credit_to_gdp_all!B111</f>
        <v>23.5</v>
      </c>
      <c r="C123" s="2">
        <v>123456789</v>
      </c>
      <c r="D123" s="2">
        <v>123456789</v>
      </c>
    </row>
    <row r="124" spans="1:4" x14ac:dyDescent="0.45">
      <c r="A124" t="s">
        <v>257</v>
      </c>
      <c r="B124">
        <f>credit_to_gdp_all!B124-credit_to_gdp_all!B112</f>
        <v>23.099999999999994</v>
      </c>
      <c r="C124" s="2">
        <v>123456789</v>
      </c>
      <c r="D124" s="2">
        <v>123456789</v>
      </c>
    </row>
    <row r="125" spans="1:4" x14ac:dyDescent="0.45">
      <c r="A125" t="s">
        <v>258</v>
      </c>
      <c r="B125">
        <f>credit_to_gdp_all!B125-credit_to_gdp_all!B113</f>
        <v>24</v>
      </c>
      <c r="C125" s="2">
        <v>123456789</v>
      </c>
      <c r="D125" s="2">
        <v>123456789</v>
      </c>
    </row>
    <row r="126" spans="1:4" x14ac:dyDescent="0.45">
      <c r="A126" t="s">
        <v>259</v>
      </c>
      <c r="B126">
        <f>credit_to_gdp_all!B126-credit_to_gdp_all!B114</f>
        <v>26</v>
      </c>
      <c r="C126" s="2">
        <v>123456789</v>
      </c>
      <c r="D126" s="2">
        <v>123456789</v>
      </c>
    </row>
    <row r="127" spans="1:4" x14ac:dyDescent="0.45">
      <c r="A127" t="s">
        <v>260</v>
      </c>
      <c r="B127">
        <f>credit_to_gdp_all!B127-credit_to_gdp_all!B115</f>
        <v>25.200000000000003</v>
      </c>
      <c r="C127" s="2">
        <v>123456789</v>
      </c>
      <c r="D127" s="2">
        <v>123456789</v>
      </c>
    </row>
    <row r="128" spans="1:4" x14ac:dyDescent="0.45">
      <c r="A128" t="s">
        <v>261</v>
      </c>
      <c r="B128">
        <f>credit_to_gdp_all!B128-credit_to_gdp_all!B116</f>
        <v>22.799999999999983</v>
      </c>
      <c r="C128" s="2">
        <v>123456789</v>
      </c>
      <c r="D128" s="2">
        <v>123456789</v>
      </c>
    </row>
    <row r="129" spans="1:4" x14ac:dyDescent="0.45">
      <c r="A129" t="s">
        <v>262</v>
      </c>
      <c r="B129">
        <f>credit_to_gdp_all!B129-credit_to_gdp_all!B117</f>
        <v>24.400000000000006</v>
      </c>
      <c r="C129" s="2">
        <v>123456789</v>
      </c>
      <c r="D129" s="2">
        <v>123456789</v>
      </c>
    </row>
    <row r="130" spans="1:4" x14ac:dyDescent="0.45">
      <c r="A130" t="s">
        <v>263</v>
      </c>
      <c r="B130">
        <f>credit_to_gdp_all!B130-credit_to_gdp_all!B118</f>
        <v>23.400000000000006</v>
      </c>
      <c r="C130" s="2">
        <v>123456789</v>
      </c>
      <c r="D130" s="2">
        <v>123456789</v>
      </c>
    </row>
    <row r="131" spans="1:4" x14ac:dyDescent="0.45">
      <c r="A131" t="s">
        <v>264</v>
      </c>
      <c r="B131">
        <f>credit_to_gdp_all!B131-credit_to_gdp_all!B119</f>
        <v>23.299999999999997</v>
      </c>
      <c r="C131" s="2">
        <v>123456789</v>
      </c>
      <c r="D131" s="2">
        <v>123456789</v>
      </c>
    </row>
    <row r="132" spans="1:4" x14ac:dyDescent="0.45">
      <c r="A132" t="s">
        <v>265</v>
      </c>
      <c r="B132">
        <f>credit_to_gdp_all!B132-credit_to_gdp_all!B120</f>
        <v>27.799999999999997</v>
      </c>
      <c r="C132" s="2">
        <v>123456789</v>
      </c>
      <c r="D132" s="2">
        <v>123456789</v>
      </c>
    </row>
    <row r="133" spans="1:4" x14ac:dyDescent="0.45">
      <c r="A133" t="s">
        <v>266</v>
      </c>
      <c r="B133">
        <f>credit_to_gdp_all!B133-credit_to_gdp_all!B121</f>
        <v>25.700000000000017</v>
      </c>
      <c r="C133" s="2">
        <v>123456789</v>
      </c>
      <c r="D133" s="2">
        <v>123456789</v>
      </c>
    </row>
    <row r="134" spans="1:4" x14ac:dyDescent="0.45">
      <c r="A134" t="s">
        <v>267</v>
      </c>
      <c r="B134">
        <f>credit_to_gdp_all!B134-credit_to_gdp_all!B122</f>
        <v>21.900000000000006</v>
      </c>
      <c r="C134" s="2">
        <v>123456789</v>
      </c>
      <c r="D134" s="2">
        <v>123456789</v>
      </c>
    </row>
    <row r="135" spans="1:4" x14ac:dyDescent="0.45">
      <c r="A135" t="s">
        <v>268</v>
      </c>
      <c r="B135">
        <f>credit_to_gdp_all!B135-credit_to_gdp_all!B123</f>
        <v>20.699999999999989</v>
      </c>
      <c r="C135" s="2">
        <v>123456789</v>
      </c>
      <c r="D135" s="2">
        <v>123456789</v>
      </c>
    </row>
    <row r="136" spans="1:4" x14ac:dyDescent="0.45">
      <c r="A136" t="s">
        <v>269</v>
      </c>
      <c r="B136">
        <f>credit_to_gdp_all!B136-credit_to_gdp_all!B124</f>
        <v>19.5</v>
      </c>
      <c r="C136" s="2">
        <v>123456789</v>
      </c>
      <c r="D136" s="2">
        <v>123456789</v>
      </c>
    </row>
    <row r="137" spans="1:4" x14ac:dyDescent="0.45">
      <c r="A137" t="s">
        <v>270</v>
      </c>
      <c r="B137">
        <f>credit_to_gdp_all!B137-credit_to_gdp_all!B125</f>
        <v>18.599999999999994</v>
      </c>
      <c r="C137" s="2">
        <v>123456789</v>
      </c>
      <c r="D137" s="2">
        <v>123456789</v>
      </c>
    </row>
    <row r="138" spans="1:4" x14ac:dyDescent="0.45">
      <c r="A138" t="s">
        <v>271</v>
      </c>
      <c r="B138">
        <f>credit_to_gdp_all!B138-credit_to_gdp_all!B126</f>
        <v>14.800000000000011</v>
      </c>
      <c r="C138" s="2">
        <v>123456789</v>
      </c>
      <c r="D138" s="2">
        <v>123456789</v>
      </c>
    </row>
    <row r="139" spans="1:4" x14ac:dyDescent="0.45">
      <c r="A139" t="s">
        <v>272</v>
      </c>
      <c r="B139">
        <f>credit_to_gdp_all!B139-credit_to_gdp_all!B127</f>
        <v>14.5</v>
      </c>
      <c r="C139" s="2">
        <v>123456789</v>
      </c>
      <c r="D139" s="2">
        <v>123456789</v>
      </c>
    </row>
    <row r="140" spans="1:4" x14ac:dyDescent="0.45">
      <c r="A140" t="s">
        <v>273</v>
      </c>
      <c r="B140">
        <f>credit_to_gdp_all!B140-credit_to_gdp_all!B128</f>
        <v>15.600000000000023</v>
      </c>
      <c r="C140" s="2">
        <v>123456789</v>
      </c>
      <c r="D140" s="2">
        <v>123456789</v>
      </c>
    </row>
    <row r="141" spans="1:4" x14ac:dyDescent="0.45">
      <c r="A141" t="s">
        <v>274</v>
      </c>
      <c r="B141">
        <f>credit_to_gdp_all!B141-credit_to_gdp_all!B129</f>
        <v>13.799999999999983</v>
      </c>
      <c r="C141" s="2">
        <v>123456789</v>
      </c>
      <c r="D141" s="2">
        <v>123456789</v>
      </c>
    </row>
    <row r="142" spans="1:4" x14ac:dyDescent="0.45">
      <c r="A142" t="s">
        <v>275</v>
      </c>
      <c r="B142">
        <f>credit_to_gdp_all!B142-credit_to_gdp_all!B130</f>
        <v>12.199999999999989</v>
      </c>
      <c r="C142" s="2">
        <v>123456789</v>
      </c>
      <c r="D142" s="2">
        <v>123456789</v>
      </c>
    </row>
    <row r="143" spans="1:4" x14ac:dyDescent="0.45">
      <c r="A143" t="s">
        <v>276</v>
      </c>
      <c r="B143">
        <f>credit_to_gdp_all!B143-credit_to_gdp_all!B131</f>
        <v>13.300000000000011</v>
      </c>
      <c r="C143" s="2">
        <v>123456789</v>
      </c>
      <c r="D143" s="2">
        <v>123456789</v>
      </c>
    </row>
    <row r="144" spans="1:4" x14ac:dyDescent="0.45">
      <c r="A144" t="s">
        <v>277</v>
      </c>
      <c r="B144">
        <f>credit_to_gdp_all!B144-credit_to_gdp_all!B132</f>
        <v>9.8000000000000114</v>
      </c>
      <c r="C144" s="2">
        <v>123456789</v>
      </c>
      <c r="D144" s="2">
        <v>123456789</v>
      </c>
    </row>
    <row r="145" spans="1:4" x14ac:dyDescent="0.45">
      <c r="A145" t="s">
        <v>278</v>
      </c>
      <c r="B145">
        <f>credit_to_gdp_all!B145-credit_to_gdp_all!B133</f>
        <v>11.299999999999983</v>
      </c>
      <c r="C145" s="2">
        <v>123456789</v>
      </c>
      <c r="D145" s="2">
        <v>123456789</v>
      </c>
    </row>
    <row r="146" spans="1:4" x14ac:dyDescent="0.45">
      <c r="A146" t="s">
        <v>279</v>
      </c>
      <c r="B146">
        <f>credit_to_gdp_all!B146-credit_to_gdp_all!B134</f>
        <v>14.5</v>
      </c>
      <c r="C146" s="2">
        <v>123456789</v>
      </c>
      <c r="D146" s="2">
        <v>123456789</v>
      </c>
    </row>
    <row r="147" spans="1:4" x14ac:dyDescent="0.45">
      <c r="A147" t="s">
        <v>280</v>
      </c>
      <c r="B147">
        <f>credit_to_gdp_all!B147-credit_to_gdp_all!B135</f>
        <v>14.600000000000023</v>
      </c>
      <c r="C147" s="2">
        <v>123456789</v>
      </c>
      <c r="D147" s="2">
        <v>123456789</v>
      </c>
    </row>
    <row r="148" spans="1:4" x14ac:dyDescent="0.45">
      <c r="A148" t="s">
        <v>281</v>
      </c>
      <c r="B148">
        <f>credit_to_gdp_all!B148-credit_to_gdp_all!B136</f>
        <v>17.5</v>
      </c>
      <c r="C148" s="2">
        <v>123456789</v>
      </c>
      <c r="D148" s="2">
        <v>123456789</v>
      </c>
    </row>
    <row r="149" spans="1:4" x14ac:dyDescent="0.45">
      <c r="A149" t="s">
        <v>282</v>
      </c>
      <c r="B149">
        <f>credit_to_gdp_all!B149-credit_to_gdp_all!B137</f>
        <v>17.599999999999994</v>
      </c>
      <c r="C149" s="2">
        <v>123456789</v>
      </c>
      <c r="D149" s="2">
        <v>123456789</v>
      </c>
    </row>
    <row r="150" spans="1:4" x14ac:dyDescent="0.45">
      <c r="A150" t="s">
        <v>283</v>
      </c>
      <c r="B150">
        <f>credit_to_gdp_all!B150-credit_to_gdp_all!B138</f>
        <v>16.299999999999983</v>
      </c>
      <c r="C150" s="2">
        <v>123456789</v>
      </c>
      <c r="D150" s="2">
        <v>123456789</v>
      </c>
    </row>
    <row r="151" spans="1:4" x14ac:dyDescent="0.45">
      <c r="A151" t="s">
        <v>284</v>
      </c>
      <c r="B151">
        <f>credit_to_gdp_all!B151-credit_to_gdp_all!B139</f>
        <v>16.5</v>
      </c>
      <c r="C151" s="2">
        <v>123456789</v>
      </c>
      <c r="D151" s="2">
        <v>123456789</v>
      </c>
    </row>
    <row r="152" spans="1:4" x14ac:dyDescent="0.45">
      <c r="A152" t="s">
        <v>285</v>
      </c>
      <c r="B152">
        <f>credit_to_gdp_all!B152-credit_to_gdp_all!B140</f>
        <v>17.299999999999983</v>
      </c>
      <c r="C152" s="2">
        <v>123456789</v>
      </c>
      <c r="D152" s="2">
        <v>123456789</v>
      </c>
    </row>
    <row r="153" spans="1:4" x14ac:dyDescent="0.45">
      <c r="A153" t="s">
        <v>286</v>
      </c>
      <c r="B153">
        <f>credit_to_gdp_all!B153-credit_to_gdp_all!B141</f>
        <v>17.800000000000011</v>
      </c>
      <c r="C153" s="2">
        <v>123456789</v>
      </c>
      <c r="D153" s="2">
        <v>123456789</v>
      </c>
    </row>
    <row r="154" spans="1:4" x14ac:dyDescent="0.45">
      <c r="A154" t="s">
        <v>287</v>
      </c>
      <c r="B154">
        <f>credit_to_gdp_all!B154-credit_to_gdp_all!B142</f>
        <v>20.200000000000017</v>
      </c>
      <c r="C154" s="2">
        <v>123456789</v>
      </c>
      <c r="D154" s="2">
        <v>123456789</v>
      </c>
    </row>
    <row r="155" spans="1:4" x14ac:dyDescent="0.45">
      <c r="A155" t="s">
        <v>288</v>
      </c>
      <c r="B155">
        <f>credit_to_gdp_all!B155-credit_to_gdp_all!B143</f>
        <v>16</v>
      </c>
      <c r="C155" s="2">
        <v>123456789</v>
      </c>
      <c r="D155" s="2">
        <v>123456789</v>
      </c>
    </row>
    <row r="156" spans="1:4" x14ac:dyDescent="0.45">
      <c r="A156" t="s">
        <v>289</v>
      </c>
      <c r="B156">
        <f>credit_to_gdp_all!B156-credit_to_gdp_all!B144</f>
        <v>14.899999999999977</v>
      </c>
      <c r="C156" s="2">
        <v>123456789</v>
      </c>
      <c r="D156" s="2">
        <v>123456789</v>
      </c>
    </row>
    <row r="157" spans="1:4" x14ac:dyDescent="0.45">
      <c r="A157" t="s">
        <v>290</v>
      </c>
      <c r="B157">
        <f>credit_to_gdp_all!B157-credit_to_gdp_all!B145</f>
        <v>19.600000000000023</v>
      </c>
      <c r="C157" s="2">
        <v>123456789</v>
      </c>
      <c r="D157" s="2">
        <v>123456789</v>
      </c>
    </row>
    <row r="158" spans="1:4" x14ac:dyDescent="0.45">
      <c r="A158" t="s">
        <v>291</v>
      </c>
      <c r="B158">
        <f>credit_to_gdp_all!B158-credit_to_gdp_all!B146</f>
        <v>18.5</v>
      </c>
      <c r="C158" s="2">
        <v>123456789</v>
      </c>
      <c r="D158" s="2">
        <v>123456789</v>
      </c>
    </row>
    <row r="159" spans="1:4" x14ac:dyDescent="0.45">
      <c r="A159" t="s">
        <v>292</v>
      </c>
      <c r="B159">
        <f>credit_to_gdp_all!B159-credit_to_gdp_all!B147</f>
        <v>12.799999999999983</v>
      </c>
      <c r="C159" s="2">
        <v>123456789</v>
      </c>
      <c r="D159" s="2">
        <v>123456789</v>
      </c>
    </row>
    <row r="160" spans="1:4" x14ac:dyDescent="0.45">
      <c r="A160" t="s">
        <v>293</v>
      </c>
      <c r="B160">
        <f>credit_to_gdp_all!B160-credit_to_gdp_all!B148</f>
        <v>13.100000000000023</v>
      </c>
      <c r="C160" s="2">
        <v>123456789</v>
      </c>
      <c r="D160" s="2">
        <v>123456789</v>
      </c>
    </row>
    <row r="161" spans="1:4" x14ac:dyDescent="0.45">
      <c r="A161" t="s">
        <v>294</v>
      </c>
      <c r="B161">
        <f>credit_to_gdp_all!B161-credit_to_gdp_all!B149</f>
        <v>13</v>
      </c>
      <c r="C161" s="2">
        <v>123456789</v>
      </c>
      <c r="D161" s="2">
        <v>123456789</v>
      </c>
    </row>
    <row r="162" spans="1:4" x14ac:dyDescent="0.45">
      <c r="A162" t="s">
        <v>295</v>
      </c>
      <c r="B162">
        <f>credit_to_gdp_all!B162-credit_to_gdp_all!B150</f>
        <v>15.600000000000023</v>
      </c>
      <c r="C162" s="2">
        <v>123456789</v>
      </c>
      <c r="D162" s="2">
        <v>123456789</v>
      </c>
    </row>
    <row r="163" spans="1:4" x14ac:dyDescent="0.45">
      <c r="A163" t="s">
        <v>296</v>
      </c>
      <c r="B163">
        <f>credit_to_gdp_all!B163-credit_to_gdp_all!B151</f>
        <v>11</v>
      </c>
      <c r="C163" s="2">
        <v>123456789</v>
      </c>
      <c r="D163" s="2">
        <v>123456789</v>
      </c>
    </row>
    <row r="164" spans="1:4" x14ac:dyDescent="0.45">
      <c r="A164" t="s">
        <v>297</v>
      </c>
      <c r="B164">
        <f>credit_to_gdp_all!B164-credit_to_gdp_all!B152</f>
        <v>7.2000000000000171</v>
      </c>
      <c r="C164" s="2">
        <v>123456789</v>
      </c>
      <c r="D164" s="2">
        <v>123456789</v>
      </c>
    </row>
    <row r="165" spans="1:4" x14ac:dyDescent="0.45">
      <c r="A165" t="s">
        <v>298</v>
      </c>
      <c r="B165">
        <f>credit_to_gdp_all!B165-credit_to_gdp_all!B153</f>
        <v>1</v>
      </c>
      <c r="C165" s="2">
        <v>123456789</v>
      </c>
      <c r="D165" s="2">
        <v>123456789</v>
      </c>
    </row>
    <row r="166" spans="1:4" x14ac:dyDescent="0.45">
      <c r="A166" t="s">
        <v>299</v>
      </c>
      <c r="B166">
        <f>credit_to_gdp_all!B166-credit_to_gdp_all!B154</f>
        <v>-3.2000000000000171</v>
      </c>
      <c r="C166" s="2">
        <v>123456789</v>
      </c>
      <c r="D166" s="2">
        <v>123456789</v>
      </c>
    </row>
    <row r="167" spans="1:4" x14ac:dyDescent="0.45">
      <c r="A167" t="s">
        <v>300</v>
      </c>
      <c r="B167">
        <f>credit_to_gdp_all!B167-credit_to_gdp_all!B155</f>
        <v>-3.3000000000000114</v>
      </c>
      <c r="C167" s="2">
        <v>123456789</v>
      </c>
      <c r="D167" s="2">
        <v>123456789</v>
      </c>
    </row>
    <row r="168" spans="1:4" x14ac:dyDescent="0.45">
      <c r="A168" t="s">
        <v>301</v>
      </c>
      <c r="B168">
        <f>credit_to_gdp_all!B168-credit_to_gdp_all!B156</f>
        <v>-5.0999999999999943</v>
      </c>
      <c r="C168" s="2">
        <v>123456789</v>
      </c>
      <c r="D168" s="2">
        <v>123456789</v>
      </c>
    </row>
    <row r="169" spans="1:4" x14ac:dyDescent="0.45">
      <c r="A169" t="s">
        <v>302</v>
      </c>
      <c r="B169">
        <f>credit_to_gdp_all!B169-credit_to_gdp_all!B157</f>
        <v>-12.800000000000011</v>
      </c>
      <c r="C169" s="2">
        <v>123456789</v>
      </c>
      <c r="D169" s="2">
        <v>123456789</v>
      </c>
    </row>
    <row r="170" spans="1:4" x14ac:dyDescent="0.45">
      <c r="A170" t="s">
        <v>303</v>
      </c>
      <c r="B170">
        <f>credit_to_gdp_all!B170-credit_to_gdp_all!B158</f>
        <v>-10.400000000000006</v>
      </c>
      <c r="C170" s="2">
        <v>123456789</v>
      </c>
      <c r="D170" s="2">
        <v>123456789</v>
      </c>
    </row>
    <row r="171" spans="1:4" x14ac:dyDescent="0.45">
      <c r="A171" t="s">
        <v>304</v>
      </c>
      <c r="B171">
        <f>credit_to_gdp_all!B171-credit_to_gdp_all!B159</f>
        <v>-6.0999999999999943</v>
      </c>
      <c r="C171" s="2">
        <v>123456789</v>
      </c>
      <c r="D171" s="2">
        <v>123456789</v>
      </c>
    </row>
    <row r="172" spans="1:4" x14ac:dyDescent="0.45">
      <c r="A172" t="s">
        <v>305</v>
      </c>
      <c r="B172">
        <f>credit_to_gdp_all!B172-credit_to_gdp_all!B160</f>
        <v>-9.8000000000000114</v>
      </c>
      <c r="C172" s="2">
        <v>123456789</v>
      </c>
      <c r="D172" s="2">
        <v>123456789</v>
      </c>
    </row>
    <row r="173" spans="1:4" x14ac:dyDescent="0.45">
      <c r="A173" t="s">
        <v>306</v>
      </c>
      <c r="B173">
        <f>credit_to_gdp_all!B173-credit_to_gdp_all!B161</f>
        <v>-12.099999999999994</v>
      </c>
      <c r="C173" s="2">
        <v>123456789</v>
      </c>
      <c r="D173" s="2">
        <v>123456789</v>
      </c>
    </row>
    <row r="174" spans="1:4" x14ac:dyDescent="0.45">
      <c r="A174" t="s">
        <v>307</v>
      </c>
      <c r="B174">
        <f>credit_to_gdp_all!B174-credit_to_gdp_all!B162</f>
        <v>-15.400000000000006</v>
      </c>
      <c r="C174" s="2">
        <v>123456789</v>
      </c>
      <c r="D174" s="2">
        <v>123456789</v>
      </c>
    </row>
    <row r="175" spans="1:4" x14ac:dyDescent="0.45">
      <c r="A175" t="s">
        <v>308</v>
      </c>
      <c r="B175">
        <f>credit_to_gdp_all!B175-credit_to_gdp_all!B163</f>
        <v>-10.200000000000017</v>
      </c>
      <c r="C175" s="2">
        <v>123456789</v>
      </c>
      <c r="D175" s="2">
        <v>123456789</v>
      </c>
    </row>
    <row r="176" spans="1:4" x14ac:dyDescent="0.45">
      <c r="A176" t="s">
        <v>309</v>
      </c>
      <c r="B176">
        <f>credit_to_gdp_all!B176-credit_to_gdp_all!B164</f>
        <v>-12.100000000000023</v>
      </c>
      <c r="C176" s="2">
        <v>123456789</v>
      </c>
      <c r="D176" s="2">
        <v>123456789</v>
      </c>
    </row>
    <row r="177" spans="1:4" x14ac:dyDescent="0.45">
      <c r="A177" t="s">
        <v>310</v>
      </c>
      <c r="B177">
        <f>credit_to_gdp_all!B177-credit_to_gdp_all!B165</f>
        <v>-9.5</v>
      </c>
      <c r="C177" s="2">
        <v>123456789</v>
      </c>
      <c r="D177" s="2">
        <v>123456789</v>
      </c>
    </row>
    <row r="178" spans="1:4" x14ac:dyDescent="0.45">
      <c r="A178" t="s">
        <v>311</v>
      </c>
      <c r="B178">
        <f>credit_to_gdp_all!B178-credit_to_gdp_all!B166</f>
        <v>-11</v>
      </c>
      <c r="C178" s="2">
        <v>123456789</v>
      </c>
      <c r="D178" s="2">
        <v>123456789</v>
      </c>
    </row>
    <row r="179" spans="1:4" x14ac:dyDescent="0.45">
      <c r="A179" t="s">
        <v>312</v>
      </c>
      <c r="B179">
        <f>credit_to_gdp_all!B179-credit_to_gdp_all!B167</f>
        <v>-12.5</v>
      </c>
      <c r="C179" s="2">
        <v>123456789</v>
      </c>
      <c r="D179" s="2">
        <v>123456789</v>
      </c>
    </row>
    <row r="180" spans="1:4" x14ac:dyDescent="0.45">
      <c r="A180" t="s">
        <v>313</v>
      </c>
      <c r="B180">
        <f>credit_to_gdp_all!B180-credit_to_gdp_all!B168</f>
        <v>-12.699999999999989</v>
      </c>
      <c r="C180" s="2">
        <v>123456789</v>
      </c>
      <c r="D180" s="2">
        <v>123456789</v>
      </c>
    </row>
    <row r="181" spans="1:4" x14ac:dyDescent="0.45">
      <c r="A181" t="s">
        <v>314</v>
      </c>
      <c r="B181">
        <f>credit_to_gdp_all!B181-credit_to_gdp_all!B169</f>
        <v>-12.5</v>
      </c>
      <c r="C181" s="2">
        <v>123456789</v>
      </c>
      <c r="D181" s="2">
        <v>123456789</v>
      </c>
    </row>
    <row r="182" spans="1:4" x14ac:dyDescent="0.45">
      <c r="A182" t="s">
        <v>315</v>
      </c>
      <c r="B182">
        <f>credit_to_gdp_all!B182-credit_to_gdp_all!B170</f>
        <v>-14.199999999999989</v>
      </c>
      <c r="C182" s="2">
        <v>123456789</v>
      </c>
      <c r="D182" s="2">
        <v>123456789</v>
      </c>
    </row>
    <row r="183" spans="1:4" x14ac:dyDescent="0.45">
      <c r="A183" t="s">
        <v>316</v>
      </c>
      <c r="B183">
        <f>credit_to_gdp_all!B183-credit_to_gdp_all!B171</f>
        <v>-18.5</v>
      </c>
      <c r="C183" s="2">
        <v>123456789</v>
      </c>
      <c r="D183" s="2">
        <v>123456789</v>
      </c>
    </row>
    <row r="184" spans="1:4" x14ac:dyDescent="0.45">
      <c r="A184" t="s">
        <v>317</v>
      </c>
      <c r="B184">
        <f>credit_to_gdp_all!B184-credit_to_gdp_all!B172</f>
        <v>-18.099999999999994</v>
      </c>
      <c r="C184" s="2">
        <v>123456789</v>
      </c>
      <c r="D184" s="2">
        <v>123456789</v>
      </c>
    </row>
    <row r="185" spans="1:4" x14ac:dyDescent="0.45">
      <c r="A185" t="s">
        <v>318</v>
      </c>
      <c r="B185">
        <f>credit_to_gdp_all!B185-credit_to_gdp_all!B173</f>
        <v>-15.299999999999983</v>
      </c>
      <c r="C185" s="2">
        <v>123456789</v>
      </c>
      <c r="D185" s="2">
        <v>123456789</v>
      </c>
    </row>
    <row r="186" spans="1:4" x14ac:dyDescent="0.45">
      <c r="A186" t="s">
        <v>319</v>
      </c>
      <c r="B186">
        <f>credit_to_gdp_all!B186-credit_to_gdp_all!B174</f>
        <v>-12.5</v>
      </c>
      <c r="C186" s="2">
        <v>123456789</v>
      </c>
      <c r="D186" s="2">
        <v>123456789</v>
      </c>
    </row>
    <row r="187" spans="1:4" x14ac:dyDescent="0.45">
      <c r="A187" t="s">
        <v>320</v>
      </c>
      <c r="B187">
        <f>credit_to_gdp_all!B187-credit_to_gdp_all!B175</f>
        <v>-10.399999999999977</v>
      </c>
      <c r="C187" s="2">
        <v>123456789</v>
      </c>
      <c r="D187" s="2">
        <v>123456789</v>
      </c>
    </row>
    <row r="188" spans="1:4" x14ac:dyDescent="0.45">
      <c r="A188" t="s">
        <v>321</v>
      </c>
      <c r="B188">
        <f>credit_to_gdp_all!B188-credit_to_gdp_all!B176</f>
        <v>-5.6999999999999886</v>
      </c>
      <c r="C188" s="2">
        <v>123456789</v>
      </c>
      <c r="D188" s="2">
        <v>123456789</v>
      </c>
    </row>
    <row r="189" spans="1:4" x14ac:dyDescent="0.45">
      <c r="A189" t="s">
        <v>322</v>
      </c>
      <c r="B189">
        <f>credit_to_gdp_all!B189-credit_to_gdp_all!B177</f>
        <v>-4.1999999999999886</v>
      </c>
      <c r="C189" s="2">
        <v>123456789</v>
      </c>
      <c r="D189" s="2">
        <v>123456789</v>
      </c>
    </row>
    <row r="190" spans="1:4" x14ac:dyDescent="0.45">
      <c r="A190" t="s">
        <v>323</v>
      </c>
      <c r="B190">
        <f>credit_to_gdp_all!B190-credit_to_gdp_all!B178</f>
        <v>-0.89999999999997726</v>
      </c>
      <c r="C190" s="2">
        <v>123456789</v>
      </c>
      <c r="D190" s="2">
        <v>123456789</v>
      </c>
    </row>
    <row r="191" spans="1:4" x14ac:dyDescent="0.45">
      <c r="A191" t="s">
        <v>324</v>
      </c>
      <c r="B191">
        <f>credit_to_gdp_all!B191-credit_to_gdp_all!B179</f>
        <v>-0.29999999999998295</v>
      </c>
      <c r="C191" s="2">
        <v>123456789</v>
      </c>
      <c r="D191" s="2">
        <v>123456789</v>
      </c>
    </row>
    <row r="192" spans="1:4" x14ac:dyDescent="0.45">
      <c r="A192" t="s">
        <v>325</v>
      </c>
      <c r="B192">
        <f>credit_to_gdp_all!B192-credit_to_gdp_all!B180</f>
        <v>1.5999999999999943</v>
      </c>
      <c r="C192" s="2">
        <v>123456789</v>
      </c>
      <c r="D192" s="2">
        <v>123456789</v>
      </c>
    </row>
    <row r="193" spans="1:4" x14ac:dyDescent="0.45">
      <c r="A193" t="s">
        <v>326</v>
      </c>
      <c r="B193">
        <f>credit_to_gdp_all!B193-credit_to_gdp_all!B181</f>
        <v>3.6999999999999886</v>
      </c>
      <c r="C193" s="2">
        <v>123456789</v>
      </c>
      <c r="D193" s="2">
        <v>123456789</v>
      </c>
    </row>
    <row r="194" spans="1:4" x14ac:dyDescent="0.45">
      <c r="A194" t="s">
        <v>327</v>
      </c>
      <c r="B194">
        <f>credit_to_gdp_all!B194-credit_to_gdp_all!B182</f>
        <v>0.90000000000000568</v>
      </c>
      <c r="C194" s="2">
        <v>123456789</v>
      </c>
      <c r="D194" s="2">
        <v>123456789</v>
      </c>
    </row>
    <row r="195" spans="1:4" x14ac:dyDescent="0.45">
      <c r="A195" t="s">
        <v>328</v>
      </c>
      <c r="B195">
        <f>credit_to_gdp_all!B195-credit_to_gdp_all!B183</f>
        <v>3.5999999999999943</v>
      </c>
      <c r="C195" s="2">
        <v>123456789</v>
      </c>
      <c r="D195" s="2">
        <v>123456789</v>
      </c>
    </row>
    <row r="196" spans="1:4" x14ac:dyDescent="0.45">
      <c r="A196" t="s">
        <v>329</v>
      </c>
      <c r="B196">
        <f>credit_to_gdp_all!B196-credit_to_gdp_all!B184</f>
        <v>1.6999999999999886</v>
      </c>
      <c r="C196" s="2">
        <v>123456789</v>
      </c>
      <c r="D196" s="2">
        <v>123456789</v>
      </c>
    </row>
    <row r="197" spans="1:4" x14ac:dyDescent="0.45">
      <c r="A197" t="s">
        <v>330</v>
      </c>
      <c r="B197">
        <f>credit_to_gdp_all!B197-credit_to_gdp_all!B185</f>
        <v>0.69999999999998863</v>
      </c>
      <c r="C197" s="2">
        <v>123456789</v>
      </c>
      <c r="D197" s="2">
        <v>123456789</v>
      </c>
    </row>
    <row r="198" spans="1:4" x14ac:dyDescent="0.45">
      <c r="A198" t="s">
        <v>331</v>
      </c>
      <c r="B198">
        <f>credit_to_gdp_all!B198-credit_to_gdp_all!B186</f>
        <v>-2.3000000000000114</v>
      </c>
      <c r="C198" s="2">
        <v>123456789</v>
      </c>
      <c r="D198" s="2">
        <v>123456789</v>
      </c>
    </row>
    <row r="199" spans="1:4" x14ac:dyDescent="0.45">
      <c r="A199" t="s">
        <v>332</v>
      </c>
      <c r="B199">
        <f>credit_to_gdp_all!B199-credit_to_gdp_all!B187</f>
        <v>-4.4000000000000057</v>
      </c>
      <c r="C199" s="2">
        <v>123456789</v>
      </c>
      <c r="D199" s="2">
        <v>123456789</v>
      </c>
    </row>
    <row r="200" spans="1:4" x14ac:dyDescent="0.45">
      <c r="A200" t="s">
        <v>333</v>
      </c>
      <c r="B200">
        <f>credit_to_gdp_all!B200-credit_to_gdp_all!B188</f>
        <v>-5.3000000000000114</v>
      </c>
      <c r="C200" s="2">
        <v>123456789</v>
      </c>
      <c r="D200" s="2">
        <v>123456789</v>
      </c>
    </row>
    <row r="201" spans="1:4" x14ac:dyDescent="0.45">
      <c r="A201" t="s">
        <v>334</v>
      </c>
      <c r="B201">
        <f>credit_to_gdp_all!B201-credit_to_gdp_all!B189</f>
        <v>-6.3000000000000114</v>
      </c>
      <c r="C201" s="2">
        <v>123456789</v>
      </c>
      <c r="D201" s="2">
        <v>123456789</v>
      </c>
    </row>
    <row r="202" spans="1:4" x14ac:dyDescent="0.45">
      <c r="A202" t="s">
        <v>335</v>
      </c>
      <c r="B202">
        <f>credit_to_gdp_all!B202-credit_to_gdp_all!B190</f>
        <v>-3.4000000000000057</v>
      </c>
      <c r="C202" s="2">
        <v>123456789</v>
      </c>
      <c r="D202" s="2">
        <v>123456789</v>
      </c>
    </row>
    <row r="203" spans="1:4" x14ac:dyDescent="0.45">
      <c r="A203" t="s">
        <v>336</v>
      </c>
      <c r="B203">
        <f>credit_to_gdp_all!B203-credit_to_gdp_all!B191</f>
        <v>7.0999999999999943</v>
      </c>
      <c r="C203" s="2">
        <v>123456789</v>
      </c>
      <c r="D203" s="2">
        <v>123456789</v>
      </c>
    </row>
    <row r="204" spans="1:4" x14ac:dyDescent="0.45">
      <c r="A204" t="s">
        <v>337</v>
      </c>
      <c r="B204">
        <f>credit_to_gdp_all!B204-credit_to_gdp_all!B192</f>
        <v>10</v>
      </c>
      <c r="C204" s="2">
        <v>123456789</v>
      </c>
      <c r="D204" s="2">
        <v>123456789</v>
      </c>
    </row>
    <row r="205" spans="1:4" x14ac:dyDescent="0.45">
      <c r="A205" t="s">
        <v>338</v>
      </c>
      <c r="B205">
        <f>credit_to_gdp_all!B205-credit_to_gdp_all!B193</f>
        <v>13</v>
      </c>
      <c r="C205" s="2">
        <v>123456789</v>
      </c>
      <c r="D205" s="2">
        <v>123456789</v>
      </c>
    </row>
    <row r="206" spans="1:4" x14ac:dyDescent="0.45">
      <c r="A206" t="s">
        <v>339</v>
      </c>
      <c r="B206">
        <f>credit_to_gdp_all!B206-credit_to_gdp_all!B194</f>
        <v>16.299999999999983</v>
      </c>
      <c r="C206" s="2">
        <v>123456789</v>
      </c>
      <c r="D206" s="2">
        <v>123456789</v>
      </c>
    </row>
    <row r="207" spans="1:4" x14ac:dyDescent="0.45">
      <c r="A207" t="s">
        <v>340</v>
      </c>
      <c r="B207">
        <f>credit_to_gdp_all!B207-credit_to_gdp_all!B195</f>
        <v>11.900000000000006</v>
      </c>
      <c r="C207" s="2">
        <v>123456789</v>
      </c>
      <c r="D207" s="2">
        <v>123456789</v>
      </c>
    </row>
    <row r="208" spans="1:4" x14ac:dyDescent="0.45">
      <c r="A208" t="s">
        <v>341</v>
      </c>
      <c r="B208">
        <f>credit_to_gdp_all!B208-credit_to_gdp_all!B196</f>
        <v>9.3000000000000114</v>
      </c>
      <c r="C208" s="2">
        <v>123456789</v>
      </c>
      <c r="D208" s="2">
        <v>123456789</v>
      </c>
    </row>
    <row r="209" spans="1:4" x14ac:dyDescent="0.45">
      <c r="A209" t="s">
        <v>342</v>
      </c>
      <c r="B209">
        <f>credit_to_gdp_all!B209-credit_to_gdp_all!B197</f>
        <v>5.4000000000000057</v>
      </c>
      <c r="C209" s="2">
        <v>123456789</v>
      </c>
      <c r="D209" s="2">
        <v>123456789</v>
      </c>
    </row>
    <row r="210" spans="1:4" x14ac:dyDescent="0.45">
      <c r="A210" t="s">
        <v>343</v>
      </c>
      <c r="B210">
        <f>credit_to_gdp_all!B210-credit_to_gdp_all!B198</f>
        <v>0.59999999999999432</v>
      </c>
      <c r="C210" s="2">
        <v>123456789</v>
      </c>
      <c r="D210" s="2">
        <v>123456789</v>
      </c>
    </row>
    <row r="211" spans="1:4" x14ac:dyDescent="0.45">
      <c r="A211" t="s">
        <v>344</v>
      </c>
      <c r="B211">
        <f>credit_to_gdp_all!B211-credit_to_gdp_all!B199</f>
        <v>-3.9000000000000057</v>
      </c>
      <c r="C211" s="2">
        <v>123456789</v>
      </c>
      <c r="D211" s="2">
        <v>123456789</v>
      </c>
    </row>
    <row r="212" spans="1:4" x14ac:dyDescent="0.45">
      <c r="A212" t="s">
        <v>345</v>
      </c>
      <c r="B212">
        <f>credit_to_gdp_all!B212-credit_to_gdp_all!B200</f>
        <v>-6.5999999999999943</v>
      </c>
      <c r="C212" s="2">
        <v>123456789</v>
      </c>
      <c r="D212" s="2">
        <v>123456789</v>
      </c>
    </row>
    <row r="213" spans="1:4" x14ac:dyDescent="0.45">
      <c r="A213" t="s">
        <v>346</v>
      </c>
      <c r="B213">
        <f>credit_to_gdp_all!B213-credit_to_gdp_all!B201</f>
        <v>-8.4000000000000057</v>
      </c>
      <c r="C213" s="2">
        <v>123456789</v>
      </c>
      <c r="D213" s="2">
        <v>123456789</v>
      </c>
    </row>
    <row r="214" spans="1:4" x14ac:dyDescent="0.45">
      <c r="A214" t="s">
        <v>347</v>
      </c>
      <c r="B214">
        <f>credit_to_gdp_all!B214-credit_to_gdp_all!B202</f>
        <v>-11.400000000000006</v>
      </c>
      <c r="C214" s="2">
        <v>123456789</v>
      </c>
      <c r="D214" s="2">
        <v>123456789</v>
      </c>
    </row>
    <row r="215" spans="1:4" x14ac:dyDescent="0.45">
      <c r="A215" t="s">
        <v>348</v>
      </c>
      <c r="B215">
        <f>credit_to_gdp_all!B215-credit_to_gdp_all!B203</f>
        <v>-24.400000000000006</v>
      </c>
      <c r="C215" s="2">
        <v>123456789</v>
      </c>
      <c r="D215" s="2">
        <v>123456789</v>
      </c>
    </row>
    <row r="216" spans="1:4" x14ac:dyDescent="0.45">
      <c r="A216" t="s">
        <v>349</v>
      </c>
      <c r="B216">
        <f>credit_to_gdp_all!B216-credit_to_gdp_all!B204</f>
        <v>-29.199999999999989</v>
      </c>
      <c r="C216" s="2">
        <v>123456789</v>
      </c>
      <c r="D216" s="2">
        <v>123456789</v>
      </c>
    </row>
    <row r="217" spans="1:4" x14ac:dyDescent="0.45">
      <c r="A217" t="s">
        <v>350</v>
      </c>
      <c r="B217">
        <f>credit_to_gdp_all!B217-credit_to_gdp_all!B205</f>
        <v>-34.299999999999983</v>
      </c>
      <c r="C217" s="2">
        <v>123456789</v>
      </c>
      <c r="D217" s="2">
        <v>123456789</v>
      </c>
    </row>
    <row r="218" spans="1:4" x14ac:dyDescent="0.45">
      <c r="A218" t="s">
        <v>351</v>
      </c>
      <c r="B218">
        <f>credit_to_gdp_all!B218-credit_to_gdp_all!B206</f>
        <v>-37.599999999999994</v>
      </c>
      <c r="C218" s="2">
        <v>123456789</v>
      </c>
      <c r="D218" s="2">
        <v>123456789</v>
      </c>
    </row>
    <row r="219" spans="1:4" x14ac:dyDescent="0.45">
      <c r="A219" t="s">
        <v>352</v>
      </c>
      <c r="B219">
        <f>credit_to_gdp_all!B219-credit_to_gdp_all!B207</f>
        <v>-33.099999999999994</v>
      </c>
      <c r="C219" s="2">
        <v>123456789</v>
      </c>
      <c r="D219" s="2">
        <v>123456789</v>
      </c>
    </row>
    <row r="220" spans="1:4" x14ac:dyDescent="0.45">
      <c r="A220" t="s">
        <v>353</v>
      </c>
      <c r="B220">
        <f>credit_to_gdp_all!B220-credit_to_gdp_all!B208</f>
        <v>-29.900000000000006</v>
      </c>
      <c r="C220" s="2">
        <v>123456789</v>
      </c>
      <c r="D220" s="2">
        <v>123456789</v>
      </c>
    </row>
    <row r="221" spans="1:4" x14ac:dyDescent="0.45">
      <c r="A221" t="s">
        <v>354</v>
      </c>
      <c r="B221">
        <f>credit_to_gdp_all!B221-credit_to_gdp_all!B209</f>
        <v>-26.400000000000006</v>
      </c>
      <c r="C221" s="2">
        <v>123456789</v>
      </c>
      <c r="D221" s="2">
        <v>123456789</v>
      </c>
    </row>
    <row r="222" spans="1:4" x14ac:dyDescent="0.45">
      <c r="A222" s="40" t="s">
        <v>355</v>
      </c>
      <c r="B222" s="40">
        <f>credit_to_gdp_all!B222-credit_to_gdp_all!B210</f>
        <v>-21.099999999999994</v>
      </c>
      <c r="C222" s="2">
        <v>123456789</v>
      </c>
      <c r="D222" s="2">
        <v>123456789</v>
      </c>
    </row>
    <row r="223" spans="1:4" x14ac:dyDescent="0.45">
      <c r="A223" s="4" t="s">
        <v>356</v>
      </c>
      <c r="B223" s="4">
        <v>-21.099999999999994</v>
      </c>
      <c r="C223" s="2">
        <v>123456789</v>
      </c>
      <c r="D223" s="2">
        <v>123456789</v>
      </c>
    </row>
    <row r="224" spans="1:4" x14ac:dyDescent="0.45">
      <c r="A224" s="4" t="s">
        <v>357</v>
      </c>
      <c r="B224" s="4">
        <v>-21.099999999999994</v>
      </c>
      <c r="C224" s="2">
        <v>123456789</v>
      </c>
      <c r="D224" s="2">
        <v>123456789</v>
      </c>
    </row>
    <row r="225" spans="1:4" x14ac:dyDescent="0.45">
      <c r="A225" s="4" t="s">
        <v>438</v>
      </c>
      <c r="B225" s="4">
        <v>-21.099999999999994</v>
      </c>
      <c r="C225" s="2">
        <v>123456789</v>
      </c>
      <c r="D225" s="2">
        <v>123456789</v>
      </c>
    </row>
    <row r="226" spans="1:4" x14ac:dyDescent="0.45">
      <c r="A226" s="4" t="s">
        <v>441</v>
      </c>
      <c r="B226" s="4">
        <v>-21.099999999999994</v>
      </c>
      <c r="C226" s="2">
        <v>123456789</v>
      </c>
      <c r="D226" s="2">
        <v>123456789</v>
      </c>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2A5BD-9B56-4A80-BEB9-A6B7C40D449B}">
  <sheetPr>
    <tabColor theme="9" tint="0.79998168889431442"/>
  </sheetPr>
  <dimension ref="A1:D226"/>
  <sheetViews>
    <sheetView topLeftCell="A214" workbookViewId="0">
      <selection activeCell="F227" sqref="F227"/>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f>spliced_vix!E4</f>
        <v>21.595786031887915</v>
      </c>
      <c r="C4" s="2">
        <v>123456789</v>
      </c>
      <c r="D4" s="2">
        <v>123456789</v>
      </c>
    </row>
    <row r="5" spans="1:4" x14ac:dyDescent="0.45">
      <c r="A5" t="s">
        <v>138</v>
      </c>
      <c r="B5">
        <f>spliced_vix!E5</f>
        <v>15.175277830028444</v>
      </c>
      <c r="C5" s="2">
        <v>123456789</v>
      </c>
      <c r="D5" s="2">
        <v>123456789</v>
      </c>
    </row>
    <row r="6" spans="1:4" x14ac:dyDescent="0.45">
      <c r="A6" t="s">
        <v>139</v>
      </c>
      <c r="B6">
        <f>spliced_vix!E6</f>
        <v>11.80349181001106</v>
      </c>
      <c r="C6" s="2">
        <v>123456789</v>
      </c>
      <c r="D6" s="2">
        <v>123456789</v>
      </c>
    </row>
    <row r="7" spans="1:4" x14ac:dyDescent="0.45">
      <c r="A7" t="s">
        <v>140</v>
      </c>
      <c r="B7">
        <f>spliced_vix!E7</f>
        <v>13.311177038400283</v>
      </c>
      <c r="C7" s="2">
        <v>123456789</v>
      </c>
      <c r="D7" s="2">
        <v>123456789</v>
      </c>
    </row>
    <row r="8" spans="1:4" x14ac:dyDescent="0.45">
      <c r="A8" t="s">
        <v>141</v>
      </c>
      <c r="B8">
        <f>spliced_vix!E8</f>
        <v>18.546722235259516</v>
      </c>
      <c r="C8" s="2">
        <v>123456789</v>
      </c>
      <c r="D8" s="2">
        <v>123456789</v>
      </c>
    </row>
    <row r="9" spans="1:4" x14ac:dyDescent="0.45">
      <c r="A9" t="s">
        <v>142</v>
      </c>
      <c r="B9">
        <f>spliced_vix!E9</f>
        <v>19.043493396554609</v>
      </c>
      <c r="C9" s="2">
        <v>123456789</v>
      </c>
      <c r="D9" s="2">
        <v>123456789</v>
      </c>
    </row>
    <row r="10" spans="1:4" x14ac:dyDescent="0.45">
      <c r="A10" t="s">
        <v>143</v>
      </c>
      <c r="B10">
        <f>spliced_vix!E10</f>
        <v>11.343202577414189</v>
      </c>
      <c r="C10" s="2">
        <v>123456789</v>
      </c>
      <c r="D10" s="2">
        <v>123456789</v>
      </c>
    </row>
    <row r="11" spans="1:4" x14ac:dyDescent="0.45">
      <c r="A11" t="s">
        <v>144</v>
      </c>
      <c r="B11">
        <f>spliced_vix!E11</f>
        <v>12.323082839031795</v>
      </c>
      <c r="C11" s="2">
        <v>123456789</v>
      </c>
      <c r="D11" s="2">
        <v>123456789</v>
      </c>
    </row>
    <row r="12" spans="1:4" x14ac:dyDescent="0.45">
      <c r="A12" t="s">
        <v>145</v>
      </c>
      <c r="B12">
        <f>spliced_vix!E12</f>
        <v>12.810703785013523</v>
      </c>
      <c r="C12" s="2">
        <v>123456789</v>
      </c>
      <c r="D12" s="2">
        <v>123456789</v>
      </c>
    </row>
    <row r="13" spans="1:4" x14ac:dyDescent="0.45">
      <c r="A13" t="s">
        <v>146</v>
      </c>
      <c r="B13">
        <f>spliced_vix!E13</f>
        <v>13.403911535244543</v>
      </c>
      <c r="C13" s="2">
        <v>123456789</v>
      </c>
      <c r="D13" s="2">
        <v>123456789</v>
      </c>
    </row>
    <row r="14" spans="1:4" x14ac:dyDescent="0.45">
      <c r="A14" t="s">
        <v>147</v>
      </c>
      <c r="B14">
        <f>spliced_vix!E14</f>
        <v>18.145357757581614</v>
      </c>
      <c r="C14" s="2">
        <v>123456789</v>
      </c>
      <c r="D14" s="2">
        <v>123456789</v>
      </c>
    </row>
    <row r="15" spans="1:4" x14ac:dyDescent="0.45">
      <c r="A15" t="s">
        <v>148</v>
      </c>
      <c r="B15">
        <f>spliced_vix!E15</f>
        <v>25.884860893230854</v>
      </c>
      <c r="C15" s="2">
        <v>123456789</v>
      </c>
      <c r="D15" s="2">
        <v>123456789</v>
      </c>
    </row>
    <row r="16" spans="1:4" x14ac:dyDescent="0.45">
      <c r="A16" t="s">
        <v>149</v>
      </c>
      <c r="B16">
        <f>spliced_vix!E16</f>
        <v>19.683509963950065</v>
      </c>
      <c r="C16" s="2">
        <v>123456789</v>
      </c>
      <c r="D16" s="2">
        <v>123456789</v>
      </c>
    </row>
    <row r="17" spans="1:4" x14ac:dyDescent="0.45">
      <c r="A17" t="s">
        <v>150</v>
      </c>
      <c r="B17">
        <f>spliced_vix!E17</f>
        <v>32.799878007356064</v>
      </c>
      <c r="C17" s="2">
        <v>123456789</v>
      </c>
      <c r="D17" s="2">
        <v>123456789</v>
      </c>
    </row>
    <row r="18" spans="1:4" x14ac:dyDescent="0.45">
      <c r="A18" t="s">
        <v>151</v>
      </c>
      <c r="B18">
        <f>spliced_vix!E18</f>
        <v>26.603542489234318</v>
      </c>
      <c r="C18" s="2">
        <v>123456789</v>
      </c>
      <c r="D18" s="2">
        <v>123456789</v>
      </c>
    </row>
    <row r="19" spans="1:4" x14ac:dyDescent="0.45">
      <c r="A19" t="s">
        <v>152</v>
      </c>
      <c r="B19">
        <f>spliced_vix!E19</f>
        <v>24.532648349812067</v>
      </c>
      <c r="C19" s="2">
        <v>123456789</v>
      </c>
      <c r="D19" s="2">
        <v>123456789</v>
      </c>
    </row>
    <row r="20" spans="1:4" x14ac:dyDescent="0.45">
      <c r="A20" t="s">
        <v>153</v>
      </c>
      <c r="B20">
        <f>spliced_vix!E20</f>
        <v>39.964147391494095</v>
      </c>
      <c r="C20" s="2">
        <v>123456789</v>
      </c>
      <c r="D20" s="2">
        <v>123456789</v>
      </c>
    </row>
    <row r="21" spans="1:4" x14ac:dyDescent="0.45">
      <c r="A21" t="s">
        <v>154</v>
      </c>
      <c r="B21">
        <f>spliced_vix!E21</f>
        <v>41.28822099844038</v>
      </c>
      <c r="C21" s="2">
        <v>123456789</v>
      </c>
      <c r="D21" s="2">
        <v>123456789</v>
      </c>
    </row>
    <row r="22" spans="1:4" x14ac:dyDescent="0.45">
      <c r="A22" t="s">
        <v>155</v>
      </c>
      <c r="B22">
        <f>spliced_vix!E22</f>
        <v>28.471568055185227</v>
      </c>
      <c r="C22" s="2">
        <v>123456789</v>
      </c>
      <c r="D22" s="2">
        <v>123456789</v>
      </c>
    </row>
    <row r="23" spans="1:4" x14ac:dyDescent="0.45">
      <c r="A23" t="s">
        <v>156</v>
      </c>
      <c r="B23">
        <f>spliced_vix!E23</f>
        <v>22.792161501230879</v>
      </c>
      <c r="C23" s="2">
        <v>123456789</v>
      </c>
      <c r="D23" s="2">
        <v>123456789</v>
      </c>
    </row>
    <row r="24" spans="1:4" x14ac:dyDescent="0.45">
      <c r="A24" t="s">
        <v>157</v>
      </c>
      <c r="B24">
        <f>spliced_vix!E24</f>
        <v>23.614157530534683</v>
      </c>
      <c r="C24" s="2">
        <v>123456789</v>
      </c>
      <c r="D24" s="2">
        <v>123456789</v>
      </c>
    </row>
    <row r="25" spans="1:4" x14ac:dyDescent="0.45">
      <c r="A25" t="s">
        <v>158</v>
      </c>
      <c r="B25">
        <f>spliced_vix!E25</f>
        <v>20.373123937358237</v>
      </c>
      <c r="C25" s="2">
        <v>123456789</v>
      </c>
      <c r="D25" s="2">
        <v>123456789</v>
      </c>
    </row>
    <row r="26" spans="1:4" x14ac:dyDescent="0.45">
      <c r="A26" t="s">
        <v>159</v>
      </c>
      <c r="B26">
        <f>spliced_vix!E26</f>
        <v>20.474325419943238</v>
      </c>
      <c r="C26" s="2">
        <v>123456789</v>
      </c>
      <c r="D26" s="2">
        <v>123456789</v>
      </c>
    </row>
    <row r="27" spans="1:4" x14ac:dyDescent="0.45">
      <c r="A27" t="s">
        <v>160</v>
      </c>
      <c r="B27">
        <f>spliced_vix!E27</f>
        <v>17.120890440150554</v>
      </c>
      <c r="C27" s="2">
        <v>123456789</v>
      </c>
      <c r="D27" s="2">
        <v>123456789</v>
      </c>
    </row>
    <row r="28" spans="1:4" x14ac:dyDescent="0.45">
      <c r="A28" t="s">
        <v>161</v>
      </c>
      <c r="B28">
        <f>spliced_vix!E28</f>
        <v>14.444007096529418</v>
      </c>
      <c r="C28" s="2">
        <v>123456789</v>
      </c>
      <c r="D28" s="2">
        <v>123456789</v>
      </c>
    </row>
    <row r="29" spans="1:4" x14ac:dyDescent="0.45">
      <c r="A29" t="s">
        <v>162</v>
      </c>
      <c r="B29">
        <f>spliced_vix!E29</f>
        <v>17.055859637236246</v>
      </c>
      <c r="C29" s="2">
        <v>123456789</v>
      </c>
      <c r="D29" s="2">
        <v>123456789</v>
      </c>
    </row>
    <row r="30" spans="1:4" x14ac:dyDescent="0.45">
      <c r="A30" t="s">
        <v>163</v>
      </c>
      <c r="B30">
        <f>spliced_vix!E30</f>
        <v>12.663267904201076</v>
      </c>
      <c r="C30" s="2">
        <v>123456789</v>
      </c>
      <c r="D30" s="2">
        <v>123456789</v>
      </c>
    </row>
    <row r="31" spans="1:4" x14ac:dyDescent="0.45">
      <c r="A31" t="s">
        <v>164</v>
      </c>
      <c r="B31">
        <f>spliced_vix!E31</f>
        <v>14.757369074773459</v>
      </c>
      <c r="C31" s="2">
        <v>123456789</v>
      </c>
      <c r="D31" s="2">
        <v>123456789</v>
      </c>
    </row>
    <row r="32" spans="1:4" x14ac:dyDescent="0.45">
      <c r="A32" t="s">
        <v>165</v>
      </c>
      <c r="B32">
        <f>spliced_vix!E32</f>
        <v>12.942243191102941</v>
      </c>
      <c r="C32" s="2">
        <v>123456789</v>
      </c>
      <c r="D32" s="2">
        <v>123456789</v>
      </c>
    </row>
    <row r="33" spans="1:4" x14ac:dyDescent="0.45">
      <c r="A33" t="s">
        <v>166</v>
      </c>
      <c r="B33">
        <f>spliced_vix!E33</f>
        <v>16.545871779430726</v>
      </c>
      <c r="C33" s="2">
        <v>123456789</v>
      </c>
      <c r="D33" s="2">
        <v>123456789</v>
      </c>
    </row>
    <row r="34" spans="1:4" x14ac:dyDescent="0.45">
      <c r="A34" t="s">
        <v>167</v>
      </c>
      <c r="B34">
        <f>spliced_vix!E34</f>
        <v>14.664186682987141</v>
      </c>
      <c r="C34" s="2">
        <v>123456789</v>
      </c>
      <c r="D34" s="2">
        <v>123456789</v>
      </c>
    </row>
    <row r="35" spans="1:4" x14ac:dyDescent="0.45">
      <c r="A35" t="s">
        <v>168</v>
      </c>
      <c r="B35">
        <f>spliced_vix!E35</f>
        <v>19.449556975404242</v>
      </c>
      <c r="C35" s="2">
        <v>123456789</v>
      </c>
      <c r="D35" s="2">
        <v>123456789</v>
      </c>
    </row>
    <row r="36" spans="1:4" x14ac:dyDescent="0.45">
      <c r="A36" t="s">
        <v>169</v>
      </c>
      <c r="B36">
        <f>spliced_vix!E36</f>
        <v>16.501413778092097</v>
      </c>
      <c r="C36" s="2">
        <v>123456789</v>
      </c>
      <c r="D36" s="2">
        <v>123456789</v>
      </c>
    </row>
    <row r="37" spans="1:4" x14ac:dyDescent="0.45">
      <c r="A37" t="s">
        <v>170</v>
      </c>
      <c r="B37">
        <f>spliced_vix!E37</f>
        <v>26.253222852071143</v>
      </c>
      <c r="C37" s="2">
        <v>123456789</v>
      </c>
      <c r="D37" s="2">
        <v>123456789</v>
      </c>
    </row>
    <row r="38" spans="1:4" x14ac:dyDescent="0.45">
      <c r="A38" t="s">
        <v>171</v>
      </c>
      <c r="B38">
        <f>spliced_vix!E38</f>
        <v>16.024041275699727</v>
      </c>
      <c r="C38" s="2">
        <v>123456789</v>
      </c>
      <c r="D38" s="2">
        <v>123456789</v>
      </c>
    </row>
    <row r="39" spans="1:4" x14ac:dyDescent="0.45">
      <c r="A39" t="s">
        <v>172</v>
      </c>
      <c r="B39">
        <f>spliced_vix!E39</f>
        <v>14.630956420958633</v>
      </c>
      <c r="C39" s="2">
        <v>123456789</v>
      </c>
      <c r="D39" s="2">
        <v>123456789</v>
      </c>
    </row>
    <row r="40" spans="1:4" x14ac:dyDescent="0.45">
      <c r="A40" t="s">
        <v>173</v>
      </c>
      <c r="B40">
        <f>spliced_vix!E40</f>
        <v>15.459653161033948</v>
      </c>
      <c r="C40" s="2">
        <v>123456789</v>
      </c>
      <c r="D40" s="2">
        <v>123456789</v>
      </c>
    </row>
    <row r="41" spans="1:4" x14ac:dyDescent="0.45">
      <c r="A41" t="s">
        <v>174</v>
      </c>
      <c r="B41">
        <f>spliced_vix!E41</f>
        <v>21.323789808546433</v>
      </c>
      <c r="C41" s="2">
        <v>123456789</v>
      </c>
      <c r="D41" s="2">
        <v>123456789</v>
      </c>
    </row>
    <row r="42" spans="1:4" x14ac:dyDescent="0.45">
      <c r="A42" t="s">
        <v>175</v>
      </c>
      <c r="B42">
        <f>spliced_vix!E42</f>
        <v>28.964606758629895</v>
      </c>
      <c r="C42" s="2">
        <v>123456789</v>
      </c>
      <c r="D42" s="2">
        <v>123456789</v>
      </c>
    </row>
    <row r="43" spans="1:4" x14ac:dyDescent="0.45">
      <c r="A43" t="s">
        <v>176</v>
      </c>
      <c r="B43">
        <f>spliced_vix!E43</f>
        <v>23.291313844110579</v>
      </c>
      <c r="C43" s="2">
        <v>123456789</v>
      </c>
      <c r="D43" s="2">
        <v>123456789</v>
      </c>
    </row>
    <row r="44" spans="1:4" x14ac:dyDescent="0.45">
      <c r="A44" t="s">
        <v>177</v>
      </c>
      <c r="B44">
        <f>spliced_vix!E44</f>
        <v>23.463621811846444</v>
      </c>
      <c r="C44" s="2">
        <v>123456789</v>
      </c>
      <c r="D44" s="2">
        <v>123456789</v>
      </c>
    </row>
    <row r="45" spans="1:4" x14ac:dyDescent="0.45">
      <c r="A45" t="s">
        <v>178</v>
      </c>
      <c r="B45">
        <f>spliced_vix!E45</f>
        <v>27.104881166746427</v>
      </c>
      <c r="C45" s="2">
        <v>123456789</v>
      </c>
      <c r="D45" s="2">
        <v>123456789</v>
      </c>
    </row>
    <row r="46" spans="1:4" x14ac:dyDescent="0.45">
      <c r="A46" t="s">
        <v>179</v>
      </c>
      <c r="B46">
        <f>spliced_vix!E46</f>
        <v>22.998570216080392</v>
      </c>
      <c r="C46" s="2">
        <v>123456789</v>
      </c>
      <c r="D46" s="2">
        <v>123456789</v>
      </c>
    </row>
    <row r="47" spans="1:4" x14ac:dyDescent="0.45">
      <c r="A47" t="s">
        <v>180</v>
      </c>
      <c r="B47">
        <f>spliced_vix!E47</f>
        <v>16.659034840496453</v>
      </c>
      <c r="C47" s="2">
        <v>123456789</v>
      </c>
      <c r="D47" s="2">
        <v>123456789</v>
      </c>
    </row>
    <row r="48" spans="1:4" x14ac:dyDescent="0.45">
      <c r="A48" t="s">
        <v>181</v>
      </c>
      <c r="B48">
        <f>spliced_vix!E48</f>
        <v>23.441181516105598</v>
      </c>
      <c r="C48" s="2">
        <v>123456789</v>
      </c>
      <c r="D48" s="2">
        <v>123456789</v>
      </c>
    </row>
    <row r="49" spans="1:4" x14ac:dyDescent="0.45">
      <c r="A49" t="s">
        <v>182</v>
      </c>
      <c r="B49">
        <f>spliced_vix!E49</f>
        <v>21.027060674675944</v>
      </c>
      <c r="C49" s="2">
        <v>123456789</v>
      </c>
      <c r="D49" s="2">
        <v>123456789</v>
      </c>
    </row>
    <row r="50" spans="1:4" x14ac:dyDescent="0.45">
      <c r="A50" t="s">
        <v>183</v>
      </c>
      <c r="B50">
        <f>spliced_vix!E50</f>
        <v>25.538918986292277</v>
      </c>
      <c r="C50" s="2">
        <v>123456789</v>
      </c>
      <c r="D50" s="2">
        <v>123456789</v>
      </c>
    </row>
    <row r="51" spans="1:4" x14ac:dyDescent="0.45">
      <c r="A51" t="s">
        <v>184</v>
      </c>
      <c r="B51">
        <f>spliced_vix!E51</f>
        <v>19.037777042463674</v>
      </c>
      <c r="C51" s="2">
        <v>123456789</v>
      </c>
      <c r="D51" s="2">
        <v>123456789</v>
      </c>
    </row>
    <row r="52" spans="1:4" x14ac:dyDescent="0.45">
      <c r="A52" t="s">
        <v>185</v>
      </c>
      <c r="B52">
        <f>spliced_vix!E52</f>
        <v>30.362620988213475</v>
      </c>
      <c r="C52" s="2">
        <v>123456789</v>
      </c>
      <c r="D52" s="2">
        <v>123456789</v>
      </c>
    </row>
    <row r="53" spans="1:4" x14ac:dyDescent="0.45">
      <c r="A53" t="s">
        <v>186</v>
      </c>
      <c r="B53">
        <f>spliced_vix!E53</f>
        <v>37.155289399241028</v>
      </c>
      <c r="C53" s="2">
        <v>123456789</v>
      </c>
      <c r="D53" s="2">
        <v>123456789</v>
      </c>
    </row>
    <row r="54" spans="1:4" x14ac:dyDescent="0.45">
      <c r="A54" t="s">
        <v>187</v>
      </c>
      <c r="B54">
        <f>spliced_vix!E54</f>
        <v>25.992102631333854</v>
      </c>
      <c r="C54" s="2">
        <v>123456789</v>
      </c>
      <c r="D54" s="2">
        <v>123456789</v>
      </c>
    </row>
    <row r="55" spans="1:4" x14ac:dyDescent="0.45">
      <c r="A55" t="s">
        <v>188</v>
      </c>
      <c r="B55">
        <f>spliced_vix!E55</f>
        <v>19.407535826207972</v>
      </c>
      <c r="C55" s="2">
        <v>123456789</v>
      </c>
      <c r="D55" s="2">
        <v>123456789</v>
      </c>
    </row>
    <row r="56" spans="1:4" x14ac:dyDescent="0.45">
      <c r="A56" t="s">
        <v>189</v>
      </c>
      <c r="B56">
        <f>spliced_vix!E56</f>
        <v>21.558127430036858</v>
      </c>
      <c r="C56" s="2">
        <v>123456789</v>
      </c>
      <c r="D56" s="2">
        <v>123456789</v>
      </c>
    </row>
    <row r="57" spans="1:4" x14ac:dyDescent="0.45">
      <c r="A57" t="s">
        <v>190</v>
      </c>
      <c r="B57">
        <f>spliced_vix!E57</f>
        <v>15.749830882446942</v>
      </c>
      <c r="C57" s="2">
        <v>123456789</v>
      </c>
      <c r="D57" s="2">
        <v>123456789</v>
      </c>
    </row>
    <row r="58" spans="1:4" x14ac:dyDescent="0.45">
      <c r="A58" t="s">
        <v>191</v>
      </c>
      <c r="B58">
        <f>spliced_vix!E58</f>
        <v>20.380543304420957</v>
      </c>
      <c r="C58" s="2">
        <v>123456789</v>
      </c>
      <c r="D58" s="2">
        <v>123456789</v>
      </c>
    </row>
    <row r="59" spans="1:4" x14ac:dyDescent="0.45">
      <c r="A59" t="s">
        <v>192</v>
      </c>
      <c r="B59">
        <f>spliced_vix!E59</f>
        <v>19.04104642249267</v>
      </c>
      <c r="C59" s="2">
        <v>123456789</v>
      </c>
      <c r="D59" s="2">
        <v>123456789</v>
      </c>
    </row>
    <row r="60" spans="1:4" x14ac:dyDescent="0.45">
      <c r="A60" t="s">
        <v>193</v>
      </c>
      <c r="B60">
        <f>spliced_vix!E60</f>
        <v>21.979907819536724</v>
      </c>
      <c r="C60" s="2">
        <v>123456789</v>
      </c>
      <c r="D60" s="2">
        <v>123456789</v>
      </c>
    </row>
    <row r="61" spans="1:4" x14ac:dyDescent="0.45">
      <c r="A61" t="s">
        <v>194</v>
      </c>
      <c r="B61">
        <f>spliced_vix!E61</f>
        <v>18.571639870821116</v>
      </c>
      <c r="C61" s="2">
        <v>123456789</v>
      </c>
      <c r="D61" s="2">
        <v>123456789</v>
      </c>
    </row>
    <row r="62" spans="1:4" x14ac:dyDescent="0.45">
      <c r="A62" t="s">
        <v>195</v>
      </c>
      <c r="B62">
        <f>spliced_vix!E62</f>
        <v>17.711203321377567</v>
      </c>
      <c r="C62" s="2">
        <v>123456789</v>
      </c>
      <c r="D62" s="2">
        <v>123456789</v>
      </c>
    </row>
    <row r="63" spans="1:4" x14ac:dyDescent="0.45">
      <c r="A63" t="s">
        <v>196</v>
      </c>
      <c r="B63">
        <f>spliced_vix!E63</f>
        <v>14.067099707071556</v>
      </c>
      <c r="C63" s="2">
        <v>123456789</v>
      </c>
      <c r="D63" s="2">
        <v>123456789</v>
      </c>
    </row>
    <row r="64" spans="1:4" x14ac:dyDescent="0.45">
      <c r="A64" t="s">
        <v>197</v>
      </c>
      <c r="B64">
        <f>spliced_vix!E64</f>
        <v>14.634562354814143</v>
      </c>
      <c r="C64" s="2">
        <v>123456789</v>
      </c>
      <c r="D64" s="2">
        <v>123456789</v>
      </c>
    </row>
    <row r="65" spans="1:4" x14ac:dyDescent="0.45">
      <c r="A65" t="s">
        <v>198</v>
      </c>
      <c r="B65">
        <f>spliced_vix!E65</f>
        <v>16.569837954550433</v>
      </c>
      <c r="C65" s="2">
        <v>123456789</v>
      </c>
      <c r="D65" s="2">
        <v>123456789</v>
      </c>
    </row>
    <row r="66" spans="1:4" x14ac:dyDescent="0.45">
      <c r="A66" t="s">
        <v>199</v>
      </c>
      <c r="B66">
        <f>spliced_vix!E66</f>
        <v>20.510308844101434</v>
      </c>
      <c r="C66" s="2">
        <v>123456789</v>
      </c>
      <c r="D66" s="2">
        <v>123456789</v>
      </c>
    </row>
    <row r="67" spans="1:4" x14ac:dyDescent="0.45">
      <c r="A67" t="s">
        <v>200</v>
      </c>
      <c r="B67">
        <f>spliced_vix!E67</f>
        <v>23.210819278535862</v>
      </c>
      <c r="C67" s="2">
        <v>123456789</v>
      </c>
      <c r="D67" s="2">
        <v>123456789</v>
      </c>
    </row>
    <row r="68" spans="1:4" x14ac:dyDescent="0.45">
      <c r="A68" t="s">
        <v>201</v>
      </c>
      <c r="B68">
        <f>spliced_vix!E68</f>
        <v>27.709210376131804</v>
      </c>
      <c r="C68" s="2">
        <v>123456789</v>
      </c>
      <c r="D68" s="2">
        <v>123456789</v>
      </c>
    </row>
    <row r="69" spans="1:4" x14ac:dyDescent="0.45">
      <c r="A69" t="s">
        <v>202</v>
      </c>
      <c r="B69">
        <f>spliced_vix!E69</f>
        <v>19.724088739604142</v>
      </c>
      <c r="C69" s="2">
        <v>123456789</v>
      </c>
      <c r="D69" s="2">
        <v>123456789</v>
      </c>
    </row>
    <row r="70" spans="1:4" x14ac:dyDescent="0.45">
      <c r="A70" t="s">
        <v>203</v>
      </c>
      <c r="B70">
        <f>spliced_vix!E70</f>
        <v>23.217580720824941</v>
      </c>
      <c r="C70" s="2">
        <v>123456789</v>
      </c>
      <c r="D70" s="2">
        <v>123456789</v>
      </c>
    </row>
    <row r="71" spans="1:4" x14ac:dyDescent="0.45">
      <c r="A71" t="s">
        <v>204</v>
      </c>
      <c r="B71">
        <f>spliced_vix!E71</f>
        <v>27.796005836654039</v>
      </c>
      <c r="C71" s="2">
        <v>123456789</v>
      </c>
      <c r="D71" s="2">
        <v>123456789</v>
      </c>
    </row>
    <row r="72" spans="1:4" x14ac:dyDescent="0.45">
      <c r="A72" t="s">
        <v>205</v>
      </c>
      <c r="B72">
        <f>spliced_vix!E72</f>
        <v>22.358961055948598</v>
      </c>
      <c r="C72" s="2">
        <v>123456789</v>
      </c>
      <c r="D72" s="2">
        <v>123456789</v>
      </c>
    </row>
    <row r="73" spans="1:4" x14ac:dyDescent="0.45">
      <c r="A73" t="s">
        <v>206</v>
      </c>
      <c r="B73">
        <f>spliced_vix!E73</f>
        <v>90.890687970940888</v>
      </c>
      <c r="C73" s="2">
        <v>123456789</v>
      </c>
      <c r="D73" s="2">
        <v>123456789</v>
      </c>
    </row>
    <row r="74" spans="1:4" x14ac:dyDescent="0.45">
      <c r="A74" t="s">
        <v>207</v>
      </c>
      <c r="B74">
        <f>spliced_vix!E74</f>
        <v>35.703198814224194</v>
      </c>
      <c r="C74" s="2">
        <v>123456789</v>
      </c>
      <c r="D74" s="2">
        <v>123456789</v>
      </c>
    </row>
    <row r="75" spans="1:4" x14ac:dyDescent="0.45">
      <c r="A75" t="s">
        <v>208</v>
      </c>
      <c r="B75">
        <f>spliced_vix!E75</f>
        <v>28.856985448542119</v>
      </c>
      <c r="C75" s="2">
        <v>123456789</v>
      </c>
      <c r="D75" s="2">
        <v>123456789</v>
      </c>
    </row>
    <row r="76" spans="1:4" x14ac:dyDescent="0.45">
      <c r="A76" t="s">
        <v>209</v>
      </c>
      <c r="B76">
        <f>spliced_vix!E76</f>
        <v>21.039611854973028</v>
      </c>
      <c r="C76" s="2">
        <v>123456789</v>
      </c>
      <c r="D76" s="2">
        <v>123456789</v>
      </c>
    </row>
    <row r="77" spans="1:4" x14ac:dyDescent="0.45">
      <c r="A77" t="s">
        <v>210</v>
      </c>
      <c r="B77">
        <f>spliced_vix!E77</f>
        <v>18.97741497496229</v>
      </c>
      <c r="C77" s="2">
        <v>123456789</v>
      </c>
      <c r="D77" s="2">
        <v>123456789</v>
      </c>
    </row>
    <row r="78" spans="1:4" x14ac:dyDescent="0.45">
      <c r="A78" t="s">
        <v>211</v>
      </c>
      <c r="B78">
        <f>spliced_vix!E78</f>
        <v>18.358667091114626</v>
      </c>
      <c r="C78" s="2">
        <v>123456789</v>
      </c>
      <c r="D78" s="2">
        <v>123456789</v>
      </c>
    </row>
    <row r="79" spans="1:4" x14ac:dyDescent="0.45">
      <c r="A79" t="s">
        <v>212</v>
      </c>
      <c r="B79">
        <f>spliced_vix!E79</f>
        <v>18.352887475026208</v>
      </c>
      <c r="C79" s="2">
        <v>123456789</v>
      </c>
      <c r="D79" s="2">
        <v>123456789</v>
      </c>
    </row>
    <row r="80" spans="1:4" x14ac:dyDescent="0.45">
      <c r="A80" t="s">
        <v>213</v>
      </c>
      <c r="B80">
        <f>spliced_vix!E80</f>
        <v>16.769419434633495</v>
      </c>
      <c r="C80" s="2">
        <v>123456789</v>
      </c>
      <c r="D80" s="2">
        <v>123456789</v>
      </c>
    </row>
    <row r="81" spans="1:4" x14ac:dyDescent="0.45">
      <c r="A81" t="s">
        <v>214</v>
      </c>
      <c r="B81">
        <f>spliced_vix!E81</f>
        <v>27.210503397714284</v>
      </c>
      <c r="C81" s="2">
        <v>123456789</v>
      </c>
      <c r="D81" s="2">
        <v>123456789</v>
      </c>
    </row>
    <row r="82" spans="1:4" x14ac:dyDescent="0.45">
      <c r="A82" t="s">
        <v>215</v>
      </c>
      <c r="B82">
        <f>spliced_vix!E82</f>
        <v>22.17</v>
      </c>
      <c r="C82" s="2">
        <v>123456789</v>
      </c>
      <c r="D82" s="2">
        <v>123456789</v>
      </c>
    </row>
    <row r="83" spans="1:4" x14ac:dyDescent="0.45">
      <c r="A83" t="s">
        <v>216</v>
      </c>
      <c r="B83">
        <f>spliced_vix!E83</f>
        <v>18.72</v>
      </c>
      <c r="C83" s="2">
        <v>123456789</v>
      </c>
      <c r="D83" s="2">
        <v>123456789</v>
      </c>
    </row>
    <row r="84" spans="1:4" x14ac:dyDescent="0.45">
      <c r="A84" t="s">
        <v>217</v>
      </c>
      <c r="B84">
        <f>spliced_vix!E84</f>
        <v>25.2</v>
      </c>
      <c r="C84" s="2">
        <v>123456789</v>
      </c>
      <c r="D84" s="2">
        <v>123456789</v>
      </c>
    </row>
    <row r="85" spans="1:4" x14ac:dyDescent="0.45">
      <c r="A85" t="s">
        <v>218</v>
      </c>
      <c r="B85">
        <f>spliced_vix!E85</f>
        <v>26.11</v>
      </c>
      <c r="C85" s="2">
        <v>123456789</v>
      </c>
      <c r="D85" s="2">
        <v>123456789</v>
      </c>
    </row>
    <row r="86" spans="1:4" x14ac:dyDescent="0.45">
      <c r="A86" t="s">
        <v>219</v>
      </c>
      <c r="B86">
        <f>spliced_vix!E86</f>
        <v>22.52</v>
      </c>
      <c r="C86" s="2">
        <v>123456789</v>
      </c>
      <c r="D86" s="2">
        <v>123456789</v>
      </c>
    </row>
    <row r="87" spans="1:4" x14ac:dyDescent="0.45">
      <c r="A87" t="s">
        <v>220</v>
      </c>
      <c r="B87">
        <f>spliced_vix!E87</f>
        <v>17.149999999999999</v>
      </c>
      <c r="C87" s="2">
        <v>123456789</v>
      </c>
      <c r="D87" s="2">
        <v>123456789</v>
      </c>
    </row>
    <row r="88" spans="1:4" x14ac:dyDescent="0.45">
      <c r="A88" t="s">
        <v>221</v>
      </c>
      <c r="B88">
        <f>spliced_vix!E88</f>
        <v>16.63</v>
      </c>
      <c r="C88" s="2">
        <v>123456789</v>
      </c>
      <c r="D88" s="2">
        <v>123456789</v>
      </c>
    </row>
    <row r="89" spans="1:4" x14ac:dyDescent="0.45">
      <c r="A89" t="s">
        <v>222</v>
      </c>
      <c r="B89">
        <f>spliced_vix!E89</f>
        <v>17.46</v>
      </c>
      <c r="C89" s="2">
        <v>123456789</v>
      </c>
      <c r="D89" s="2">
        <v>123456789</v>
      </c>
    </row>
    <row r="90" spans="1:4" x14ac:dyDescent="0.45">
      <c r="A90" t="s">
        <v>223</v>
      </c>
      <c r="B90">
        <f>spliced_vix!E90</f>
        <v>17.559999999999999</v>
      </c>
      <c r="C90" s="2">
        <v>123456789</v>
      </c>
      <c r="D90" s="2">
        <v>123456789</v>
      </c>
    </row>
    <row r="91" spans="1:4" x14ac:dyDescent="0.45">
      <c r="A91" t="s">
        <v>224</v>
      </c>
      <c r="B91">
        <f>spliced_vix!E91</f>
        <v>15.62</v>
      </c>
      <c r="C91" s="2">
        <v>123456789</v>
      </c>
      <c r="D91" s="2">
        <v>123456789</v>
      </c>
    </row>
    <row r="92" spans="1:4" x14ac:dyDescent="0.45">
      <c r="A92" t="s">
        <v>225</v>
      </c>
      <c r="B92">
        <f>spliced_vix!E92</f>
        <v>13.9</v>
      </c>
      <c r="C92" s="2">
        <v>123456789</v>
      </c>
      <c r="D92" s="2">
        <v>123456789</v>
      </c>
    </row>
    <row r="93" spans="1:4" x14ac:dyDescent="0.45">
      <c r="A93" t="s">
        <v>226</v>
      </c>
      <c r="B93">
        <f>spliced_vix!E93</f>
        <v>14.76</v>
      </c>
      <c r="C93" s="2">
        <v>123456789</v>
      </c>
      <c r="D93" s="2">
        <v>123456789</v>
      </c>
    </row>
    <row r="94" spans="1:4" x14ac:dyDescent="0.45">
      <c r="A94" t="s">
        <v>227</v>
      </c>
      <c r="B94">
        <f>spliced_vix!E94</f>
        <v>13.26</v>
      </c>
      <c r="C94" s="2">
        <v>123456789</v>
      </c>
      <c r="D94" s="2">
        <v>123456789</v>
      </c>
    </row>
    <row r="95" spans="1:4" x14ac:dyDescent="0.45">
      <c r="A95" t="s">
        <v>228</v>
      </c>
      <c r="B95">
        <f>spliced_vix!E95</f>
        <v>12.97</v>
      </c>
      <c r="C95" s="2">
        <v>123456789</v>
      </c>
      <c r="D95" s="2">
        <v>123456789</v>
      </c>
    </row>
    <row r="96" spans="1:4" x14ac:dyDescent="0.45">
      <c r="A96" t="s">
        <v>229</v>
      </c>
      <c r="B96">
        <f>spliced_vix!E96</f>
        <v>12.12</v>
      </c>
      <c r="C96" s="2">
        <v>123456789</v>
      </c>
      <c r="D96" s="2">
        <v>123456789</v>
      </c>
    </row>
    <row r="97" spans="1:4" x14ac:dyDescent="0.45">
      <c r="A97" t="s">
        <v>230</v>
      </c>
      <c r="B97">
        <f>spliced_vix!E97</f>
        <v>12.42</v>
      </c>
      <c r="C97" s="2">
        <v>123456789</v>
      </c>
      <c r="D97" s="2">
        <v>123456789</v>
      </c>
    </row>
    <row r="98" spans="1:4" x14ac:dyDescent="0.45">
      <c r="A98" t="s">
        <v>231</v>
      </c>
      <c r="B98">
        <f>spliced_vix!E98</f>
        <v>13.44</v>
      </c>
      <c r="C98" s="2">
        <v>123456789</v>
      </c>
      <c r="D98" s="2">
        <v>123456789</v>
      </c>
    </row>
    <row r="99" spans="1:4" x14ac:dyDescent="0.45">
      <c r="A99" t="s">
        <v>232</v>
      </c>
      <c r="B99">
        <f>spliced_vix!E99</f>
        <v>14.51</v>
      </c>
      <c r="C99" s="2">
        <v>123456789</v>
      </c>
      <c r="D99" s="2">
        <v>123456789</v>
      </c>
    </row>
    <row r="100" spans="1:4" x14ac:dyDescent="0.45">
      <c r="A100" t="s">
        <v>233</v>
      </c>
      <c r="B100">
        <f>spliced_vix!E100</f>
        <v>12.52</v>
      </c>
      <c r="C100" s="2">
        <v>123456789</v>
      </c>
      <c r="D100" s="2">
        <v>123456789</v>
      </c>
    </row>
    <row r="101" spans="1:4" x14ac:dyDescent="0.45">
      <c r="A101" t="s">
        <v>234</v>
      </c>
      <c r="B101">
        <f>spliced_vix!E101</f>
        <v>15.27</v>
      </c>
      <c r="C101" s="2">
        <v>123456789</v>
      </c>
      <c r="D101" s="2">
        <v>123456789</v>
      </c>
    </row>
    <row r="102" spans="1:4" x14ac:dyDescent="0.45">
      <c r="A102" t="s">
        <v>235</v>
      </c>
      <c r="B102">
        <f>spliced_vix!E102</f>
        <v>11.99</v>
      </c>
      <c r="C102" s="2">
        <v>123456789</v>
      </c>
      <c r="D102" s="2">
        <v>123456789</v>
      </c>
    </row>
    <row r="103" spans="1:4" x14ac:dyDescent="0.45">
      <c r="A103" t="s">
        <v>236</v>
      </c>
      <c r="B103">
        <f>spliced_vix!E103</f>
        <v>12.19</v>
      </c>
      <c r="C103" s="2">
        <v>123456789</v>
      </c>
      <c r="D103" s="2">
        <v>123456789</v>
      </c>
    </row>
    <row r="104" spans="1:4" x14ac:dyDescent="0.45">
      <c r="A104" t="s">
        <v>237</v>
      </c>
      <c r="B104">
        <f>spliced_vix!E104</f>
        <v>12.47</v>
      </c>
      <c r="C104" s="2">
        <v>123456789</v>
      </c>
      <c r="D104" s="2">
        <v>123456789</v>
      </c>
    </row>
    <row r="105" spans="1:4" x14ac:dyDescent="0.45">
      <c r="A105" t="s">
        <v>238</v>
      </c>
      <c r="B105">
        <f>spliced_vix!E105</f>
        <v>12.9</v>
      </c>
      <c r="C105" s="2">
        <v>123456789</v>
      </c>
      <c r="D105" s="2">
        <v>123456789</v>
      </c>
    </row>
    <row r="106" spans="1:4" x14ac:dyDescent="0.45">
      <c r="A106" t="s">
        <v>239</v>
      </c>
      <c r="B106">
        <f>spliced_vix!E106</f>
        <v>15.4</v>
      </c>
      <c r="C106" s="2">
        <v>123456789</v>
      </c>
      <c r="D106" s="2">
        <v>123456789</v>
      </c>
    </row>
    <row r="107" spans="1:4" x14ac:dyDescent="0.45">
      <c r="A107" t="s">
        <v>240</v>
      </c>
      <c r="B107">
        <f>spliced_vix!E107</f>
        <v>16.37</v>
      </c>
      <c r="C107" s="2">
        <v>123456789</v>
      </c>
      <c r="D107" s="2">
        <v>123456789</v>
      </c>
    </row>
    <row r="108" spans="1:4" x14ac:dyDescent="0.45">
      <c r="A108" t="s">
        <v>241</v>
      </c>
      <c r="B108">
        <f>spliced_vix!E108</f>
        <v>16.78</v>
      </c>
      <c r="C108" s="2">
        <v>123456789</v>
      </c>
      <c r="D108" s="2">
        <v>123456789</v>
      </c>
    </row>
    <row r="109" spans="1:4" x14ac:dyDescent="0.45">
      <c r="A109" t="s">
        <v>242</v>
      </c>
      <c r="B109">
        <f>spliced_vix!E109</f>
        <v>17.21</v>
      </c>
      <c r="C109" s="2">
        <v>123456789</v>
      </c>
      <c r="D109" s="2">
        <v>123456789</v>
      </c>
    </row>
    <row r="110" spans="1:4" x14ac:dyDescent="0.45">
      <c r="A110" t="s">
        <v>243</v>
      </c>
      <c r="B110">
        <f>spliced_vix!E110</f>
        <v>19.920000000000002</v>
      </c>
      <c r="C110" s="2">
        <v>123456789</v>
      </c>
      <c r="D110" s="2">
        <v>123456789</v>
      </c>
    </row>
    <row r="111" spans="1:4" x14ac:dyDescent="0.45">
      <c r="A111" t="s">
        <v>244</v>
      </c>
      <c r="B111">
        <f>spliced_vix!E111</f>
        <v>19.920000000000002</v>
      </c>
      <c r="C111" s="2">
        <v>123456789</v>
      </c>
      <c r="D111" s="2">
        <v>123456789</v>
      </c>
    </row>
    <row r="112" spans="1:4" x14ac:dyDescent="0.45">
      <c r="A112" t="s">
        <v>245</v>
      </c>
      <c r="B112">
        <f>spliced_vix!E112</f>
        <v>22.45</v>
      </c>
      <c r="C112" s="2">
        <v>123456789</v>
      </c>
      <c r="D112" s="2">
        <v>123456789</v>
      </c>
    </row>
    <row r="113" spans="1:4" x14ac:dyDescent="0.45">
      <c r="A113" t="s">
        <v>246</v>
      </c>
      <c r="B113">
        <f>spliced_vix!E113</f>
        <v>27.09</v>
      </c>
      <c r="C113" s="2">
        <v>123456789</v>
      </c>
      <c r="D113" s="2">
        <v>123456789</v>
      </c>
    </row>
    <row r="114" spans="1:4" x14ac:dyDescent="0.45">
      <c r="A114" t="s">
        <v>247</v>
      </c>
      <c r="B114">
        <f>spliced_vix!E114</f>
        <v>21.32</v>
      </c>
      <c r="C114" s="2">
        <v>123456789</v>
      </c>
      <c r="D114" s="2">
        <v>123456789</v>
      </c>
    </row>
    <row r="115" spans="1:4" x14ac:dyDescent="0.45">
      <c r="A115" t="s">
        <v>248</v>
      </c>
      <c r="B115">
        <f>spliced_vix!E115</f>
        <v>21.53</v>
      </c>
      <c r="C115" s="2">
        <v>123456789</v>
      </c>
      <c r="D115" s="2">
        <v>123456789</v>
      </c>
    </row>
    <row r="116" spans="1:4" x14ac:dyDescent="0.45">
      <c r="A116" t="s">
        <v>249</v>
      </c>
      <c r="B116">
        <f>spliced_vix!E116</f>
        <v>29.75</v>
      </c>
      <c r="C116" s="2">
        <v>123456789</v>
      </c>
      <c r="D116" s="2">
        <v>123456789</v>
      </c>
    </row>
    <row r="117" spans="1:4" x14ac:dyDescent="0.45">
      <c r="A117" t="s">
        <v>250</v>
      </c>
      <c r="B117">
        <f>spliced_vix!E117</f>
        <v>29.54</v>
      </c>
      <c r="C117" s="2">
        <v>123456789</v>
      </c>
      <c r="D117" s="2">
        <v>123456789</v>
      </c>
    </row>
    <row r="118" spans="1:4" x14ac:dyDescent="0.45">
      <c r="A118" t="s">
        <v>251</v>
      </c>
      <c r="B118">
        <f>spliced_vix!E118</f>
        <v>27.25</v>
      </c>
      <c r="C118" s="2">
        <v>123456789</v>
      </c>
      <c r="D118" s="2">
        <v>123456789</v>
      </c>
    </row>
    <row r="119" spans="1:4" x14ac:dyDescent="0.45">
      <c r="A119" t="s">
        <v>252</v>
      </c>
      <c r="B119">
        <f>spliced_vix!E119</f>
        <v>24.4</v>
      </c>
      <c r="C119" s="2">
        <v>123456789</v>
      </c>
      <c r="D119" s="2">
        <v>123456789</v>
      </c>
    </row>
    <row r="120" spans="1:4" x14ac:dyDescent="0.45">
      <c r="A120" t="s">
        <v>253</v>
      </c>
      <c r="B120">
        <f>spliced_vix!E120</f>
        <v>23.32</v>
      </c>
      <c r="C120" s="2">
        <v>123456789</v>
      </c>
      <c r="D120" s="2">
        <v>123456789</v>
      </c>
    </row>
    <row r="121" spans="1:4" x14ac:dyDescent="0.45">
      <c r="A121" t="s">
        <v>254</v>
      </c>
      <c r="B121">
        <f>spliced_vix!E121</f>
        <v>22.66</v>
      </c>
      <c r="C121" s="2">
        <v>123456789</v>
      </c>
      <c r="D121" s="2">
        <v>123456789</v>
      </c>
    </row>
    <row r="122" spans="1:4" x14ac:dyDescent="0.45">
      <c r="A122" t="s">
        <v>255</v>
      </c>
      <c r="B122">
        <f>spliced_vix!E122</f>
        <v>23.15</v>
      </c>
      <c r="C122" s="2">
        <v>123456789</v>
      </c>
      <c r="D122" s="2">
        <v>123456789</v>
      </c>
    </row>
    <row r="123" spans="1:4" x14ac:dyDescent="0.45">
      <c r="A123" t="s">
        <v>256</v>
      </c>
      <c r="B123">
        <f>spliced_vix!E123</f>
        <v>24.92</v>
      </c>
      <c r="C123" s="2">
        <v>123456789</v>
      </c>
      <c r="D123" s="2">
        <v>123456789</v>
      </c>
    </row>
    <row r="124" spans="1:4" x14ac:dyDescent="0.45">
      <c r="A124" t="s">
        <v>257</v>
      </c>
      <c r="B124">
        <f>spliced_vix!E124</f>
        <v>19.170000000000002</v>
      </c>
      <c r="C124" s="2">
        <v>123456789</v>
      </c>
      <c r="D124" s="2">
        <v>123456789</v>
      </c>
    </row>
    <row r="125" spans="1:4" x14ac:dyDescent="0.45">
      <c r="A125" t="s">
        <v>258</v>
      </c>
      <c r="B125">
        <f>spliced_vix!E125</f>
        <v>26.02</v>
      </c>
      <c r="C125" s="2">
        <v>123456789</v>
      </c>
      <c r="D125" s="2">
        <v>123456789</v>
      </c>
    </row>
    <row r="126" spans="1:4" x14ac:dyDescent="0.45">
      <c r="A126" t="s">
        <v>259</v>
      </c>
      <c r="B126">
        <f>spliced_vix!E126</f>
        <v>25.73</v>
      </c>
      <c r="C126" s="2">
        <v>123456789</v>
      </c>
      <c r="D126" s="2">
        <v>123456789</v>
      </c>
    </row>
    <row r="127" spans="1:4" x14ac:dyDescent="0.45">
      <c r="A127" t="s">
        <v>260</v>
      </c>
      <c r="B127">
        <f>spliced_vix!E127</f>
        <v>23.92</v>
      </c>
      <c r="C127" s="2">
        <v>123456789</v>
      </c>
      <c r="D127" s="2">
        <v>123456789</v>
      </c>
    </row>
    <row r="128" spans="1:4" x14ac:dyDescent="0.45">
      <c r="A128" t="s">
        <v>261</v>
      </c>
      <c r="B128">
        <f>spliced_vix!E128</f>
        <v>25.38</v>
      </c>
      <c r="C128" s="2">
        <v>123456789</v>
      </c>
      <c r="D128" s="2">
        <v>123456789</v>
      </c>
    </row>
    <row r="129" spans="1:4" x14ac:dyDescent="0.45">
      <c r="A129" t="s">
        <v>262</v>
      </c>
      <c r="B129">
        <f>spliced_vix!E129</f>
        <v>27.91</v>
      </c>
      <c r="C129" s="2">
        <v>123456789</v>
      </c>
      <c r="D129" s="2">
        <v>123456789</v>
      </c>
    </row>
    <row r="130" spans="1:4" x14ac:dyDescent="0.45">
      <c r="A130" t="s">
        <v>263</v>
      </c>
      <c r="B130">
        <f>spliced_vix!E130</f>
        <v>21.36</v>
      </c>
      <c r="C130" s="2">
        <v>123456789</v>
      </c>
      <c r="D130" s="2">
        <v>123456789</v>
      </c>
    </row>
    <row r="131" spans="1:4" x14ac:dyDescent="0.45">
      <c r="A131" t="s">
        <v>264</v>
      </c>
      <c r="B131">
        <f>spliced_vix!E131</f>
        <v>21.64</v>
      </c>
      <c r="C131" s="2">
        <v>123456789</v>
      </c>
      <c r="D131" s="2">
        <v>123456789</v>
      </c>
    </row>
    <row r="132" spans="1:4" x14ac:dyDescent="0.45">
      <c r="A132" t="s">
        <v>265</v>
      </c>
      <c r="B132">
        <f>spliced_vix!E132</f>
        <v>35.07</v>
      </c>
      <c r="C132" s="2">
        <v>123456789</v>
      </c>
      <c r="D132" s="2">
        <v>123456789</v>
      </c>
    </row>
    <row r="133" spans="1:4" x14ac:dyDescent="0.45">
      <c r="A133" t="s">
        <v>266</v>
      </c>
      <c r="B133">
        <f>spliced_vix!E133</f>
        <v>30.73</v>
      </c>
      <c r="C133" s="2">
        <v>123456789</v>
      </c>
      <c r="D133" s="2">
        <v>123456789</v>
      </c>
    </row>
    <row r="134" spans="1:4" x14ac:dyDescent="0.45">
      <c r="A134" t="s">
        <v>267</v>
      </c>
      <c r="B134">
        <f>spliced_vix!E134</f>
        <v>30.02</v>
      </c>
      <c r="C134" s="2">
        <v>123456789</v>
      </c>
      <c r="D134" s="2">
        <v>123456789</v>
      </c>
    </row>
    <row r="135" spans="1:4" x14ac:dyDescent="0.45">
      <c r="A135" t="s">
        <v>268</v>
      </c>
      <c r="B135">
        <f>spliced_vix!E135</f>
        <v>21.53</v>
      </c>
      <c r="C135" s="2">
        <v>123456789</v>
      </c>
      <c r="D135" s="2">
        <v>123456789</v>
      </c>
    </row>
    <row r="136" spans="1:4" x14ac:dyDescent="0.45">
      <c r="A136" t="s">
        <v>269</v>
      </c>
      <c r="B136">
        <f>spliced_vix!E136</f>
        <v>19.32</v>
      </c>
      <c r="C136" s="2">
        <v>123456789</v>
      </c>
      <c r="D136" s="2">
        <v>123456789</v>
      </c>
    </row>
    <row r="137" spans="1:4" x14ac:dyDescent="0.45">
      <c r="A137" t="s">
        <v>270</v>
      </c>
      <c r="B137">
        <f>spliced_vix!E137</f>
        <v>17.43</v>
      </c>
      <c r="C137" s="2">
        <v>123456789</v>
      </c>
      <c r="D137" s="2">
        <v>123456789</v>
      </c>
    </row>
    <row r="138" spans="1:4" x14ac:dyDescent="0.45">
      <c r="A138" t="s">
        <v>271</v>
      </c>
      <c r="B138">
        <f>spliced_vix!E138</f>
        <v>16.66</v>
      </c>
      <c r="C138" s="2">
        <v>123456789</v>
      </c>
      <c r="D138" s="2">
        <v>123456789</v>
      </c>
    </row>
    <row r="139" spans="1:4" x14ac:dyDescent="0.45">
      <c r="A139" t="s">
        <v>272</v>
      </c>
      <c r="B139">
        <f>spliced_vix!E139</f>
        <v>16.21</v>
      </c>
      <c r="C139" s="2">
        <v>123456789</v>
      </c>
      <c r="D139" s="2">
        <v>123456789</v>
      </c>
    </row>
    <row r="140" spans="1:4" x14ac:dyDescent="0.45">
      <c r="A140" t="s">
        <v>273</v>
      </c>
      <c r="B140">
        <f>spliced_vix!E140</f>
        <v>15.44</v>
      </c>
      <c r="C140" s="2">
        <v>123456789</v>
      </c>
      <c r="D140" s="2">
        <v>123456789</v>
      </c>
    </row>
    <row r="141" spans="1:4" x14ac:dyDescent="0.45">
      <c r="A141" t="s">
        <v>274</v>
      </c>
      <c r="B141">
        <f>spliced_vix!E141</f>
        <v>13.65</v>
      </c>
      <c r="C141" s="2">
        <v>123456789</v>
      </c>
      <c r="D141" s="2">
        <v>123456789</v>
      </c>
    </row>
    <row r="142" spans="1:4" x14ac:dyDescent="0.45">
      <c r="A142" t="s">
        <v>275</v>
      </c>
      <c r="B142">
        <f>spliced_vix!E142</f>
        <v>12.79</v>
      </c>
      <c r="C142" s="2">
        <v>123456789</v>
      </c>
      <c r="D142" s="2">
        <v>123456789</v>
      </c>
    </row>
    <row r="143" spans="1:4" x14ac:dyDescent="0.45">
      <c r="A143" t="s">
        <v>276</v>
      </c>
      <c r="B143">
        <f>spliced_vix!E143</f>
        <v>13.41</v>
      </c>
      <c r="C143" s="2">
        <v>123456789</v>
      </c>
      <c r="D143" s="2">
        <v>123456789</v>
      </c>
    </row>
    <row r="144" spans="1:4" x14ac:dyDescent="0.45">
      <c r="A144" t="s">
        <v>277</v>
      </c>
      <c r="B144">
        <f>spliced_vix!E144</f>
        <v>12.25</v>
      </c>
      <c r="C144" s="2">
        <v>123456789</v>
      </c>
      <c r="D144" s="2">
        <v>123456789</v>
      </c>
    </row>
    <row r="145" spans="1:4" x14ac:dyDescent="0.45">
      <c r="A145" t="s">
        <v>278</v>
      </c>
      <c r="B145">
        <f>spliced_vix!E145</f>
        <v>12.78</v>
      </c>
      <c r="C145" s="2">
        <v>123456789</v>
      </c>
      <c r="D145" s="2">
        <v>123456789</v>
      </c>
    </row>
    <row r="146" spans="1:4" x14ac:dyDescent="0.45">
      <c r="A146" t="s">
        <v>279</v>
      </c>
      <c r="B146">
        <f>spliced_vix!E146</f>
        <v>12.04</v>
      </c>
      <c r="C146" s="2">
        <v>123456789</v>
      </c>
      <c r="D146" s="2">
        <v>123456789</v>
      </c>
    </row>
    <row r="147" spans="1:4" x14ac:dyDescent="0.45">
      <c r="A147" t="s">
        <v>280</v>
      </c>
      <c r="B147">
        <f>spliced_vix!E147</f>
        <v>14.53</v>
      </c>
      <c r="C147" s="2">
        <v>123456789</v>
      </c>
      <c r="D147" s="2">
        <v>123456789</v>
      </c>
    </row>
    <row r="148" spans="1:4" x14ac:dyDescent="0.45">
      <c r="A148" t="s">
        <v>281</v>
      </c>
      <c r="B148">
        <f>spliced_vix!E148</f>
        <v>13.61</v>
      </c>
      <c r="C148" s="2">
        <v>123456789</v>
      </c>
      <c r="D148" s="2">
        <v>123456789</v>
      </c>
    </row>
    <row r="149" spans="1:4" x14ac:dyDescent="0.45">
      <c r="A149" t="s">
        <v>282</v>
      </c>
      <c r="B149">
        <f>spliced_vix!E149</f>
        <v>11.03</v>
      </c>
      <c r="C149" s="2">
        <v>123456789</v>
      </c>
      <c r="D149" s="2">
        <v>123456789</v>
      </c>
    </row>
    <row r="150" spans="1:4" x14ac:dyDescent="0.45">
      <c r="A150" t="s">
        <v>283</v>
      </c>
      <c r="B150">
        <f>spliced_vix!E150</f>
        <v>12.56</v>
      </c>
      <c r="C150" s="2">
        <v>123456789</v>
      </c>
      <c r="D150" s="2">
        <v>123456789</v>
      </c>
    </row>
    <row r="151" spans="1:4" x14ac:dyDescent="0.45">
      <c r="A151" t="s">
        <v>284</v>
      </c>
      <c r="B151">
        <f>spliced_vix!E151</f>
        <v>13.73</v>
      </c>
      <c r="C151" s="2">
        <v>123456789</v>
      </c>
      <c r="D151" s="2">
        <v>123456789</v>
      </c>
    </row>
    <row r="152" spans="1:4" x14ac:dyDescent="0.45">
      <c r="A152" t="s">
        <v>285</v>
      </c>
      <c r="B152">
        <f>spliced_vix!E152</f>
        <v>21.59</v>
      </c>
      <c r="C152" s="2">
        <v>123456789</v>
      </c>
      <c r="D152" s="2">
        <v>123456789</v>
      </c>
    </row>
    <row r="153" spans="1:4" x14ac:dyDescent="0.45">
      <c r="A153" t="s">
        <v>286</v>
      </c>
      <c r="B153">
        <f>spliced_vix!E153</f>
        <v>22.03</v>
      </c>
      <c r="C153" s="2">
        <v>123456789</v>
      </c>
      <c r="D153" s="2">
        <v>123456789</v>
      </c>
    </row>
    <row r="154" spans="1:4" x14ac:dyDescent="0.45">
      <c r="A154" t="s">
        <v>287</v>
      </c>
      <c r="B154">
        <f>spliced_vix!E154</f>
        <v>26.12</v>
      </c>
      <c r="C154" s="2">
        <v>123456789</v>
      </c>
      <c r="D154" s="2">
        <v>123456789</v>
      </c>
    </row>
    <row r="155" spans="1:4" x14ac:dyDescent="0.45">
      <c r="A155" t="s">
        <v>288</v>
      </c>
      <c r="B155">
        <f>spliced_vix!E155</f>
        <v>20.67</v>
      </c>
      <c r="C155" s="2">
        <v>123456789</v>
      </c>
      <c r="D155" s="2">
        <v>123456789</v>
      </c>
    </row>
    <row r="156" spans="1:4" x14ac:dyDescent="0.45">
      <c r="A156" t="s">
        <v>289</v>
      </c>
      <c r="B156">
        <f>spliced_vix!E156</f>
        <v>25.07</v>
      </c>
      <c r="C156" s="2">
        <v>123456789</v>
      </c>
      <c r="D156" s="2">
        <v>123456789</v>
      </c>
    </row>
    <row r="157" spans="1:4" x14ac:dyDescent="0.45">
      <c r="A157" t="s">
        <v>290</v>
      </c>
      <c r="B157">
        <f>spliced_vix!E157</f>
        <v>58.6</v>
      </c>
      <c r="C157" s="2">
        <v>123456789</v>
      </c>
      <c r="D157" s="2">
        <v>123456789</v>
      </c>
    </row>
    <row r="158" spans="1:4" x14ac:dyDescent="0.45">
      <c r="A158" t="s">
        <v>291</v>
      </c>
      <c r="B158">
        <f>spliced_vix!E158</f>
        <v>45</v>
      </c>
      <c r="C158" s="2">
        <v>123456789</v>
      </c>
      <c r="D158" s="2">
        <v>123456789</v>
      </c>
    </row>
    <row r="159" spans="1:4" x14ac:dyDescent="0.45">
      <c r="A159" t="s">
        <v>292</v>
      </c>
      <c r="B159">
        <f>spliced_vix!E159</f>
        <v>33.020000000000003</v>
      </c>
      <c r="C159" s="2">
        <v>123456789</v>
      </c>
      <c r="D159" s="2">
        <v>123456789</v>
      </c>
    </row>
    <row r="160" spans="1:4" x14ac:dyDescent="0.45">
      <c r="A160" t="s">
        <v>293</v>
      </c>
      <c r="B160">
        <f>spliced_vix!E160</f>
        <v>25.49</v>
      </c>
      <c r="C160" s="2">
        <v>123456789</v>
      </c>
      <c r="D160" s="2">
        <v>123456789</v>
      </c>
    </row>
    <row r="161" spans="1:4" x14ac:dyDescent="0.45">
      <c r="A161" t="s">
        <v>294</v>
      </c>
      <c r="B161">
        <f>spliced_vix!E161</f>
        <v>23.07</v>
      </c>
      <c r="C161" s="2">
        <v>123456789</v>
      </c>
      <c r="D161" s="2">
        <v>123456789</v>
      </c>
    </row>
    <row r="162" spans="1:4" x14ac:dyDescent="0.45">
      <c r="A162" t="s">
        <v>295</v>
      </c>
      <c r="B162">
        <f>spliced_vix!E162</f>
        <v>20.149999999999999</v>
      </c>
      <c r="C162" s="2">
        <v>123456789</v>
      </c>
      <c r="D162" s="2">
        <v>123456789</v>
      </c>
    </row>
    <row r="163" spans="1:4" x14ac:dyDescent="0.45">
      <c r="A163" t="s">
        <v>296</v>
      </c>
      <c r="B163">
        <f>spliced_vix!E163</f>
        <v>26.39</v>
      </c>
      <c r="C163" s="2">
        <v>123456789</v>
      </c>
      <c r="D163" s="2">
        <v>123456789</v>
      </c>
    </row>
    <row r="164" spans="1:4" x14ac:dyDescent="0.45">
      <c r="A164" t="s">
        <v>297</v>
      </c>
      <c r="B164">
        <f>spliced_vix!E164</f>
        <v>24.28</v>
      </c>
      <c r="C164" s="2">
        <v>123456789</v>
      </c>
      <c r="D164" s="2">
        <v>123456789</v>
      </c>
    </row>
    <row r="165" spans="1:4" x14ac:dyDescent="0.45">
      <c r="A165" t="s">
        <v>298</v>
      </c>
      <c r="B165">
        <f>spliced_vix!E165</f>
        <v>19.32</v>
      </c>
      <c r="C165" s="2">
        <v>123456789</v>
      </c>
      <c r="D165" s="2">
        <v>123456789</v>
      </c>
    </row>
    <row r="166" spans="1:4" x14ac:dyDescent="0.45">
      <c r="A166" t="s">
        <v>299</v>
      </c>
      <c r="B166">
        <f>spliced_vix!E166</f>
        <v>18.61</v>
      </c>
      <c r="C166" s="2">
        <v>123456789</v>
      </c>
      <c r="D166" s="2">
        <v>123456789</v>
      </c>
    </row>
    <row r="167" spans="1:4" x14ac:dyDescent="0.45">
      <c r="A167" t="s">
        <v>300</v>
      </c>
      <c r="B167">
        <f>spliced_vix!E167</f>
        <v>17.48</v>
      </c>
      <c r="C167" s="2">
        <v>123456789</v>
      </c>
      <c r="D167" s="2">
        <v>123456789</v>
      </c>
    </row>
    <row r="168" spans="1:4" x14ac:dyDescent="0.45">
      <c r="A168" t="s">
        <v>301</v>
      </c>
      <c r="B168">
        <f>spliced_vix!E168</f>
        <v>30.58</v>
      </c>
      <c r="C168" s="2">
        <v>123456789</v>
      </c>
      <c r="D168" s="2">
        <v>123456789</v>
      </c>
    </row>
    <row r="169" spans="1:4" x14ac:dyDescent="0.45">
      <c r="A169" t="s">
        <v>302</v>
      </c>
      <c r="B169">
        <f>spliced_vix!E169</f>
        <v>29.94</v>
      </c>
      <c r="C169" s="2">
        <v>123456789</v>
      </c>
      <c r="D169" s="2">
        <v>123456789</v>
      </c>
    </row>
    <row r="170" spans="1:4" x14ac:dyDescent="0.45">
      <c r="A170" t="s">
        <v>303</v>
      </c>
      <c r="B170">
        <f>spliced_vix!E170</f>
        <v>18.2</v>
      </c>
      <c r="C170" s="2">
        <v>123456789</v>
      </c>
      <c r="D170" s="2">
        <v>123456789</v>
      </c>
    </row>
    <row r="171" spans="1:4" x14ac:dyDescent="0.45">
      <c r="A171" t="s">
        <v>304</v>
      </c>
      <c r="B171">
        <f>spliced_vix!E171</f>
        <v>20.04</v>
      </c>
      <c r="C171" s="2">
        <v>123456789</v>
      </c>
      <c r="D171" s="2">
        <v>123456789</v>
      </c>
    </row>
    <row r="172" spans="1:4" x14ac:dyDescent="0.45">
      <c r="A172" t="s">
        <v>305</v>
      </c>
      <c r="B172">
        <f>spliced_vix!E172</f>
        <v>16.190000000000001</v>
      </c>
      <c r="C172" s="2">
        <v>123456789</v>
      </c>
      <c r="D172" s="2">
        <v>123456789</v>
      </c>
    </row>
    <row r="173" spans="1:4" x14ac:dyDescent="0.45">
      <c r="A173" t="s">
        <v>306</v>
      </c>
      <c r="B173">
        <f>spliced_vix!E173</f>
        <v>16.75</v>
      </c>
      <c r="C173" s="2">
        <v>123456789</v>
      </c>
      <c r="D173" s="2">
        <v>123456789</v>
      </c>
    </row>
    <row r="174" spans="1:4" x14ac:dyDescent="0.45">
      <c r="A174" t="s">
        <v>307</v>
      </c>
      <c r="B174">
        <f>spliced_vix!E174</f>
        <v>13.53</v>
      </c>
      <c r="C174" s="2">
        <v>123456789</v>
      </c>
      <c r="D174" s="2">
        <v>123456789</v>
      </c>
    </row>
    <row r="175" spans="1:4" x14ac:dyDescent="0.45">
      <c r="A175" t="s">
        <v>308</v>
      </c>
      <c r="B175">
        <f>spliced_vix!E175</f>
        <v>14.84</v>
      </c>
      <c r="C175" s="2">
        <v>123456789</v>
      </c>
      <c r="D175" s="2">
        <v>123456789</v>
      </c>
    </row>
    <row r="176" spans="1:4" x14ac:dyDescent="0.45">
      <c r="A176" t="s">
        <v>309</v>
      </c>
      <c r="B176">
        <f>spliced_vix!E176</f>
        <v>14.28</v>
      </c>
      <c r="C176" s="2">
        <v>123456789</v>
      </c>
      <c r="D176" s="2">
        <v>123456789</v>
      </c>
    </row>
    <row r="177" spans="1:4" x14ac:dyDescent="0.45">
      <c r="A177" t="s">
        <v>310</v>
      </c>
      <c r="B177">
        <f>spliced_vix!E177</f>
        <v>14.23</v>
      </c>
      <c r="C177" s="2">
        <v>123456789</v>
      </c>
      <c r="D177" s="2">
        <v>123456789</v>
      </c>
    </row>
    <row r="178" spans="1:4" x14ac:dyDescent="0.45">
      <c r="A178" t="s">
        <v>311</v>
      </c>
      <c r="B178">
        <f>spliced_vix!E178</f>
        <v>14.83</v>
      </c>
      <c r="C178" s="2">
        <v>123456789</v>
      </c>
      <c r="D178" s="2">
        <v>123456789</v>
      </c>
    </row>
    <row r="179" spans="1:4" x14ac:dyDescent="0.45">
      <c r="A179" t="s">
        <v>312</v>
      </c>
      <c r="B179">
        <f>spliced_vix!E179</f>
        <v>12.74</v>
      </c>
      <c r="C179" s="2">
        <v>123456789</v>
      </c>
      <c r="D179" s="2">
        <v>123456789</v>
      </c>
    </row>
    <row r="180" spans="1:4" x14ac:dyDescent="0.45">
      <c r="A180" t="s">
        <v>313</v>
      </c>
      <c r="B180">
        <f>spliced_vix!E180</f>
        <v>13.07</v>
      </c>
      <c r="C180" s="2">
        <v>123456789</v>
      </c>
      <c r="D180" s="2">
        <v>123456789</v>
      </c>
    </row>
    <row r="181" spans="1:4" x14ac:dyDescent="0.45">
      <c r="A181" t="s">
        <v>314</v>
      </c>
      <c r="B181">
        <f>spliced_vix!E181</f>
        <v>16.07</v>
      </c>
      <c r="C181" s="2">
        <v>123456789</v>
      </c>
      <c r="D181" s="2">
        <v>123456789</v>
      </c>
    </row>
    <row r="182" spans="1:4" x14ac:dyDescent="0.45">
      <c r="A182" t="s">
        <v>315</v>
      </c>
      <c r="B182">
        <f>spliced_vix!E182</f>
        <v>16.559999999999999</v>
      </c>
      <c r="C182" s="2">
        <v>123456789</v>
      </c>
      <c r="D182" s="2">
        <v>123456789</v>
      </c>
    </row>
    <row r="183" spans="1:4" x14ac:dyDescent="0.45">
      <c r="A183" t="s">
        <v>316</v>
      </c>
      <c r="B183">
        <f>spliced_vix!E183</f>
        <v>13.74</v>
      </c>
      <c r="C183" s="2">
        <v>123456789</v>
      </c>
      <c r="D183" s="2">
        <v>123456789</v>
      </c>
    </row>
    <row r="184" spans="1:4" x14ac:dyDescent="0.45">
      <c r="A184" t="s">
        <v>317</v>
      </c>
      <c r="B184">
        <f>spliced_vix!E184</f>
        <v>19.309999999999999</v>
      </c>
      <c r="C184" s="2">
        <v>123456789</v>
      </c>
      <c r="D184" s="2">
        <v>123456789</v>
      </c>
    </row>
    <row r="185" spans="1:4" x14ac:dyDescent="0.45">
      <c r="A185" t="s">
        <v>318</v>
      </c>
      <c r="B185">
        <f>spliced_vix!E185</f>
        <v>17.03</v>
      </c>
      <c r="C185" s="2">
        <v>123456789</v>
      </c>
      <c r="D185" s="2">
        <v>123456789</v>
      </c>
    </row>
    <row r="186" spans="1:4" x14ac:dyDescent="0.45">
      <c r="A186" t="s">
        <v>319</v>
      </c>
      <c r="B186">
        <f>spliced_vix!E186</f>
        <v>20.49</v>
      </c>
      <c r="C186" s="2">
        <v>123456789</v>
      </c>
      <c r="D186" s="2">
        <v>123456789</v>
      </c>
    </row>
    <row r="187" spans="1:4" x14ac:dyDescent="0.45">
      <c r="A187" t="s">
        <v>320</v>
      </c>
      <c r="B187">
        <f>spliced_vix!E187</f>
        <v>15.68</v>
      </c>
      <c r="C187" s="2">
        <v>123456789</v>
      </c>
      <c r="D187" s="2">
        <v>123456789</v>
      </c>
    </row>
    <row r="188" spans="1:4" x14ac:dyDescent="0.45">
      <c r="A188" t="s">
        <v>321</v>
      </c>
      <c r="B188">
        <f>spliced_vix!E188</f>
        <v>13.23</v>
      </c>
      <c r="C188" s="2">
        <v>123456789</v>
      </c>
      <c r="D188" s="2">
        <v>123456789</v>
      </c>
    </row>
    <row r="189" spans="1:4" x14ac:dyDescent="0.45">
      <c r="A189" t="s">
        <v>322</v>
      </c>
      <c r="B189">
        <f>spliced_vix!E189</f>
        <v>14.1</v>
      </c>
      <c r="C189" s="2">
        <v>123456789</v>
      </c>
      <c r="D189" s="2">
        <v>123456789</v>
      </c>
    </row>
    <row r="190" spans="1:4" x14ac:dyDescent="0.45">
      <c r="A190" t="s">
        <v>323</v>
      </c>
      <c r="B190">
        <f>spliced_vix!E190</f>
        <v>11.69</v>
      </c>
      <c r="C190" s="2">
        <v>123456789</v>
      </c>
      <c r="D190" s="2">
        <v>123456789</v>
      </c>
    </row>
    <row r="191" spans="1:4" x14ac:dyDescent="0.45">
      <c r="A191" t="s">
        <v>324</v>
      </c>
      <c r="B191">
        <f>spliced_vix!E191</f>
        <v>11.43</v>
      </c>
      <c r="C191" s="2">
        <v>123456789</v>
      </c>
      <c r="D191" s="2">
        <v>123456789</v>
      </c>
    </row>
    <row r="192" spans="1:4" x14ac:dyDescent="0.45">
      <c r="A192" t="s">
        <v>325</v>
      </c>
      <c r="B192">
        <f>spliced_vix!E192</f>
        <v>10.94</v>
      </c>
      <c r="C192" s="2">
        <v>123456789</v>
      </c>
      <c r="D192" s="2">
        <v>123456789</v>
      </c>
    </row>
    <row r="193" spans="1:4" x14ac:dyDescent="0.45">
      <c r="A193" t="s">
        <v>326</v>
      </c>
      <c r="B193">
        <f>spliced_vix!E193</f>
        <v>10.31</v>
      </c>
      <c r="C193" s="2">
        <v>123456789</v>
      </c>
      <c r="D193" s="2">
        <v>123456789</v>
      </c>
    </row>
    <row r="194" spans="1:4" x14ac:dyDescent="0.45">
      <c r="A194" t="s">
        <v>327</v>
      </c>
      <c r="B194">
        <f>spliced_vix!E194</f>
        <v>17.350000000000001</v>
      </c>
      <c r="C194" s="2">
        <v>123456789</v>
      </c>
      <c r="D194" s="2">
        <v>123456789</v>
      </c>
    </row>
    <row r="195" spans="1:4" x14ac:dyDescent="0.45">
      <c r="A195" t="s">
        <v>328</v>
      </c>
      <c r="B195">
        <f>spliced_vix!E195</f>
        <v>15.34</v>
      </c>
      <c r="C195" s="2">
        <v>123456789</v>
      </c>
      <c r="D195" s="2">
        <v>123456789</v>
      </c>
    </row>
    <row r="196" spans="1:4" x14ac:dyDescent="0.45">
      <c r="A196" t="s">
        <v>329</v>
      </c>
      <c r="B196">
        <f>spliced_vix!E196</f>
        <v>12.86</v>
      </c>
      <c r="C196" s="2">
        <v>123456789</v>
      </c>
      <c r="D196" s="2">
        <v>123456789</v>
      </c>
    </row>
    <row r="197" spans="1:4" x14ac:dyDescent="0.45">
      <c r="A197" t="s">
        <v>330</v>
      </c>
      <c r="B197">
        <f>spliced_vix!E197</f>
        <v>21.05</v>
      </c>
      <c r="C197" s="2">
        <v>123456789</v>
      </c>
      <c r="D197" s="2">
        <v>123456789</v>
      </c>
    </row>
    <row r="198" spans="1:4" x14ac:dyDescent="0.45">
      <c r="A198" t="s">
        <v>331</v>
      </c>
      <c r="B198">
        <f>spliced_vix!E198</f>
        <v>16.47</v>
      </c>
      <c r="C198" s="2">
        <v>123456789</v>
      </c>
      <c r="D198" s="2">
        <v>123456789</v>
      </c>
    </row>
    <row r="199" spans="1:4" x14ac:dyDescent="0.45">
      <c r="A199" t="s">
        <v>332</v>
      </c>
      <c r="B199">
        <f>spliced_vix!E199</f>
        <v>15.18</v>
      </c>
      <c r="C199" s="2">
        <v>123456789</v>
      </c>
      <c r="D199" s="2">
        <v>123456789</v>
      </c>
    </row>
    <row r="200" spans="1:4" x14ac:dyDescent="0.45">
      <c r="A200" t="s">
        <v>333</v>
      </c>
      <c r="B200">
        <f>spliced_vix!E200</f>
        <v>15.96</v>
      </c>
      <c r="C200" s="2">
        <v>123456789</v>
      </c>
      <c r="D200" s="2">
        <v>123456789</v>
      </c>
    </row>
    <row r="201" spans="1:4" x14ac:dyDescent="0.45">
      <c r="A201" t="s">
        <v>334</v>
      </c>
      <c r="B201">
        <f>spliced_vix!E201</f>
        <v>13.99</v>
      </c>
      <c r="C201" s="2">
        <v>123456789</v>
      </c>
      <c r="D201" s="2">
        <v>123456789</v>
      </c>
    </row>
    <row r="202" spans="1:4" x14ac:dyDescent="0.45">
      <c r="A202" t="s">
        <v>335</v>
      </c>
      <c r="B202">
        <f>spliced_vix!E202</f>
        <v>31.22</v>
      </c>
      <c r="C202" s="2">
        <v>123456789</v>
      </c>
      <c r="D202" s="2">
        <v>123456789</v>
      </c>
    </row>
    <row r="203" spans="1:4" x14ac:dyDescent="0.45">
      <c r="A203" t="s">
        <v>336</v>
      </c>
      <c r="B203">
        <f>spliced_vix!E203</f>
        <v>34.49</v>
      </c>
      <c r="C203" s="2">
        <v>123456789</v>
      </c>
      <c r="D203" s="2">
        <v>123456789</v>
      </c>
    </row>
    <row r="204" spans="1:4" x14ac:dyDescent="0.45">
      <c r="A204" t="s">
        <v>337</v>
      </c>
      <c r="B204">
        <f>spliced_vix!E204</f>
        <v>25.81</v>
      </c>
      <c r="C204" s="2">
        <v>123456789</v>
      </c>
      <c r="D204" s="2">
        <v>123456789</v>
      </c>
    </row>
    <row r="205" spans="1:4" x14ac:dyDescent="0.45">
      <c r="A205" t="s">
        <v>338</v>
      </c>
      <c r="B205">
        <f>spliced_vix!E205</f>
        <v>25.62</v>
      </c>
      <c r="C205" s="2">
        <v>123456789</v>
      </c>
      <c r="D205" s="2">
        <v>123456789</v>
      </c>
    </row>
    <row r="206" spans="1:4" x14ac:dyDescent="0.45">
      <c r="A206" t="s">
        <v>339</v>
      </c>
      <c r="B206">
        <f>spliced_vix!E206</f>
        <v>23.2</v>
      </c>
      <c r="C206" s="2">
        <v>123456789</v>
      </c>
      <c r="D206" s="2">
        <v>123456789</v>
      </c>
    </row>
    <row r="207" spans="1:4" x14ac:dyDescent="0.45">
      <c r="A207" t="s">
        <v>340</v>
      </c>
      <c r="B207">
        <f>spliced_vix!E207</f>
        <v>18</v>
      </c>
      <c r="C207" s="2">
        <v>123456789</v>
      </c>
      <c r="D207" s="2">
        <v>123456789</v>
      </c>
    </row>
    <row r="208" spans="1:4" x14ac:dyDescent="0.45">
      <c r="A208" t="s">
        <v>341</v>
      </c>
      <c r="B208">
        <f>spliced_vix!E208</f>
        <v>18.29</v>
      </c>
      <c r="C208" s="2">
        <v>123456789</v>
      </c>
      <c r="D208" s="2">
        <v>123456789</v>
      </c>
    </row>
    <row r="209" spans="1:4" x14ac:dyDescent="0.45">
      <c r="A209" t="s">
        <v>342</v>
      </c>
      <c r="B209">
        <f>spliced_vix!E209</f>
        <v>19.28</v>
      </c>
      <c r="C209" s="2">
        <v>123456789</v>
      </c>
      <c r="D209" s="2">
        <v>123456789</v>
      </c>
    </row>
    <row r="210" spans="1:4" x14ac:dyDescent="0.45">
      <c r="A210" t="s">
        <v>343</v>
      </c>
      <c r="B210">
        <f>spliced_vix!E210</f>
        <v>25.37</v>
      </c>
      <c r="C210" s="2">
        <v>123456789</v>
      </c>
      <c r="D210" s="2">
        <v>123456789</v>
      </c>
    </row>
    <row r="211" spans="1:4" x14ac:dyDescent="0.45">
      <c r="A211" t="s">
        <v>344</v>
      </c>
      <c r="B211">
        <f>spliced_vix!E211</f>
        <v>27.4</v>
      </c>
      <c r="C211" s="2">
        <v>123456789</v>
      </c>
      <c r="D211" s="2">
        <v>123456789</v>
      </c>
    </row>
    <row r="212" spans="1:4" x14ac:dyDescent="0.45">
      <c r="A212" t="s">
        <v>345</v>
      </c>
      <c r="B212">
        <f>spliced_vix!E212</f>
        <v>24.79</v>
      </c>
      <c r="C212" s="2">
        <v>123456789</v>
      </c>
      <c r="D212" s="2">
        <v>123456789</v>
      </c>
    </row>
    <row r="213" spans="1:4" x14ac:dyDescent="0.45">
      <c r="A213" t="s">
        <v>346</v>
      </c>
      <c r="B213">
        <f>spliced_vix!E213</f>
        <v>25</v>
      </c>
      <c r="C213" s="2">
        <v>123456789</v>
      </c>
      <c r="D213" s="2">
        <v>123456789</v>
      </c>
    </row>
    <row r="214" spans="1:4" x14ac:dyDescent="0.45">
      <c r="A214" t="s">
        <v>347</v>
      </c>
      <c r="B214">
        <f>spliced_vix!E214</f>
        <v>20.68</v>
      </c>
      <c r="C214" s="2">
        <v>123456789</v>
      </c>
      <c r="D214" s="2">
        <v>123456789</v>
      </c>
    </row>
    <row r="215" spans="1:4" x14ac:dyDescent="0.45">
      <c r="A215" t="s">
        <v>348</v>
      </c>
      <c r="B215">
        <f>spliced_vix!E215</f>
        <v>16.440000000000001</v>
      </c>
      <c r="C215" s="2">
        <v>123456789</v>
      </c>
      <c r="D215" s="2">
        <v>123456789</v>
      </c>
    </row>
    <row r="216" spans="1:4" x14ac:dyDescent="0.45">
      <c r="A216" t="s">
        <v>349</v>
      </c>
      <c r="B216">
        <f>spliced_vix!E216</f>
        <v>15.01</v>
      </c>
      <c r="C216" s="2">
        <v>123456789</v>
      </c>
      <c r="D216" s="2">
        <v>123456789</v>
      </c>
    </row>
    <row r="217" spans="1:4" x14ac:dyDescent="0.45">
      <c r="A217" t="s">
        <v>350</v>
      </c>
      <c r="B217">
        <f>spliced_vix!E217</f>
        <v>15.29</v>
      </c>
      <c r="C217" s="2">
        <v>123456789</v>
      </c>
      <c r="D217" s="2">
        <v>123456789</v>
      </c>
    </row>
    <row r="218" spans="1:4" x14ac:dyDescent="0.45">
      <c r="A218" t="s">
        <v>351</v>
      </c>
      <c r="B218">
        <f>spliced_vix!E218</f>
        <v>13.71</v>
      </c>
      <c r="C218" s="2">
        <v>123456789</v>
      </c>
      <c r="D218" s="2">
        <v>123456789</v>
      </c>
    </row>
    <row r="219" spans="1:4" x14ac:dyDescent="0.45">
      <c r="A219" t="s">
        <v>352</v>
      </c>
      <c r="B219">
        <f>spliced_vix!E219</f>
        <v>13.98</v>
      </c>
      <c r="C219" s="2">
        <v>123456789</v>
      </c>
      <c r="D219" s="2">
        <v>123456789</v>
      </c>
    </row>
    <row r="220" spans="1:4" x14ac:dyDescent="0.45">
      <c r="A220" t="s">
        <v>353</v>
      </c>
      <c r="B220">
        <f>spliced_vix!E220</f>
        <v>17.07</v>
      </c>
      <c r="C220" s="2">
        <v>123456789</v>
      </c>
      <c r="D220" s="2">
        <v>123456789</v>
      </c>
    </row>
    <row r="221" spans="1:4" x14ac:dyDescent="0.45">
      <c r="A221" t="s">
        <v>354</v>
      </c>
      <c r="B221">
        <f>spliced_vix!E221</f>
        <v>17.36</v>
      </c>
      <c r="C221" s="2">
        <v>123456789</v>
      </c>
      <c r="D221" s="2">
        <v>123456789</v>
      </c>
    </row>
    <row r="222" spans="1:4" x14ac:dyDescent="0.45">
      <c r="A222" t="s">
        <v>355</v>
      </c>
      <c r="B222">
        <f>spliced_vix!E222</f>
        <v>18.52</v>
      </c>
      <c r="C222" s="2">
        <v>123456789</v>
      </c>
      <c r="D222" s="2">
        <v>123456789</v>
      </c>
    </row>
    <row r="223" spans="1:4" x14ac:dyDescent="0.45">
      <c r="A223" s="40" t="s">
        <v>356</v>
      </c>
      <c r="B223" s="40">
        <f>spliced_vix!E223</f>
        <v>23.56</v>
      </c>
      <c r="C223" s="2">
        <v>123456789</v>
      </c>
      <c r="D223" s="2">
        <v>123456789</v>
      </c>
    </row>
    <row r="224" spans="1:4" x14ac:dyDescent="0.45">
      <c r="A224" s="40" t="s">
        <v>357</v>
      </c>
      <c r="B224" s="40">
        <f>spliced_vix!E224</f>
        <v>15.98</v>
      </c>
      <c r="C224" s="2">
        <v>123456789</v>
      </c>
      <c r="D224" s="2">
        <v>123456789</v>
      </c>
    </row>
    <row r="225" spans="1:4" x14ac:dyDescent="0.45">
      <c r="A225" s="40" t="s">
        <v>438</v>
      </c>
      <c r="B225" s="40">
        <f>spliced_vix!E225</f>
        <v>16.98</v>
      </c>
      <c r="C225" s="2">
        <v>123456789</v>
      </c>
      <c r="D225" s="2">
        <v>123456789</v>
      </c>
    </row>
    <row r="226" spans="1:4" x14ac:dyDescent="0.45">
      <c r="A226" s="40" t="s">
        <v>441</v>
      </c>
      <c r="B226" s="40">
        <v>16.98</v>
      </c>
      <c r="C226" s="2">
        <v>123456789</v>
      </c>
      <c r="D226" s="2">
        <v>123456789</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DDD4-10CD-4933-AD25-37C94A5A507A}">
  <sheetPr>
    <tabColor theme="9" tint="0.79998168889431442"/>
  </sheetPr>
  <dimension ref="A1:D226"/>
  <sheetViews>
    <sheetView topLeftCell="A208" workbookViewId="0">
      <selection activeCell="C229" sqref="C229"/>
    </sheetView>
  </sheetViews>
  <sheetFormatPr defaultRowHeight="14.25" x14ac:dyDescent="0.45"/>
  <sheetData>
    <row r="1" spans="1:4" x14ac:dyDescent="0.45">
      <c r="B1" t="s">
        <v>6</v>
      </c>
      <c r="C1" t="s">
        <v>133</v>
      </c>
      <c r="D1" t="s">
        <v>134</v>
      </c>
    </row>
    <row r="2" spans="1:4" x14ac:dyDescent="0.45">
      <c r="A2" t="s">
        <v>135</v>
      </c>
      <c r="B2">
        <v>139.33330000000001</v>
      </c>
      <c r="C2" s="2">
        <v>123456789</v>
      </c>
      <c r="D2" s="2">
        <v>123456789</v>
      </c>
    </row>
    <row r="3" spans="1:4" x14ac:dyDescent="0.45">
      <c r="A3" t="s">
        <v>136</v>
      </c>
      <c r="B3">
        <v>129.66669999999999</v>
      </c>
      <c r="C3" s="2">
        <v>123456789</v>
      </c>
      <c r="D3" s="2">
        <v>123456789</v>
      </c>
    </row>
    <row r="4" spans="1:4" x14ac:dyDescent="0.45">
      <c r="A4" t="s">
        <v>137</v>
      </c>
      <c r="B4">
        <v>130</v>
      </c>
      <c r="C4" s="2">
        <v>123456789</v>
      </c>
      <c r="D4" s="2">
        <v>123456789</v>
      </c>
    </row>
    <row r="5" spans="1:4" x14ac:dyDescent="0.45">
      <c r="A5" t="s">
        <v>138</v>
      </c>
      <c r="B5">
        <v>112.33329999999999</v>
      </c>
      <c r="C5" s="2">
        <v>123456789</v>
      </c>
      <c r="D5" s="2">
        <v>123456789</v>
      </c>
    </row>
    <row r="6" spans="1:4" x14ac:dyDescent="0.45">
      <c r="A6" t="s">
        <v>139</v>
      </c>
      <c r="B6">
        <v>134.66669999999999</v>
      </c>
      <c r="C6" s="2">
        <v>123456789</v>
      </c>
      <c r="D6" s="2">
        <v>123456789</v>
      </c>
    </row>
    <row r="7" spans="1:4" x14ac:dyDescent="0.45">
      <c r="A7" t="s">
        <v>140</v>
      </c>
      <c r="B7">
        <v>129</v>
      </c>
      <c r="C7" s="2">
        <v>123456789</v>
      </c>
      <c r="D7" s="2">
        <v>123456789</v>
      </c>
    </row>
    <row r="8" spans="1:4" x14ac:dyDescent="0.45">
      <c r="A8" t="s">
        <v>141</v>
      </c>
      <c r="B8">
        <v>112.33329999999999</v>
      </c>
      <c r="C8" s="2">
        <v>123456789</v>
      </c>
      <c r="D8" s="2">
        <v>123456789</v>
      </c>
    </row>
    <row r="9" spans="1:4" x14ac:dyDescent="0.45">
      <c r="A9" t="s">
        <v>142</v>
      </c>
      <c r="B9">
        <v>108.66670000000001</v>
      </c>
      <c r="C9" s="2">
        <v>123456789</v>
      </c>
      <c r="D9" s="2">
        <v>123456789</v>
      </c>
    </row>
    <row r="10" spans="1:4" x14ac:dyDescent="0.45">
      <c r="A10" t="s">
        <v>143</v>
      </c>
      <c r="B10">
        <v>84</v>
      </c>
      <c r="C10" s="2">
        <v>123456789</v>
      </c>
      <c r="D10" s="2">
        <v>123456789</v>
      </c>
    </row>
    <row r="11" spans="1:4" x14ac:dyDescent="0.45">
      <c r="A11" t="s">
        <v>144</v>
      </c>
      <c r="B11">
        <v>80</v>
      </c>
      <c r="C11" s="2">
        <v>123456789</v>
      </c>
      <c r="D11" s="2">
        <v>123456789</v>
      </c>
    </row>
    <row r="12" spans="1:4" x14ac:dyDescent="0.45">
      <c r="A12" t="s">
        <v>145</v>
      </c>
      <c r="B12">
        <v>78</v>
      </c>
      <c r="C12" s="2">
        <v>123456789</v>
      </c>
      <c r="D12" s="2">
        <v>123456789</v>
      </c>
    </row>
    <row r="13" spans="1:4" x14ac:dyDescent="0.45">
      <c r="A13" t="s">
        <v>146</v>
      </c>
      <c r="B13">
        <v>83.333340000000007</v>
      </c>
      <c r="C13" s="2">
        <v>123456789</v>
      </c>
      <c r="D13" s="2">
        <v>123456789</v>
      </c>
    </row>
    <row r="14" spans="1:4" x14ac:dyDescent="0.45">
      <c r="A14" t="s">
        <v>147</v>
      </c>
      <c r="B14">
        <v>69.666659999999993</v>
      </c>
      <c r="C14" s="2">
        <v>123456789</v>
      </c>
      <c r="D14" s="2">
        <v>123456789</v>
      </c>
    </row>
    <row r="15" spans="1:4" x14ac:dyDescent="0.45">
      <c r="A15" t="s">
        <v>148</v>
      </c>
      <c r="B15">
        <v>75.666659999999993</v>
      </c>
      <c r="C15" s="2">
        <v>123456789</v>
      </c>
      <c r="D15" s="2">
        <v>123456789</v>
      </c>
    </row>
    <row r="16" spans="1:4" x14ac:dyDescent="0.45">
      <c r="A16" t="s">
        <v>149</v>
      </c>
      <c r="B16">
        <v>52.666670000000003</v>
      </c>
      <c r="C16" s="2">
        <v>123456789</v>
      </c>
      <c r="D16" s="2">
        <v>123456789</v>
      </c>
    </row>
    <row r="17" spans="1:4" x14ac:dyDescent="0.45">
      <c r="A17" t="s">
        <v>150</v>
      </c>
      <c r="B17">
        <v>81.333340000000007</v>
      </c>
      <c r="C17" s="2">
        <v>123456789</v>
      </c>
      <c r="D17" s="2">
        <v>123456789</v>
      </c>
    </row>
    <row r="18" spans="1:4" x14ac:dyDescent="0.45">
      <c r="A18" t="s">
        <v>151</v>
      </c>
      <c r="B18">
        <v>99.666659999999993</v>
      </c>
      <c r="C18" s="2">
        <v>123456789</v>
      </c>
      <c r="D18" s="2">
        <v>123456789</v>
      </c>
    </row>
    <row r="19" spans="1:4" x14ac:dyDescent="0.45">
      <c r="A19" t="s">
        <v>152</v>
      </c>
      <c r="B19">
        <v>154.33330000000001</v>
      </c>
      <c r="C19" s="2">
        <v>123456789</v>
      </c>
      <c r="D19" s="2">
        <v>123456789</v>
      </c>
    </row>
    <row r="20" spans="1:4" x14ac:dyDescent="0.45">
      <c r="A20" t="s">
        <v>153</v>
      </c>
      <c r="B20">
        <v>200.66669999999999</v>
      </c>
      <c r="C20" s="2">
        <v>123456789</v>
      </c>
      <c r="D20" s="2">
        <v>123456789</v>
      </c>
    </row>
    <row r="21" spans="1:4" x14ac:dyDescent="0.45">
      <c r="A21" t="s">
        <v>154</v>
      </c>
      <c r="B21">
        <v>216.33330000000001</v>
      </c>
      <c r="C21" s="2">
        <v>123456789</v>
      </c>
      <c r="D21" s="2">
        <v>123456789</v>
      </c>
    </row>
    <row r="22" spans="1:4" x14ac:dyDescent="0.45">
      <c r="A22" t="s">
        <v>155</v>
      </c>
      <c r="B22">
        <v>199</v>
      </c>
      <c r="C22" s="2">
        <v>123456789</v>
      </c>
      <c r="D22" s="2">
        <v>123456789</v>
      </c>
    </row>
    <row r="23" spans="1:4" x14ac:dyDescent="0.45">
      <c r="A23" t="s">
        <v>156</v>
      </c>
      <c r="B23">
        <v>147.33330000000001</v>
      </c>
      <c r="C23" s="2">
        <v>123456789</v>
      </c>
      <c r="D23" s="2">
        <v>123456789</v>
      </c>
    </row>
    <row r="24" spans="1:4" x14ac:dyDescent="0.45">
      <c r="A24" t="s">
        <v>157</v>
      </c>
      <c r="B24">
        <v>159.33330000000001</v>
      </c>
      <c r="C24" s="2">
        <v>123456789</v>
      </c>
      <c r="D24" s="2">
        <v>123456789</v>
      </c>
    </row>
    <row r="25" spans="1:4" x14ac:dyDescent="0.45">
      <c r="A25" t="s">
        <v>158</v>
      </c>
      <c r="B25">
        <v>114.33329999999999</v>
      </c>
      <c r="C25" s="2">
        <v>123456789</v>
      </c>
      <c r="D25" s="2">
        <v>123456789</v>
      </c>
    </row>
    <row r="26" spans="1:4" x14ac:dyDescent="0.45">
      <c r="A26" t="s">
        <v>159</v>
      </c>
      <c r="B26">
        <v>100.66670000000001</v>
      </c>
      <c r="C26" s="2">
        <v>123456789</v>
      </c>
      <c r="D26" s="2">
        <v>123456789</v>
      </c>
    </row>
    <row r="27" spans="1:4" x14ac:dyDescent="0.45">
      <c r="A27" t="s">
        <v>160</v>
      </c>
      <c r="B27">
        <v>81</v>
      </c>
      <c r="C27" s="2">
        <v>123456789</v>
      </c>
      <c r="D27" s="2">
        <v>123456789</v>
      </c>
    </row>
    <row r="28" spans="1:4" x14ac:dyDescent="0.45">
      <c r="A28" t="s">
        <v>161</v>
      </c>
      <c r="B28">
        <v>52</v>
      </c>
      <c r="C28" s="2">
        <v>123456789</v>
      </c>
      <c r="D28" s="2">
        <v>123456789</v>
      </c>
    </row>
    <row r="29" spans="1:4" x14ac:dyDescent="0.45">
      <c r="A29" t="s">
        <v>162</v>
      </c>
      <c r="B29">
        <v>56.466670000000001</v>
      </c>
      <c r="C29" s="2">
        <v>123456789</v>
      </c>
      <c r="D29" s="2">
        <v>123456789</v>
      </c>
    </row>
    <row r="30" spans="1:4" x14ac:dyDescent="0.45">
      <c r="A30" t="s">
        <v>163</v>
      </c>
      <c r="B30">
        <v>79.766670000000005</v>
      </c>
      <c r="C30" s="2">
        <v>123456789</v>
      </c>
      <c r="D30" s="2">
        <v>123456789</v>
      </c>
    </row>
    <row r="31" spans="1:4" x14ac:dyDescent="0.45">
      <c r="A31" t="s">
        <v>164</v>
      </c>
      <c r="B31">
        <v>45</v>
      </c>
      <c r="C31" s="2">
        <v>123456789</v>
      </c>
      <c r="D31" s="2">
        <v>123456789</v>
      </c>
    </row>
    <row r="32" spans="1:4" x14ac:dyDescent="0.45">
      <c r="A32" t="s">
        <v>165</v>
      </c>
      <c r="B32">
        <v>68</v>
      </c>
      <c r="C32" s="2">
        <v>123456789</v>
      </c>
      <c r="D32" s="2">
        <v>123456789</v>
      </c>
    </row>
    <row r="33" spans="1:4" x14ac:dyDescent="0.45">
      <c r="A33" t="s">
        <v>166</v>
      </c>
      <c r="B33">
        <v>82.333340000000007</v>
      </c>
      <c r="C33" s="2">
        <v>123456789</v>
      </c>
      <c r="D33" s="2">
        <v>123456789</v>
      </c>
    </row>
    <row r="34" spans="1:4" x14ac:dyDescent="0.45">
      <c r="A34" t="s">
        <v>167</v>
      </c>
      <c r="B34">
        <v>50</v>
      </c>
      <c r="C34" s="2">
        <v>123456789</v>
      </c>
      <c r="D34" s="2">
        <v>123456789</v>
      </c>
    </row>
    <row r="35" spans="1:4" x14ac:dyDescent="0.45">
      <c r="A35" t="s">
        <v>168</v>
      </c>
      <c r="B35">
        <v>12.66667</v>
      </c>
      <c r="C35" s="2">
        <v>123456789</v>
      </c>
      <c r="D35" s="2">
        <v>123456789</v>
      </c>
    </row>
    <row r="36" spans="1:4" x14ac:dyDescent="0.45">
      <c r="A36" t="s">
        <v>169</v>
      </c>
      <c r="B36">
        <v>30.33333</v>
      </c>
      <c r="C36" s="2">
        <v>123456789</v>
      </c>
      <c r="D36" s="2">
        <v>123456789</v>
      </c>
    </row>
    <row r="37" spans="1:4" x14ac:dyDescent="0.45">
      <c r="A37" t="s">
        <v>170</v>
      </c>
      <c r="B37">
        <v>41.333329999999997</v>
      </c>
      <c r="C37" s="2">
        <v>123456789</v>
      </c>
      <c r="D37" s="2">
        <v>123456789</v>
      </c>
    </row>
    <row r="38" spans="1:4" x14ac:dyDescent="0.45">
      <c r="A38" t="s">
        <v>171</v>
      </c>
      <c r="B38">
        <v>38.333329999999997</v>
      </c>
      <c r="C38" s="2">
        <v>123456789</v>
      </c>
      <c r="D38" s="2">
        <v>123456789</v>
      </c>
    </row>
    <row r="39" spans="1:4" x14ac:dyDescent="0.45">
      <c r="A39" t="s">
        <v>172</v>
      </c>
      <c r="B39">
        <v>28.33333</v>
      </c>
      <c r="C39" s="2">
        <v>123456789</v>
      </c>
      <c r="D39" s="2">
        <v>123456789</v>
      </c>
    </row>
    <row r="40" spans="1:4" x14ac:dyDescent="0.45">
      <c r="A40" t="s">
        <v>173</v>
      </c>
      <c r="B40">
        <v>37</v>
      </c>
      <c r="C40" s="2">
        <v>123456789</v>
      </c>
      <c r="D40" s="2">
        <v>123456789</v>
      </c>
    </row>
    <row r="41" spans="1:4" x14ac:dyDescent="0.45">
      <c r="A41" t="s">
        <v>174</v>
      </c>
      <c r="B41">
        <v>-5.3333329999999997</v>
      </c>
      <c r="C41" s="2">
        <v>123456789</v>
      </c>
      <c r="D41" s="2">
        <v>123456789</v>
      </c>
    </row>
    <row r="42" spans="1:4" x14ac:dyDescent="0.45">
      <c r="A42" t="s">
        <v>175</v>
      </c>
      <c r="B42">
        <v>22.78856</v>
      </c>
      <c r="C42" s="2">
        <v>123456789</v>
      </c>
      <c r="D42" s="2">
        <v>123456789</v>
      </c>
    </row>
    <row r="43" spans="1:4" x14ac:dyDescent="0.45">
      <c r="A43" t="s">
        <v>176</v>
      </c>
      <c r="B43">
        <v>43.574330000000003</v>
      </c>
      <c r="C43" s="2">
        <v>123456789</v>
      </c>
      <c r="D43" s="2">
        <v>123456789</v>
      </c>
    </row>
    <row r="44" spans="1:4" x14ac:dyDescent="0.45">
      <c r="A44" t="s">
        <v>177</v>
      </c>
      <c r="B44">
        <v>33.858429999999998</v>
      </c>
      <c r="C44" s="2">
        <v>123456789</v>
      </c>
      <c r="D44" s="2">
        <v>123456789</v>
      </c>
    </row>
    <row r="45" spans="1:4" x14ac:dyDescent="0.45">
      <c r="A45" t="s">
        <v>178</v>
      </c>
      <c r="B45">
        <v>34.447270000000003</v>
      </c>
      <c r="C45" s="2">
        <v>123456789</v>
      </c>
      <c r="D45" s="2">
        <v>123456789</v>
      </c>
    </row>
    <row r="46" spans="1:4" x14ac:dyDescent="0.45">
      <c r="A46" t="s">
        <v>179</v>
      </c>
      <c r="B46">
        <v>35.330539999999999</v>
      </c>
      <c r="C46" s="2">
        <v>123456789</v>
      </c>
      <c r="D46" s="2">
        <v>123456789</v>
      </c>
    </row>
    <row r="47" spans="1:4" x14ac:dyDescent="0.45">
      <c r="A47" t="s">
        <v>180</v>
      </c>
      <c r="B47">
        <v>61.534019999999998</v>
      </c>
      <c r="C47" s="2">
        <v>123456789</v>
      </c>
      <c r="D47" s="2">
        <v>123456789</v>
      </c>
    </row>
    <row r="48" spans="1:4" x14ac:dyDescent="0.45">
      <c r="A48" t="s">
        <v>181</v>
      </c>
      <c r="B48">
        <v>74.194130000000001</v>
      </c>
      <c r="C48" s="2">
        <v>123456789</v>
      </c>
      <c r="D48" s="2">
        <v>123456789</v>
      </c>
    </row>
    <row r="49" spans="1:4" x14ac:dyDescent="0.45">
      <c r="A49" t="s">
        <v>182</v>
      </c>
      <c r="B49">
        <v>71.838759999999994</v>
      </c>
      <c r="C49" s="2">
        <v>123456789</v>
      </c>
      <c r="D49" s="2">
        <v>123456789</v>
      </c>
    </row>
    <row r="50" spans="1:4" x14ac:dyDescent="0.45">
      <c r="A50" t="s">
        <v>183</v>
      </c>
      <c r="B50">
        <v>84.204440000000005</v>
      </c>
      <c r="C50" s="2">
        <v>123456789</v>
      </c>
      <c r="D50" s="2">
        <v>123456789</v>
      </c>
    </row>
    <row r="51" spans="1:4" x14ac:dyDescent="0.45">
      <c r="A51" t="s">
        <v>184</v>
      </c>
      <c r="B51">
        <v>85.970969999999994</v>
      </c>
      <c r="C51" s="2">
        <v>123456789</v>
      </c>
      <c r="D51" s="2">
        <v>123456789</v>
      </c>
    </row>
    <row r="52" spans="1:4" x14ac:dyDescent="0.45">
      <c r="A52" t="s">
        <v>185</v>
      </c>
      <c r="B52">
        <v>98.631079999999997</v>
      </c>
      <c r="C52" s="2">
        <v>123456789</v>
      </c>
      <c r="D52" s="2">
        <v>123456789</v>
      </c>
    </row>
    <row r="53" spans="1:4" x14ac:dyDescent="0.45">
      <c r="A53" t="s">
        <v>186</v>
      </c>
      <c r="B53">
        <v>107.4637</v>
      </c>
      <c r="C53" s="2">
        <v>123456789</v>
      </c>
      <c r="D53" s="2">
        <v>123456789</v>
      </c>
    </row>
    <row r="54" spans="1:4" x14ac:dyDescent="0.45">
      <c r="A54" t="s">
        <v>187</v>
      </c>
      <c r="B54">
        <v>110.4079</v>
      </c>
      <c r="C54" s="2">
        <v>123456789</v>
      </c>
      <c r="D54" s="2">
        <v>123456789</v>
      </c>
    </row>
    <row r="55" spans="1:4" x14ac:dyDescent="0.45">
      <c r="A55" t="s">
        <v>188</v>
      </c>
      <c r="B55">
        <v>134.256</v>
      </c>
      <c r="C55" s="2">
        <v>123456789</v>
      </c>
      <c r="D55" s="2">
        <v>123456789</v>
      </c>
    </row>
    <row r="56" spans="1:4" x14ac:dyDescent="0.45">
      <c r="A56" t="s">
        <v>189</v>
      </c>
      <c r="B56">
        <v>114.2354</v>
      </c>
      <c r="C56" s="2">
        <v>123456789</v>
      </c>
      <c r="D56" s="2">
        <v>123456789</v>
      </c>
    </row>
    <row r="57" spans="1:4" x14ac:dyDescent="0.45">
      <c r="A57" t="s">
        <v>190</v>
      </c>
      <c r="B57">
        <v>113.35209999999999</v>
      </c>
      <c r="C57" s="2">
        <v>123456789</v>
      </c>
      <c r="D57" s="2">
        <v>123456789</v>
      </c>
    </row>
    <row r="58" spans="1:4" x14ac:dyDescent="0.45">
      <c r="A58" t="s">
        <v>191</v>
      </c>
      <c r="B58">
        <v>122.1848</v>
      </c>
      <c r="C58" s="2">
        <v>123456789</v>
      </c>
      <c r="D58" s="2">
        <v>123456789</v>
      </c>
    </row>
    <row r="59" spans="1:4" x14ac:dyDescent="0.45">
      <c r="A59" t="s">
        <v>192</v>
      </c>
      <c r="B59">
        <v>108.34699999999999</v>
      </c>
      <c r="C59" s="2">
        <v>123456789</v>
      </c>
      <c r="D59" s="2">
        <v>123456789</v>
      </c>
    </row>
    <row r="60" spans="1:4" x14ac:dyDescent="0.45">
      <c r="A60" t="s">
        <v>193</v>
      </c>
      <c r="B60">
        <v>146.03290000000001</v>
      </c>
      <c r="C60" s="2">
        <v>123456789</v>
      </c>
      <c r="D60" s="2">
        <v>123456789</v>
      </c>
    </row>
    <row r="61" spans="1:4" x14ac:dyDescent="0.45">
      <c r="A61" t="s">
        <v>194</v>
      </c>
      <c r="B61">
        <v>121.5959</v>
      </c>
      <c r="C61" s="2">
        <v>123456789</v>
      </c>
      <c r="D61" s="2">
        <v>123456789</v>
      </c>
    </row>
    <row r="62" spans="1:4" x14ac:dyDescent="0.45">
      <c r="A62" t="s">
        <v>195</v>
      </c>
      <c r="B62">
        <v>104.8139</v>
      </c>
      <c r="C62" s="2">
        <v>123456789</v>
      </c>
      <c r="D62" s="2">
        <v>123456789</v>
      </c>
    </row>
    <row r="63" spans="1:4" x14ac:dyDescent="0.45">
      <c r="A63" t="s">
        <v>196</v>
      </c>
      <c r="B63">
        <v>83.026759999999996</v>
      </c>
      <c r="C63" s="2">
        <v>123456789</v>
      </c>
      <c r="D63" s="2">
        <v>123456789</v>
      </c>
    </row>
    <row r="64" spans="1:4" x14ac:dyDescent="0.45">
      <c r="A64" t="s">
        <v>197</v>
      </c>
      <c r="B64">
        <v>86.2654</v>
      </c>
      <c r="C64" s="2">
        <v>123456789</v>
      </c>
      <c r="D64" s="2">
        <v>123456789</v>
      </c>
    </row>
    <row r="65" spans="1:4" x14ac:dyDescent="0.45">
      <c r="A65" t="s">
        <v>198</v>
      </c>
      <c r="B65">
        <v>78.021609999999995</v>
      </c>
      <c r="C65" s="2">
        <v>123456789</v>
      </c>
      <c r="D65" s="2">
        <v>123456789</v>
      </c>
    </row>
    <row r="66" spans="1:4" x14ac:dyDescent="0.45">
      <c r="A66" t="s">
        <v>199</v>
      </c>
      <c r="B66">
        <v>84.498869999999997</v>
      </c>
      <c r="C66" s="2">
        <v>123456789</v>
      </c>
      <c r="D66" s="2">
        <v>123456789</v>
      </c>
    </row>
    <row r="67" spans="1:4" x14ac:dyDescent="0.45">
      <c r="A67" t="s">
        <v>200</v>
      </c>
      <c r="B67">
        <v>78.904870000000003</v>
      </c>
      <c r="C67" s="2">
        <v>123456789</v>
      </c>
      <c r="D67" s="2">
        <v>123456789</v>
      </c>
    </row>
    <row r="68" spans="1:4" x14ac:dyDescent="0.45">
      <c r="A68" t="s">
        <v>201</v>
      </c>
      <c r="B68">
        <v>81.849080000000001</v>
      </c>
      <c r="C68" s="2">
        <v>123456789</v>
      </c>
      <c r="D68" s="2">
        <v>123456789</v>
      </c>
    </row>
    <row r="69" spans="1:4" x14ac:dyDescent="0.45">
      <c r="A69" t="s">
        <v>202</v>
      </c>
      <c r="B69">
        <v>93.037080000000003</v>
      </c>
      <c r="C69" s="2">
        <v>123456789</v>
      </c>
      <c r="D69" s="2">
        <v>123456789</v>
      </c>
    </row>
    <row r="70" spans="1:4" x14ac:dyDescent="0.45">
      <c r="A70" t="s">
        <v>203</v>
      </c>
      <c r="B70">
        <v>85.087710000000001</v>
      </c>
      <c r="C70" s="2">
        <v>123456789</v>
      </c>
      <c r="D70" s="2">
        <v>123456789</v>
      </c>
    </row>
    <row r="71" spans="1:4" x14ac:dyDescent="0.45">
      <c r="A71" t="s">
        <v>204</v>
      </c>
      <c r="B71">
        <v>100.3976</v>
      </c>
      <c r="C71" s="2">
        <v>123456789</v>
      </c>
      <c r="D71" s="2">
        <v>123456789</v>
      </c>
    </row>
    <row r="72" spans="1:4" x14ac:dyDescent="0.45">
      <c r="A72" t="s">
        <v>205</v>
      </c>
      <c r="B72">
        <v>100.69199999999999</v>
      </c>
      <c r="C72" s="2">
        <v>123456789</v>
      </c>
      <c r="D72" s="2">
        <v>123456789</v>
      </c>
    </row>
    <row r="73" spans="1:4" x14ac:dyDescent="0.45">
      <c r="A73" t="s">
        <v>206</v>
      </c>
      <c r="B73">
        <v>126.30670000000001</v>
      </c>
      <c r="C73" s="2">
        <v>123456789</v>
      </c>
      <c r="D73" s="2">
        <v>123456789</v>
      </c>
    </row>
    <row r="74" spans="1:4" x14ac:dyDescent="0.45">
      <c r="A74" t="s">
        <v>207</v>
      </c>
      <c r="B74">
        <v>117.474</v>
      </c>
      <c r="C74" s="2">
        <v>123456789</v>
      </c>
      <c r="D74" s="2">
        <v>123456789</v>
      </c>
    </row>
    <row r="75" spans="1:4" x14ac:dyDescent="0.45">
      <c r="A75" t="s">
        <v>208</v>
      </c>
      <c r="B75">
        <v>126.0123</v>
      </c>
      <c r="C75" s="2">
        <v>123456789</v>
      </c>
      <c r="D75" s="2">
        <v>123456789</v>
      </c>
    </row>
    <row r="76" spans="1:4" x14ac:dyDescent="0.45">
      <c r="A76" t="s">
        <v>209</v>
      </c>
      <c r="B76">
        <v>126.30670000000001</v>
      </c>
      <c r="C76" s="2">
        <v>123456789</v>
      </c>
      <c r="D76" s="2">
        <v>123456789</v>
      </c>
    </row>
    <row r="77" spans="1:4" x14ac:dyDescent="0.45">
      <c r="A77" t="s">
        <v>210</v>
      </c>
      <c r="B77">
        <v>130.13409999999999</v>
      </c>
      <c r="C77" s="2">
        <v>123456789</v>
      </c>
      <c r="D77" s="2">
        <v>123456789</v>
      </c>
    </row>
    <row r="78" spans="1:4" x14ac:dyDescent="0.45">
      <c r="A78" t="s">
        <v>211</v>
      </c>
      <c r="B78">
        <v>132.78389999999999</v>
      </c>
      <c r="C78" s="2">
        <v>123456789</v>
      </c>
      <c r="D78" s="2">
        <v>123456789</v>
      </c>
    </row>
    <row r="79" spans="1:4" x14ac:dyDescent="0.45">
      <c r="A79" t="s">
        <v>212</v>
      </c>
      <c r="B79">
        <v>141.61660000000001</v>
      </c>
      <c r="C79" s="2">
        <v>123456789</v>
      </c>
      <c r="D79" s="2">
        <v>123456789</v>
      </c>
    </row>
    <row r="80" spans="1:4" x14ac:dyDescent="0.45">
      <c r="A80" t="s">
        <v>213</v>
      </c>
      <c r="B80">
        <v>161.9316</v>
      </c>
      <c r="C80" s="2">
        <v>123456789</v>
      </c>
      <c r="D80" s="2">
        <v>123456789</v>
      </c>
    </row>
    <row r="81" spans="1:4" x14ac:dyDescent="0.45">
      <c r="A81" t="s">
        <v>214</v>
      </c>
      <c r="B81">
        <v>181.36340000000001</v>
      </c>
      <c r="C81" s="2">
        <v>123456789</v>
      </c>
      <c r="D81" s="2">
        <v>123456789</v>
      </c>
    </row>
    <row r="82" spans="1:4" x14ac:dyDescent="0.45">
      <c r="A82" t="s">
        <v>215</v>
      </c>
      <c r="B82">
        <v>198.43979999999999</v>
      </c>
      <c r="C82" s="2">
        <v>123456789</v>
      </c>
      <c r="D82" s="2">
        <v>123456789</v>
      </c>
    </row>
    <row r="83" spans="1:4" x14ac:dyDescent="0.45">
      <c r="A83" t="s">
        <v>216</v>
      </c>
      <c r="B83">
        <v>159.5763</v>
      </c>
      <c r="C83" s="2">
        <v>123456789</v>
      </c>
      <c r="D83" s="2">
        <v>123456789</v>
      </c>
    </row>
    <row r="84" spans="1:4" x14ac:dyDescent="0.45">
      <c r="A84" t="s">
        <v>217</v>
      </c>
      <c r="B84">
        <v>128.36760000000001</v>
      </c>
      <c r="C84" s="2">
        <v>123456789</v>
      </c>
      <c r="D84" s="2">
        <v>123456789</v>
      </c>
    </row>
    <row r="85" spans="1:4" x14ac:dyDescent="0.45">
      <c r="A85" t="s">
        <v>218</v>
      </c>
      <c r="B85">
        <v>138.67240000000001</v>
      </c>
      <c r="C85" s="2">
        <v>123456789</v>
      </c>
      <c r="D85" s="2">
        <v>123456789</v>
      </c>
    </row>
    <row r="86" spans="1:4" x14ac:dyDescent="0.45">
      <c r="A86" t="s">
        <v>219</v>
      </c>
      <c r="B86">
        <v>134.8449</v>
      </c>
      <c r="C86" s="2">
        <v>123456789</v>
      </c>
      <c r="D86" s="2">
        <v>123456789</v>
      </c>
    </row>
    <row r="87" spans="1:4" x14ac:dyDescent="0.45">
      <c r="A87" t="s">
        <v>220</v>
      </c>
      <c r="B87">
        <v>114.8242</v>
      </c>
      <c r="C87" s="2">
        <v>123456789</v>
      </c>
      <c r="D87" s="2">
        <v>123456789</v>
      </c>
    </row>
    <row r="88" spans="1:4" x14ac:dyDescent="0.45">
      <c r="A88" t="s">
        <v>221</v>
      </c>
      <c r="B88">
        <v>116.5908</v>
      </c>
      <c r="C88" s="2">
        <v>123456789</v>
      </c>
      <c r="D88" s="2">
        <v>123456789</v>
      </c>
    </row>
    <row r="89" spans="1:4" x14ac:dyDescent="0.45">
      <c r="A89" t="s">
        <v>222</v>
      </c>
      <c r="B89">
        <v>121.5959</v>
      </c>
      <c r="C89" s="2">
        <v>123456789</v>
      </c>
      <c r="D89" s="2">
        <v>123456789</v>
      </c>
    </row>
    <row r="90" spans="1:4" x14ac:dyDescent="0.45">
      <c r="A90" t="s">
        <v>223</v>
      </c>
      <c r="B90">
        <v>113.941</v>
      </c>
      <c r="C90" s="2">
        <v>123456789</v>
      </c>
      <c r="D90" s="2">
        <v>123456789</v>
      </c>
    </row>
    <row r="91" spans="1:4" x14ac:dyDescent="0.45">
      <c r="A91" t="s">
        <v>224</v>
      </c>
      <c r="B91">
        <v>105.4028</v>
      </c>
      <c r="C91" s="2">
        <v>123456789</v>
      </c>
      <c r="D91" s="2">
        <v>123456789</v>
      </c>
    </row>
    <row r="92" spans="1:4" x14ac:dyDescent="0.45">
      <c r="A92" t="s">
        <v>225</v>
      </c>
      <c r="B92">
        <v>117.474</v>
      </c>
      <c r="C92" s="2">
        <v>123456789</v>
      </c>
      <c r="D92" s="2">
        <v>123456789</v>
      </c>
    </row>
    <row r="93" spans="1:4" x14ac:dyDescent="0.45">
      <c r="A93" t="s">
        <v>226</v>
      </c>
      <c r="B93">
        <v>102.1641</v>
      </c>
      <c r="C93" s="2">
        <v>123456789</v>
      </c>
      <c r="D93" s="2">
        <v>123456789</v>
      </c>
    </row>
    <row r="94" spans="1:4" x14ac:dyDescent="0.45">
      <c r="A94" t="s">
        <v>227</v>
      </c>
      <c r="B94">
        <v>99.808769999999996</v>
      </c>
      <c r="C94" s="2">
        <v>123456789</v>
      </c>
      <c r="D94" s="2">
        <v>123456789</v>
      </c>
    </row>
    <row r="95" spans="1:4" x14ac:dyDescent="0.45">
      <c r="A95" t="s">
        <v>228</v>
      </c>
      <c r="B95">
        <v>86.854240000000004</v>
      </c>
      <c r="C95" s="2">
        <v>123456789</v>
      </c>
      <c r="D95" s="2">
        <v>123456789</v>
      </c>
    </row>
    <row r="96" spans="1:4" x14ac:dyDescent="0.45">
      <c r="A96" t="s">
        <v>229</v>
      </c>
      <c r="B96">
        <v>87.148660000000007</v>
      </c>
      <c r="C96" s="2">
        <v>123456789</v>
      </c>
      <c r="D96" s="2">
        <v>123456789</v>
      </c>
    </row>
    <row r="97" spans="1:4" x14ac:dyDescent="0.45">
      <c r="A97" t="s">
        <v>230</v>
      </c>
      <c r="B97">
        <v>99.514340000000004</v>
      </c>
      <c r="C97" s="2">
        <v>123456789</v>
      </c>
      <c r="D97" s="2">
        <v>123456789</v>
      </c>
    </row>
    <row r="98" spans="1:4" x14ac:dyDescent="0.45">
      <c r="A98" t="s">
        <v>231</v>
      </c>
      <c r="B98">
        <v>112.17449999999999</v>
      </c>
      <c r="C98" s="2">
        <v>123456789</v>
      </c>
      <c r="D98" s="2">
        <v>123456789</v>
      </c>
    </row>
    <row r="99" spans="1:4" x14ac:dyDescent="0.45">
      <c r="A99" t="s">
        <v>232</v>
      </c>
      <c r="B99">
        <v>104.2251</v>
      </c>
      <c r="C99" s="2">
        <v>123456789</v>
      </c>
      <c r="D99" s="2">
        <v>123456789</v>
      </c>
    </row>
    <row r="100" spans="1:4" x14ac:dyDescent="0.45">
      <c r="A100" t="s">
        <v>233</v>
      </c>
      <c r="B100">
        <v>84.498869999999997</v>
      </c>
      <c r="C100" s="2">
        <v>123456789</v>
      </c>
      <c r="D100" s="2">
        <v>123456789</v>
      </c>
    </row>
    <row r="101" spans="1:4" x14ac:dyDescent="0.45">
      <c r="A101" t="s">
        <v>234</v>
      </c>
      <c r="B101">
        <v>86.854240000000004</v>
      </c>
      <c r="C101" s="2">
        <v>123456789</v>
      </c>
      <c r="D101" s="2">
        <v>123456789</v>
      </c>
    </row>
    <row r="102" spans="1:4" x14ac:dyDescent="0.45">
      <c r="A102" t="s">
        <v>235</v>
      </c>
      <c r="B102">
        <v>44.163170000000001</v>
      </c>
      <c r="C102" s="2">
        <v>123456789</v>
      </c>
      <c r="D102" s="2">
        <v>123456789</v>
      </c>
    </row>
    <row r="103" spans="1:4" x14ac:dyDescent="0.45">
      <c r="A103" t="s">
        <v>236</v>
      </c>
      <c r="B103">
        <v>49.46275</v>
      </c>
      <c r="C103" s="2">
        <v>123456789</v>
      </c>
      <c r="D103" s="2">
        <v>123456789</v>
      </c>
    </row>
    <row r="104" spans="1:4" x14ac:dyDescent="0.45">
      <c r="A104" t="s">
        <v>237</v>
      </c>
      <c r="B104">
        <v>52.701390000000004</v>
      </c>
      <c r="C104" s="2">
        <v>123456789</v>
      </c>
      <c r="D104" s="2">
        <v>123456789</v>
      </c>
    </row>
    <row r="105" spans="1:4" x14ac:dyDescent="0.45">
      <c r="A105" t="s">
        <v>238</v>
      </c>
      <c r="B105">
        <v>43.868749999999999</v>
      </c>
      <c r="C105" s="2">
        <v>123456789</v>
      </c>
      <c r="D105" s="2">
        <v>123456789</v>
      </c>
    </row>
    <row r="106" spans="1:4" x14ac:dyDescent="0.45">
      <c r="A106" t="s">
        <v>239</v>
      </c>
      <c r="B106">
        <v>41.513379999999998</v>
      </c>
      <c r="C106" s="2">
        <v>123456789</v>
      </c>
      <c r="D106" s="2">
        <v>123456789</v>
      </c>
    </row>
    <row r="107" spans="1:4" x14ac:dyDescent="0.45">
      <c r="A107" t="s">
        <v>240</v>
      </c>
      <c r="B107">
        <v>50.346020000000003</v>
      </c>
      <c r="C107" s="2">
        <v>123456789</v>
      </c>
      <c r="D107" s="2">
        <v>123456789</v>
      </c>
    </row>
    <row r="108" spans="1:4" x14ac:dyDescent="0.45">
      <c r="A108" t="s">
        <v>241</v>
      </c>
      <c r="B108">
        <v>49.757170000000002</v>
      </c>
      <c r="C108" s="2">
        <v>123456789</v>
      </c>
      <c r="D108" s="2">
        <v>123456789</v>
      </c>
    </row>
    <row r="109" spans="1:4" x14ac:dyDescent="0.45">
      <c r="A109" t="s">
        <v>242</v>
      </c>
      <c r="B109">
        <v>40.630119999999998</v>
      </c>
      <c r="C109" s="2">
        <v>123456789</v>
      </c>
      <c r="D109" s="2">
        <v>123456789</v>
      </c>
    </row>
    <row r="110" spans="1:4" x14ac:dyDescent="0.45">
      <c r="A110" t="s">
        <v>243</v>
      </c>
      <c r="B110">
        <v>46.010939999999998</v>
      </c>
      <c r="C110" s="2">
        <v>123456789</v>
      </c>
      <c r="D110" s="2">
        <v>123456789</v>
      </c>
    </row>
    <row r="111" spans="1:4" x14ac:dyDescent="0.45">
      <c r="A111" t="s">
        <v>244</v>
      </c>
      <c r="B111">
        <v>45.730159999999998</v>
      </c>
      <c r="C111" s="2">
        <v>123456789</v>
      </c>
      <c r="D111" s="2">
        <v>123456789</v>
      </c>
    </row>
    <row r="112" spans="1:4" x14ac:dyDescent="0.45">
      <c r="A112" t="s">
        <v>245</v>
      </c>
      <c r="B112">
        <v>48.27467</v>
      </c>
      <c r="C112" s="2">
        <v>123456789</v>
      </c>
      <c r="D112" s="2">
        <v>123456789</v>
      </c>
    </row>
    <row r="113" spans="1:4" x14ac:dyDescent="0.45">
      <c r="A113" t="s">
        <v>246</v>
      </c>
      <c r="B113">
        <v>54.573909999999998</v>
      </c>
      <c r="C113" s="2">
        <v>123456789</v>
      </c>
      <c r="D113" s="2">
        <v>123456789</v>
      </c>
    </row>
    <row r="114" spans="1:4" x14ac:dyDescent="0.45">
      <c r="A114" t="s">
        <v>247</v>
      </c>
      <c r="B114">
        <v>61.330300000000001</v>
      </c>
      <c r="C114" s="2">
        <v>123456789</v>
      </c>
      <c r="D114" s="2">
        <v>123456789</v>
      </c>
    </row>
    <row r="115" spans="1:4" x14ac:dyDescent="0.45">
      <c r="A115" t="s">
        <v>248</v>
      </c>
      <c r="B115">
        <v>64.285709999999995</v>
      </c>
      <c r="C115" s="2">
        <v>123456789</v>
      </c>
      <c r="D115" s="2">
        <v>123456789</v>
      </c>
    </row>
    <row r="116" spans="1:4" x14ac:dyDescent="0.45">
      <c r="A116" t="s">
        <v>249</v>
      </c>
      <c r="B116">
        <v>82.859819999999999</v>
      </c>
      <c r="C116" s="2">
        <v>123456789</v>
      </c>
      <c r="D116" s="2">
        <v>123456789</v>
      </c>
    </row>
    <row r="117" spans="1:4" x14ac:dyDescent="0.45">
      <c r="A117" t="s">
        <v>250</v>
      </c>
      <c r="B117">
        <v>129.30770000000001</v>
      </c>
      <c r="C117" s="2">
        <v>123456789</v>
      </c>
      <c r="D117" s="2">
        <v>123456789</v>
      </c>
    </row>
    <row r="118" spans="1:4" x14ac:dyDescent="0.45">
      <c r="A118" t="s">
        <v>251</v>
      </c>
      <c r="B118">
        <v>109.4915</v>
      </c>
      <c r="C118" s="2">
        <v>123456789</v>
      </c>
      <c r="D118" s="2">
        <v>123456789</v>
      </c>
    </row>
    <row r="119" spans="1:4" x14ac:dyDescent="0.45">
      <c r="A119" t="s">
        <v>252</v>
      </c>
      <c r="B119">
        <v>106.16160000000001</v>
      </c>
      <c r="C119" s="2">
        <v>123456789</v>
      </c>
      <c r="D119" s="2">
        <v>123456789</v>
      </c>
    </row>
    <row r="120" spans="1:4" x14ac:dyDescent="0.45">
      <c r="A120" t="s">
        <v>253</v>
      </c>
      <c r="B120">
        <v>113.06059999999999</v>
      </c>
      <c r="C120" s="2">
        <v>123456789</v>
      </c>
      <c r="D120" s="2">
        <v>123456789</v>
      </c>
    </row>
    <row r="121" spans="1:4" x14ac:dyDescent="0.45">
      <c r="A121" t="s">
        <v>254</v>
      </c>
      <c r="B121">
        <v>120.1039</v>
      </c>
      <c r="C121" s="2">
        <v>123456789</v>
      </c>
      <c r="D121" s="2">
        <v>123456789</v>
      </c>
    </row>
    <row r="122" spans="1:4" x14ac:dyDescent="0.45">
      <c r="A122" t="s">
        <v>255</v>
      </c>
      <c r="B122">
        <v>125.18219999999999</v>
      </c>
      <c r="C122" s="2">
        <v>123456789</v>
      </c>
      <c r="D122" s="2">
        <v>123456789</v>
      </c>
    </row>
    <row r="123" spans="1:4" x14ac:dyDescent="0.45">
      <c r="A123" t="s">
        <v>256</v>
      </c>
      <c r="B123">
        <v>143.02959999999999</v>
      </c>
      <c r="C123" s="2">
        <v>123456789</v>
      </c>
      <c r="D123" s="2">
        <v>123456789</v>
      </c>
    </row>
    <row r="124" spans="1:4" x14ac:dyDescent="0.45">
      <c r="A124" t="s">
        <v>257</v>
      </c>
      <c r="B124">
        <v>144.43129999999999</v>
      </c>
      <c r="C124" s="2">
        <v>123456789</v>
      </c>
      <c r="D124" s="2">
        <v>123456789</v>
      </c>
    </row>
    <row r="125" spans="1:4" x14ac:dyDescent="0.45">
      <c r="A125" t="s">
        <v>258</v>
      </c>
      <c r="B125">
        <v>130.94159999999999</v>
      </c>
      <c r="C125" s="2">
        <v>123456789</v>
      </c>
      <c r="D125" s="2">
        <v>123456789</v>
      </c>
    </row>
    <row r="126" spans="1:4" x14ac:dyDescent="0.45">
      <c r="A126" t="s">
        <v>259</v>
      </c>
      <c r="B126">
        <v>127.19110000000001</v>
      </c>
      <c r="C126" s="2">
        <v>123456789</v>
      </c>
      <c r="D126" s="2">
        <v>123456789</v>
      </c>
    </row>
    <row r="127" spans="1:4" x14ac:dyDescent="0.45">
      <c r="A127" t="s">
        <v>260</v>
      </c>
      <c r="B127">
        <v>118.9841</v>
      </c>
      <c r="C127" s="2">
        <v>123456789</v>
      </c>
      <c r="D127" s="2">
        <v>123456789</v>
      </c>
    </row>
    <row r="128" spans="1:4" x14ac:dyDescent="0.45">
      <c r="A128" t="s">
        <v>261</v>
      </c>
      <c r="B128">
        <v>114.9833</v>
      </c>
      <c r="C128" s="2">
        <v>123456789</v>
      </c>
      <c r="D128" s="2">
        <v>123456789</v>
      </c>
    </row>
    <row r="129" spans="1:4" x14ac:dyDescent="0.45">
      <c r="A129" t="s">
        <v>262</v>
      </c>
      <c r="B129">
        <v>122.59139999999999</v>
      </c>
      <c r="C129" s="2">
        <v>123456789</v>
      </c>
      <c r="D129" s="2">
        <v>123456789</v>
      </c>
    </row>
    <row r="130" spans="1:4" x14ac:dyDescent="0.45">
      <c r="A130" t="s">
        <v>263</v>
      </c>
      <c r="B130">
        <v>107.5217</v>
      </c>
      <c r="C130" s="2">
        <v>123456789</v>
      </c>
      <c r="D130" s="2">
        <v>123456789</v>
      </c>
    </row>
    <row r="131" spans="1:4" x14ac:dyDescent="0.45">
      <c r="A131" t="s">
        <v>264</v>
      </c>
      <c r="B131">
        <v>100.075</v>
      </c>
      <c r="C131" s="2">
        <v>123456789</v>
      </c>
      <c r="D131" s="2">
        <v>123456789</v>
      </c>
    </row>
    <row r="132" spans="1:4" x14ac:dyDescent="0.45">
      <c r="A132" t="s">
        <v>265</v>
      </c>
      <c r="B132">
        <v>125.8387</v>
      </c>
      <c r="C132" s="2">
        <v>123456789</v>
      </c>
      <c r="D132" s="2">
        <v>123456789</v>
      </c>
    </row>
    <row r="133" spans="1:4" x14ac:dyDescent="0.45">
      <c r="A133" t="s">
        <v>266</v>
      </c>
      <c r="B133">
        <v>135.3947</v>
      </c>
      <c r="C133" s="2">
        <v>123456789</v>
      </c>
      <c r="D133" s="2">
        <v>123456789</v>
      </c>
    </row>
    <row r="134" spans="1:4" x14ac:dyDescent="0.45">
      <c r="A134" t="s">
        <v>267</v>
      </c>
      <c r="B134">
        <v>128.0838</v>
      </c>
      <c r="C134" s="2">
        <v>123456789</v>
      </c>
      <c r="D134" s="2">
        <v>123456789</v>
      </c>
    </row>
    <row r="135" spans="1:4" x14ac:dyDescent="0.45">
      <c r="A135" t="s">
        <v>268</v>
      </c>
      <c r="B135">
        <v>108.4646</v>
      </c>
      <c r="C135" s="2">
        <v>123456789</v>
      </c>
      <c r="D135" s="2">
        <v>123456789</v>
      </c>
    </row>
    <row r="136" spans="1:4" x14ac:dyDescent="0.45">
      <c r="A136" t="s">
        <v>269</v>
      </c>
      <c r="B136">
        <v>87.24879</v>
      </c>
      <c r="C136" s="2">
        <v>123456789</v>
      </c>
      <c r="D136" s="2">
        <v>123456789</v>
      </c>
    </row>
    <row r="137" spans="1:4" x14ac:dyDescent="0.45">
      <c r="A137" t="s">
        <v>270</v>
      </c>
      <c r="B137">
        <v>75.573909999999998</v>
      </c>
      <c r="C137" s="2">
        <v>123456789</v>
      </c>
      <c r="D137" s="2">
        <v>123456789</v>
      </c>
    </row>
    <row r="138" spans="1:4" x14ac:dyDescent="0.45">
      <c r="A138" t="s">
        <v>271</v>
      </c>
      <c r="B138">
        <v>78.74203</v>
      </c>
      <c r="C138" s="2">
        <v>123456789</v>
      </c>
      <c r="D138" s="2">
        <v>123456789</v>
      </c>
    </row>
    <row r="139" spans="1:4" x14ac:dyDescent="0.45">
      <c r="A139" t="s">
        <v>272</v>
      </c>
      <c r="B139">
        <v>83.647189999999995</v>
      </c>
      <c r="C139" s="2">
        <v>123456789</v>
      </c>
      <c r="D139" s="2">
        <v>123456789</v>
      </c>
    </row>
    <row r="140" spans="1:4" x14ac:dyDescent="0.45">
      <c r="A140" t="s">
        <v>273</v>
      </c>
      <c r="B140">
        <v>84.106059999999999</v>
      </c>
      <c r="C140" s="2">
        <v>123456789</v>
      </c>
      <c r="D140" s="2">
        <v>123456789</v>
      </c>
    </row>
    <row r="141" spans="1:4" x14ac:dyDescent="0.45">
      <c r="A141" t="s">
        <v>274</v>
      </c>
      <c r="B141">
        <v>77.202610000000007</v>
      </c>
      <c r="C141" s="2">
        <v>123456789</v>
      </c>
      <c r="D141" s="2">
        <v>123456789</v>
      </c>
    </row>
    <row r="142" spans="1:4" x14ac:dyDescent="0.45">
      <c r="A142" t="s">
        <v>275</v>
      </c>
      <c r="B142">
        <v>69.487369999999999</v>
      </c>
      <c r="C142" s="2">
        <v>123456789</v>
      </c>
      <c r="D142" s="2">
        <v>123456789</v>
      </c>
    </row>
    <row r="143" spans="1:4" x14ac:dyDescent="0.45">
      <c r="A143" t="s">
        <v>276</v>
      </c>
      <c r="B143">
        <v>82.770560000000003</v>
      </c>
      <c r="C143" s="2">
        <v>123456789</v>
      </c>
      <c r="D143" s="2">
        <v>123456789</v>
      </c>
    </row>
    <row r="144" spans="1:4" x14ac:dyDescent="0.45">
      <c r="A144" t="s">
        <v>277</v>
      </c>
      <c r="B144">
        <v>74.147189999999995</v>
      </c>
      <c r="C144" s="2">
        <v>123456789</v>
      </c>
      <c r="D144" s="2">
        <v>123456789</v>
      </c>
    </row>
    <row r="145" spans="1:4" x14ac:dyDescent="0.45">
      <c r="A145" t="s">
        <v>278</v>
      </c>
      <c r="B145">
        <v>75.238100000000003</v>
      </c>
      <c r="C145" s="2">
        <v>123456789</v>
      </c>
      <c r="D145" s="2">
        <v>123456789</v>
      </c>
    </row>
    <row r="146" spans="1:4" x14ac:dyDescent="0.45">
      <c r="A146" t="s">
        <v>279</v>
      </c>
      <c r="B146">
        <v>75.606390000000005</v>
      </c>
      <c r="C146" s="2">
        <v>123456789</v>
      </c>
      <c r="D146" s="2">
        <v>123456789</v>
      </c>
    </row>
    <row r="147" spans="1:4" x14ac:dyDescent="0.45">
      <c r="A147" t="s">
        <v>280</v>
      </c>
      <c r="B147">
        <v>75.565809999999999</v>
      </c>
      <c r="C147" s="2">
        <v>123456789</v>
      </c>
      <c r="D147" s="2">
        <v>123456789</v>
      </c>
    </row>
    <row r="148" spans="1:4" x14ac:dyDescent="0.45">
      <c r="A148" t="s">
        <v>281</v>
      </c>
      <c r="B148">
        <v>81.195300000000003</v>
      </c>
      <c r="C148" s="2">
        <v>123456789</v>
      </c>
      <c r="D148" s="2">
        <v>123456789</v>
      </c>
    </row>
    <row r="149" spans="1:4" x14ac:dyDescent="0.45">
      <c r="A149" t="s">
        <v>282</v>
      </c>
      <c r="B149">
        <v>80.062049999999999</v>
      </c>
      <c r="C149" s="2">
        <v>123456789</v>
      </c>
      <c r="D149" s="2">
        <v>123456789</v>
      </c>
    </row>
    <row r="150" spans="1:4" x14ac:dyDescent="0.45">
      <c r="A150" t="s">
        <v>283</v>
      </c>
      <c r="B150">
        <v>78.151309999999995</v>
      </c>
      <c r="C150" s="2">
        <v>123456789</v>
      </c>
      <c r="D150" s="2">
        <v>123456789</v>
      </c>
    </row>
    <row r="151" spans="1:4" x14ac:dyDescent="0.45">
      <c r="A151" t="s">
        <v>284</v>
      </c>
      <c r="B151">
        <v>78.966189999999997</v>
      </c>
      <c r="C151" s="2">
        <v>123456789</v>
      </c>
      <c r="D151" s="2">
        <v>123456789</v>
      </c>
    </row>
    <row r="152" spans="1:4" x14ac:dyDescent="0.45">
      <c r="A152" t="s">
        <v>285</v>
      </c>
      <c r="B152">
        <v>115.04989999999999</v>
      </c>
      <c r="C152" s="2">
        <v>123456789</v>
      </c>
      <c r="D152" s="2">
        <v>123456789</v>
      </c>
    </row>
    <row r="153" spans="1:4" x14ac:dyDescent="0.45">
      <c r="A153" t="s">
        <v>286</v>
      </c>
      <c r="B153">
        <v>151.2088</v>
      </c>
      <c r="C153" s="2">
        <v>123456789</v>
      </c>
      <c r="D153" s="2">
        <v>123456789</v>
      </c>
    </row>
    <row r="154" spans="1:4" x14ac:dyDescent="0.45">
      <c r="A154" t="s">
        <v>287</v>
      </c>
      <c r="B154">
        <v>206.256</v>
      </c>
      <c r="C154" s="2">
        <v>123456789</v>
      </c>
      <c r="D154" s="2">
        <v>123456789</v>
      </c>
    </row>
    <row r="155" spans="1:4" x14ac:dyDescent="0.45">
      <c r="A155" t="s">
        <v>288</v>
      </c>
      <c r="B155">
        <v>216.49279999999999</v>
      </c>
      <c r="C155" s="2">
        <v>123456789</v>
      </c>
      <c r="D155" s="2">
        <v>123456789</v>
      </c>
    </row>
    <row r="156" spans="1:4" x14ac:dyDescent="0.45">
      <c r="A156" t="s">
        <v>289</v>
      </c>
      <c r="B156">
        <v>243.4753</v>
      </c>
      <c r="C156" s="2">
        <v>123456789</v>
      </c>
      <c r="D156" s="2">
        <v>123456789</v>
      </c>
    </row>
    <row r="157" spans="1:4" x14ac:dyDescent="0.45">
      <c r="A157" t="s">
        <v>290</v>
      </c>
      <c r="B157">
        <v>409.529</v>
      </c>
      <c r="C157" s="2">
        <v>123456789</v>
      </c>
      <c r="D157" s="2">
        <v>123456789</v>
      </c>
    </row>
    <row r="158" spans="1:4" x14ac:dyDescent="0.45">
      <c r="A158" t="s">
        <v>291</v>
      </c>
      <c r="B158">
        <v>490.8682</v>
      </c>
      <c r="C158" s="2">
        <v>123456789</v>
      </c>
      <c r="D158" s="2">
        <v>123456789</v>
      </c>
    </row>
    <row r="159" spans="1:4" x14ac:dyDescent="0.45">
      <c r="A159" t="s">
        <v>292</v>
      </c>
      <c r="B159">
        <v>442.5736</v>
      </c>
      <c r="C159" s="2">
        <v>123456789</v>
      </c>
      <c r="D159" s="2">
        <v>123456789</v>
      </c>
    </row>
    <row r="160" spans="1:4" x14ac:dyDescent="0.45">
      <c r="A160" t="s">
        <v>293</v>
      </c>
      <c r="B160">
        <v>286.08819999999997</v>
      </c>
      <c r="C160" s="2">
        <v>123456789</v>
      </c>
      <c r="D160" s="2">
        <v>123456789</v>
      </c>
    </row>
    <row r="161" spans="1:4" x14ac:dyDescent="0.45">
      <c r="A161" t="s">
        <v>294</v>
      </c>
      <c r="B161">
        <v>228.67359999999999</v>
      </c>
      <c r="C161" s="2">
        <v>123456789</v>
      </c>
      <c r="D161" s="2">
        <v>123456789</v>
      </c>
    </row>
    <row r="162" spans="1:4" x14ac:dyDescent="0.45">
      <c r="A162" t="s">
        <v>295</v>
      </c>
      <c r="B162">
        <v>189.7124</v>
      </c>
      <c r="C162" s="2">
        <v>123456789</v>
      </c>
      <c r="D162" s="2">
        <v>123456789</v>
      </c>
    </row>
    <row r="163" spans="1:4" x14ac:dyDescent="0.45">
      <c r="A163" t="s">
        <v>296</v>
      </c>
      <c r="B163">
        <v>198.9213</v>
      </c>
      <c r="C163" s="2">
        <v>123456789</v>
      </c>
      <c r="D163" s="2">
        <v>123456789</v>
      </c>
    </row>
    <row r="164" spans="1:4" x14ac:dyDescent="0.45">
      <c r="A164" t="s">
        <v>297</v>
      </c>
      <c r="B164">
        <v>212.33330000000001</v>
      </c>
      <c r="C164" s="2">
        <v>123456789</v>
      </c>
      <c r="D164" s="2">
        <v>123456789</v>
      </c>
    </row>
    <row r="165" spans="1:4" x14ac:dyDescent="0.45">
      <c r="A165" t="s">
        <v>298</v>
      </c>
      <c r="B165">
        <v>209.34710000000001</v>
      </c>
      <c r="C165" s="2">
        <v>123456789</v>
      </c>
      <c r="D165" s="2">
        <v>123456789</v>
      </c>
    </row>
    <row r="166" spans="1:4" x14ac:dyDescent="0.45">
      <c r="A166" t="s">
        <v>299</v>
      </c>
      <c r="B166">
        <v>201.20189999999999</v>
      </c>
      <c r="C166" s="2">
        <v>123456789</v>
      </c>
      <c r="D166" s="2">
        <v>123456789</v>
      </c>
    </row>
    <row r="167" spans="1:4" x14ac:dyDescent="0.45">
      <c r="A167" t="s">
        <v>300</v>
      </c>
      <c r="B167">
        <v>196.0686</v>
      </c>
      <c r="C167" s="2">
        <v>123456789</v>
      </c>
      <c r="D167" s="2">
        <v>123456789</v>
      </c>
    </row>
    <row r="168" spans="1:4" x14ac:dyDescent="0.45">
      <c r="A168" t="s">
        <v>301</v>
      </c>
      <c r="B168">
        <v>259.75819999999999</v>
      </c>
      <c r="C168" s="2">
        <v>123456789</v>
      </c>
      <c r="D168" s="2">
        <v>123456789</v>
      </c>
    </row>
    <row r="169" spans="1:4" x14ac:dyDescent="0.45">
      <c r="A169" t="s">
        <v>302</v>
      </c>
      <c r="B169">
        <v>323.23450000000003</v>
      </c>
      <c r="C169" s="2">
        <v>123456789</v>
      </c>
      <c r="D169" s="2">
        <v>123456789</v>
      </c>
    </row>
    <row r="170" spans="1:4" x14ac:dyDescent="0.45">
      <c r="A170" t="s">
        <v>303</v>
      </c>
      <c r="B170">
        <v>296.87520000000001</v>
      </c>
      <c r="C170" s="2">
        <v>123456789</v>
      </c>
      <c r="D170" s="2">
        <v>123456789</v>
      </c>
    </row>
    <row r="171" spans="1:4" x14ac:dyDescent="0.45">
      <c r="A171" t="s">
        <v>304</v>
      </c>
      <c r="B171">
        <v>297.88959999999997</v>
      </c>
      <c r="C171" s="2">
        <v>123456789</v>
      </c>
      <c r="D171" s="2">
        <v>123456789</v>
      </c>
    </row>
    <row r="172" spans="1:4" x14ac:dyDescent="0.45">
      <c r="A172" t="s">
        <v>305</v>
      </c>
      <c r="B172">
        <v>259.91590000000002</v>
      </c>
      <c r="C172" s="2">
        <v>123456789</v>
      </c>
      <c r="D172" s="2">
        <v>123456789</v>
      </c>
    </row>
    <row r="173" spans="1:4" x14ac:dyDescent="0.45">
      <c r="A173" t="s">
        <v>306</v>
      </c>
      <c r="B173">
        <v>210.0498</v>
      </c>
      <c r="C173" s="2">
        <v>123456789</v>
      </c>
      <c r="D173" s="2">
        <v>123456789</v>
      </c>
    </row>
    <row r="174" spans="1:4" x14ac:dyDescent="0.45">
      <c r="A174" t="s">
        <v>307</v>
      </c>
      <c r="B174">
        <v>191.703</v>
      </c>
      <c r="C174" s="2">
        <v>123456789</v>
      </c>
      <c r="D174" s="2">
        <v>123456789</v>
      </c>
    </row>
    <row r="175" spans="1:4" x14ac:dyDescent="0.45">
      <c r="A175" t="s">
        <v>308</v>
      </c>
      <c r="B175">
        <v>175.2783</v>
      </c>
      <c r="C175" s="2">
        <v>123456789</v>
      </c>
      <c r="D175" s="2">
        <v>123456789</v>
      </c>
    </row>
    <row r="176" spans="1:4" x14ac:dyDescent="0.45">
      <c r="A176" t="s">
        <v>309</v>
      </c>
      <c r="B176">
        <v>168.8665</v>
      </c>
      <c r="C176" s="2">
        <v>123456789</v>
      </c>
      <c r="D176" s="2">
        <v>123456789</v>
      </c>
    </row>
    <row r="177" spans="1:4" x14ac:dyDescent="0.45">
      <c r="A177" t="s">
        <v>310</v>
      </c>
      <c r="B177">
        <v>147.64320000000001</v>
      </c>
      <c r="C177" s="2">
        <v>123456789</v>
      </c>
      <c r="D177" s="2">
        <v>123456789</v>
      </c>
    </row>
    <row r="178" spans="1:4" x14ac:dyDescent="0.45">
      <c r="A178" t="s">
        <v>311</v>
      </c>
      <c r="B178">
        <v>138.98249999999999</v>
      </c>
      <c r="C178" s="2">
        <v>123456789</v>
      </c>
      <c r="D178" s="2">
        <v>123456789</v>
      </c>
    </row>
    <row r="179" spans="1:4" x14ac:dyDescent="0.45">
      <c r="A179" t="s">
        <v>312</v>
      </c>
      <c r="B179">
        <v>132.44229999999999</v>
      </c>
      <c r="C179" s="2">
        <v>123456789</v>
      </c>
      <c r="D179" s="2">
        <v>123456789</v>
      </c>
    </row>
    <row r="180" spans="1:4" x14ac:dyDescent="0.45">
      <c r="A180" t="s">
        <v>313</v>
      </c>
      <c r="B180">
        <v>134.61250000000001</v>
      </c>
      <c r="C180" s="2">
        <v>123456789</v>
      </c>
      <c r="D180" s="2">
        <v>123456789</v>
      </c>
    </row>
    <row r="181" spans="1:4" x14ac:dyDescent="0.45">
      <c r="A181" t="s">
        <v>314</v>
      </c>
      <c r="B181">
        <v>146.34710000000001</v>
      </c>
      <c r="C181" s="2">
        <v>123456789</v>
      </c>
      <c r="D181" s="2">
        <v>123456789</v>
      </c>
    </row>
    <row r="182" spans="1:4" x14ac:dyDescent="0.45">
      <c r="A182" t="s">
        <v>315</v>
      </c>
      <c r="B182">
        <v>135.9879</v>
      </c>
      <c r="C182" s="2">
        <v>123456789</v>
      </c>
      <c r="D182" s="2">
        <v>123456789</v>
      </c>
    </row>
    <row r="183" spans="1:4" x14ac:dyDescent="0.45">
      <c r="A183" t="s">
        <v>316</v>
      </c>
      <c r="B183">
        <v>135.2287</v>
      </c>
      <c r="C183" s="2">
        <v>123456789</v>
      </c>
      <c r="D183" s="2">
        <v>123456789</v>
      </c>
    </row>
    <row r="184" spans="1:4" x14ac:dyDescent="0.45">
      <c r="A184" t="s">
        <v>317</v>
      </c>
      <c r="B184">
        <v>159.9948</v>
      </c>
      <c r="C184" s="2">
        <v>123456789</v>
      </c>
      <c r="D184" s="2">
        <v>123456789</v>
      </c>
    </row>
    <row r="185" spans="1:4" x14ac:dyDescent="0.45">
      <c r="A185" t="s">
        <v>318</v>
      </c>
      <c r="B185">
        <v>172.94649999999999</v>
      </c>
      <c r="C185" s="2">
        <v>123456789</v>
      </c>
      <c r="D185" s="2">
        <v>123456789</v>
      </c>
    </row>
    <row r="186" spans="1:4" x14ac:dyDescent="0.45">
      <c r="A186" t="s">
        <v>319</v>
      </c>
      <c r="B186">
        <v>199.45070000000001</v>
      </c>
      <c r="C186" s="2">
        <v>123456789</v>
      </c>
      <c r="D186" s="2">
        <v>123456789</v>
      </c>
    </row>
    <row r="187" spans="1:4" x14ac:dyDescent="0.45">
      <c r="A187" t="s">
        <v>320</v>
      </c>
      <c r="B187">
        <v>177.35570000000001</v>
      </c>
      <c r="C187" s="2">
        <v>123456789</v>
      </c>
      <c r="D187" s="2">
        <v>123456789</v>
      </c>
    </row>
    <row r="188" spans="1:4" x14ac:dyDescent="0.45">
      <c r="A188" t="s">
        <v>321</v>
      </c>
      <c r="B188">
        <v>154.21260000000001</v>
      </c>
      <c r="C188" s="2">
        <v>123456789</v>
      </c>
      <c r="D188" s="2">
        <v>123456789</v>
      </c>
    </row>
    <row r="189" spans="1:4" x14ac:dyDescent="0.45">
      <c r="A189" t="s">
        <v>322</v>
      </c>
      <c r="B189">
        <v>151.33330000000001</v>
      </c>
      <c r="C189" s="2">
        <v>123456789</v>
      </c>
      <c r="D189" s="2">
        <v>123456789</v>
      </c>
    </row>
    <row r="190" spans="1:4" x14ac:dyDescent="0.45">
      <c r="A190" t="s">
        <v>323</v>
      </c>
      <c r="B190">
        <v>145.0727</v>
      </c>
      <c r="C190" s="2">
        <v>123456789</v>
      </c>
      <c r="D190" s="2">
        <v>123456789</v>
      </c>
    </row>
    <row r="191" spans="1:4" x14ac:dyDescent="0.45">
      <c r="A191" t="s">
        <v>324</v>
      </c>
      <c r="B191">
        <v>138.50839999999999</v>
      </c>
      <c r="C191" s="2">
        <v>123456789</v>
      </c>
      <c r="D191" s="2">
        <v>123456789</v>
      </c>
    </row>
    <row r="192" spans="1:4" x14ac:dyDescent="0.45">
      <c r="A192" t="s">
        <v>325</v>
      </c>
      <c r="B192">
        <v>128.19319999999999</v>
      </c>
      <c r="C192" s="2">
        <v>123456789</v>
      </c>
      <c r="D192" s="2">
        <v>123456789</v>
      </c>
    </row>
    <row r="193" spans="1:4" x14ac:dyDescent="0.45">
      <c r="A193" t="s">
        <v>326</v>
      </c>
      <c r="B193">
        <v>124.2266</v>
      </c>
      <c r="C193" s="2">
        <v>123456789</v>
      </c>
      <c r="D193" s="2">
        <v>123456789</v>
      </c>
    </row>
    <row r="194" spans="1:4" x14ac:dyDescent="0.45">
      <c r="A194" t="s">
        <v>327</v>
      </c>
      <c r="B194">
        <v>122.5329</v>
      </c>
      <c r="C194" s="2">
        <v>123456789</v>
      </c>
      <c r="D194" s="2">
        <v>123456789</v>
      </c>
    </row>
    <row r="195" spans="1:4" x14ac:dyDescent="0.45">
      <c r="A195" t="s">
        <v>328</v>
      </c>
      <c r="B195">
        <v>138.19669999999999</v>
      </c>
      <c r="C195" s="2">
        <v>123456789</v>
      </c>
      <c r="D195" s="2">
        <v>123456789</v>
      </c>
    </row>
    <row r="196" spans="1:4" x14ac:dyDescent="0.45">
      <c r="A196" t="s">
        <v>329</v>
      </c>
      <c r="B196">
        <v>146.64279999999999</v>
      </c>
      <c r="C196" s="2">
        <v>123456789</v>
      </c>
      <c r="D196" s="2">
        <v>123456789</v>
      </c>
    </row>
    <row r="197" spans="1:4" x14ac:dyDescent="0.45">
      <c r="A197" t="s">
        <v>330</v>
      </c>
      <c r="B197">
        <v>166.4171</v>
      </c>
      <c r="C197" s="2">
        <v>123456789</v>
      </c>
      <c r="D197" s="2">
        <v>123456789</v>
      </c>
    </row>
    <row r="198" spans="1:4" x14ac:dyDescent="0.45">
      <c r="A198" t="s">
        <v>331</v>
      </c>
      <c r="B198">
        <v>168.9144</v>
      </c>
      <c r="C198" s="2">
        <v>123456789</v>
      </c>
      <c r="D198" s="2">
        <v>123456789</v>
      </c>
    </row>
    <row r="199" spans="1:4" x14ac:dyDescent="0.45">
      <c r="A199" t="s">
        <v>332</v>
      </c>
      <c r="B199">
        <v>153.53020000000001</v>
      </c>
      <c r="C199" s="2">
        <v>123456789</v>
      </c>
      <c r="D199" s="2">
        <v>123456789</v>
      </c>
    </row>
    <row r="200" spans="1:4" x14ac:dyDescent="0.45">
      <c r="A200" t="s">
        <v>333</v>
      </c>
      <c r="B200">
        <v>147.2174</v>
      </c>
      <c r="C200" s="2">
        <v>123456789</v>
      </c>
      <c r="D200" s="2">
        <v>123456789</v>
      </c>
    </row>
    <row r="201" spans="1:4" x14ac:dyDescent="0.45">
      <c r="A201" t="s">
        <v>334</v>
      </c>
      <c r="B201">
        <v>140.99629999999999</v>
      </c>
      <c r="C201" s="2">
        <v>123456789</v>
      </c>
      <c r="D201" s="2">
        <v>123456789</v>
      </c>
    </row>
    <row r="202" spans="1:4" x14ac:dyDescent="0.45">
      <c r="A202" t="s">
        <v>335</v>
      </c>
      <c r="B202">
        <v>157.88120000000001</v>
      </c>
      <c r="C202" s="2">
        <v>123456789</v>
      </c>
      <c r="D202" s="2">
        <v>123456789</v>
      </c>
    </row>
    <row r="203" spans="1:4" x14ac:dyDescent="0.45">
      <c r="A203" t="s">
        <v>336</v>
      </c>
      <c r="B203">
        <v>204.61689999999999</v>
      </c>
      <c r="C203" s="2">
        <v>123456789</v>
      </c>
      <c r="D203" s="2">
        <v>123456789</v>
      </c>
    </row>
    <row r="204" spans="1:4" x14ac:dyDescent="0.45">
      <c r="A204" t="s">
        <v>337</v>
      </c>
      <c r="B204">
        <v>152.7791</v>
      </c>
      <c r="C204" s="2">
        <v>123456789</v>
      </c>
      <c r="D204" s="2">
        <v>123456789</v>
      </c>
    </row>
    <row r="205" spans="1:4" x14ac:dyDescent="0.45">
      <c r="A205" t="s">
        <v>338</v>
      </c>
      <c r="B205">
        <v>129.37020000000001</v>
      </c>
      <c r="C205" s="2">
        <v>123456789</v>
      </c>
      <c r="D205" s="2">
        <v>123456789</v>
      </c>
    </row>
    <row r="206" spans="1:4" x14ac:dyDescent="0.45">
      <c r="A206" t="s">
        <v>339</v>
      </c>
      <c r="B206">
        <v>110.3822</v>
      </c>
      <c r="C206" s="2">
        <v>123456789</v>
      </c>
      <c r="D206" s="2">
        <v>123456789</v>
      </c>
    </row>
    <row r="207" spans="1:4" x14ac:dyDescent="0.45">
      <c r="A207" t="s">
        <v>340</v>
      </c>
      <c r="B207">
        <v>107.9928</v>
      </c>
      <c r="C207" s="2">
        <v>123456789</v>
      </c>
      <c r="D207" s="2">
        <v>123456789</v>
      </c>
    </row>
    <row r="208" spans="1:4" x14ac:dyDescent="0.45">
      <c r="A208" t="s">
        <v>341</v>
      </c>
      <c r="B208">
        <v>104.9545</v>
      </c>
      <c r="C208" s="2">
        <v>123456789</v>
      </c>
      <c r="D208" s="2">
        <v>123456789</v>
      </c>
    </row>
    <row r="209" spans="1:4" x14ac:dyDescent="0.45">
      <c r="A209" t="s">
        <v>342</v>
      </c>
      <c r="B209">
        <v>110.636</v>
      </c>
      <c r="C209" s="2">
        <v>123456789</v>
      </c>
      <c r="D209" s="2">
        <v>123456789</v>
      </c>
    </row>
    <row r="210" spans="1:4" x14ac:dyDescent="0.45">
      <c r="A210" t="s">
        <v>343</v>
      </c>
      <c r="B210">
        <v>136.64179999999999</v>
      </c>
      <c r="C210" s="2">
        <v>123456789</v>
      </c>
      <c r="D210" s="2">
        <v>123456789</v>
      </c>
    </row>
    <row r="211" spans="1:4" x14ac:dyDescent="0.45">
      <c r="A211" t="s">
        <v>344</v>
      </c>
      <c r="B211">
        <v>169.87379999999999</v>
      </c>
      <c r="C211" s="2">
        <v>123456789</v>
      </c>
      <c r="D211" s="2">
        <v>123456789</v>
      </c>
    </row>
    <row r="212" spans="1:4" x14ac:dyDescent="0.45">
      <c r="A212" t="s">
        <v>345</v>
      </c>
      <c r="B212">
        <v>200.8913</v>
      </c>
      <c r="C212" s="2">
        <v>123456789</v>
      </c>
      <c r="D212" s="2">
        <v>123456789</v>
      </c>
    </row>
    <row r="213" spans="1:4" x14ac:dyDescent="0.45">
      <c r="A213" t="s">
        <v>346</v>
      </c>
      <c r="B213">
        <v>214.99860000000001</v>
      </c>
      <c r="C213" s="2">
        <v>123456789</v>
      </c>
      <c r="D213" s="2">
        <v>123456789</v>
      </c>
    </row>
    <row r="214" spans="1:4" x14ac:dyDescent="0.45">
      <c r="A214" t="s">
        <v>347</v>
      </c>
      <c r="B214">
        <v>174.08420000000001</v>
      </c>
      <c r="C214" s="2">
        <v>123456789</v>
      </c>
      <c r="D214" s="2">
        <v>123456789</v>
      </c>
    </row>
    <row r="215" spans="1:4" x14ac:dyDescent="0.45">
      <c r="A215" t="s">
        <v>348</v>
      </c>
      <c r="B215">
        <v>175.44839999999999</v>
      </c>
      <c r="C215" s="2">
        <v>123456789</v>
      </c>
      <c r="D215" s="2">
        <v>123456789</v>
      </c>
    </row>
    <row r="216" spans="1:4" x14ac:dyDescent="0.45">
      <c r="A216" t="s">
        <v>349</v>
      </c>
      <c r="B216">
        <v>159.1704</v>
      </c>
      <c r="C216" s="2">
        <v>123456789</v>
      </c>
      <c r="D216" s="2">
        <v>123456789</v>
      </c>
    </row>
    <row r="217" spans="1:4" x14ac:dyDescent="0.45">
      <c r="A217" t="s">
        <v>350</v>
      </c>
      <c r="B217">
        <v>151.23230000000001</v>
      </c>
      <c r="C217" s="2">
        <v>123456789</v>
      </c>
      <c r="D217" s="2">
        <v>123456789</v>
      </c>
    </row>
    <row r="218" spans="1:4" x14ac:dyDescent="0.45">
      <c r="A218" t="s">
        <v>351</v>
      </c>
      <c r="B218">
        <v>123.7253</v>
      </c>
      <c r="C218" s="2">
        <v>123456789</v>
      </c>
      <c r="D218" s="2">
        <v>123456789</v>
      </c>
    </row>
    <row r="219" spans="1:4" x14ac:dyDescent="0.45">
      <c r="A219" t="s">
        <v>352</v>
      </c>
      <c r="B219">
        <v>114.51519999999999</v>
      </c>
      <c r="C219" s="2">
        <v>123456789</v>
      </c>
      <c r="D219" s="2">
        <v>123456789</v>
      </c>
    </row>
    <row r="220" spans="1:4" x14ac:dyDescent="0.45">
      <c r="A220" t="s">
        <v>353</v>
      </c>
      <c r="B220">
        <v>114.5059</v>
      </c>
      <c r="C220" s="2">
        <v>123456789</v>
      </c>
      <c r="D220" s="2">
        <v>123456789</v>
      </c>
    </row>
    <row r="221" spans="1:4" x14ac:dyDescent="0.45">
      <c r="A221" t="s">
        <v>354</v>
      </c>
      <c r="B221">
        <v>100.6741</v>
      </c>
      <c r="C221" s="2">
        <v>123456789</v>
      </c>
      <c r="D221" s="2">
        <v>123456789</v>
      </c>
    </row>
    <row r="222" spans="1:4" x14ac:dyDescent="0.45">
      <c r="A222" s="40" t="s">
        <v>355</v>
      </c>
      <c r="B222" s="40">
        <v>93.314319206349225</v>
      </c>
      <c r="C222" s="2">
        <v>123456789</v>
      </c>
      <c r="D222" s="2">
        <v>123456789</v>
      </c>
    </row>
    <row r="223" spans="1:4" x14ac:dyDescent="0.45">
      <c r="A223" s="40" t="s">
        <v>356</v>
      </c>
      <c r="B223" s="40">
        <v>110.57502666666666</v>
      </c>
      <c r="C223" s="2">
        <v>123456789</v>
      </c>
      <c r="D223" s="2">
        <v>123456789</v>
      </c>
    </row>
    <row r="224" spans="1:4" x14ac:dyDescent="0.45">
      <c r="A224" s="40" t="s">
        <v>357</v>
      </c>
      <c r="B224" s="40">
        <v>88.190819999999988</v>
      </c>
      <c r="C224" s="2">
        <v>123456789</v>
      </c>
      <c r="D224" s="2">
        <v>123456789</v>
      </c>
    </row>
    <row r="225" spans="1:4" x14ac:dyDescent="0.45">
      <c r="A225" s="40" t="s">
        <v>438</v>
      </c>
      <c r="B225" s="40">
        <v>88.190819999999988</v>
      </c>
      <c r="C225" s="2">
        <v>123456789</v>
      </c>
      <c r="D225" s="2">
        <v>123456789</v>
      </c>
    </row>
    <row r="226" spans="1:4" x14ac:dyDescent="0.45">
      <c r="A226" s="40" t="s">
        <v>441</v>
      </c>
      <c r="B226" s="40">
        <v>88.190819999999988</v>
      </c>
      <c r="C226" s="2">
        <v>123456789</v>
      </c>
      <c r="D226" s="2">
        <v>123456789</v>
      </c>
    </row>
  </sheetData>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18501-25D7-411E-8082-578D859394E6}">
  <sheetPr>
    <tabColor theme="9" tint="0.79998168889431442"/>
  </sheetPr>
  <dimension ref="A1:D226"/>
  <sheetViews>
    <sheetView topLeftCell="A205" workbookViewId="0">
      <selection activeCell="H217" sqref="H217"/>
    </sheetView>
  </sheetViews>
  <sheetFormatPr defaultRowHeight="14.25" x14ac:dyDescent="0.45"/>
  <cols>
    <col min="2" max="2" width="10" bestFit="1" customWidth="1"/>
  </cols>
  <sheetData>
    <row r="1" spans="1:4" x14ac:dyDescent="0.45">
      <c r="B1" t="s">
        <v>6</v>
      </c>
      <c r="C1" t="s">
        <v>133</v>
      </c>
      <c r="D1" t="s">
        <v>134</v>
      </c>
    </row>
    <row r="2" spans="1:4" x14ac:dyDescent="0.45">
      <c r="A2" t="s">
        <v>135</v>
      </c>
      <c r="B2" s="2">
        <v>123456789</v>
      </c>
      <c r="C2" s="2">
        <v>123456789</v>
      </c>
      <c r="D2" s="2">
        <v>123456789</v>
      </c>
    </row>
    <row r="3" spans="1:4" x14ac:dyDescent="0.45">
      <c r="A3" t="s">
        <v>136</v>
      </c>
      <c r="B3">
        <v>1.7605759999999999</v>
      </c>
      <c r="C3" s="2">
        <v>123456789</v>
      </c>
      <c r="D3" s="2">
        <v>123456789</v>
      </c>
    </row>
    <row r="4" spans="1:4" x14ac:dyDescent="0.45">
      <c r="A4" t="s">
        <v>137</v>
      </c>
      <c r="B4">
        <v>0.92030199999999995</v>
      </c>
      <c r="C4" s="2">
        <v>123456789</v>
      </c>
      <c r="D4" s="2">
        <v>123456789</v>
      </c>
    </row>
    <row r="5" spans="1:4" x14ac:dyDescent="0.45">
      <c r="A5" t="s">
        <v>138</v>
      </c>
      <c r="B5">
        <v>0.91948479999999999</v>
      </c>
      <c r="C5" s="2">
        <v>123456789</v>
      </c>
      <c r="D5" s="2">
        <v>123456789</v>
      </c>
    </row>
    <row r="6" spans="1:4" x14ac:dyDescent="0.45">
      <c r="A6" t="s">
        <v>139</v>
      </c>
      <c r="B6">
        <v>1.075156</v>
      </c>
      <c r="C6" s="2">
        <v>123456789</v>
      </c>
      <c r="D6" s="2">
        <v>123456789</v>
      </c>
    </row>
    <row r="7" spans="1:4" x14ac:dyDescent="0.45">
      <c r="A7" t="s">
        <v>140</v>
      </c>
      <c r="B7">
        <v>1.236534</v>
      </c>
      <c r="C7" s="2">
        <v>123456789</v>
      </c>
      <c r="D7" s="2">
        <v>123456789</v>
      </c>
    </row>
    <row r="8" spans="1:4" x14ac:dyDescent="0.45">
      <c r="A8" t="s">
        <v>141</v>
      </c>
      <c r="B8">
        <v>1.0907469999999999</v>
      </c>
      <c r="C8" s="2">
        <v>123456789</v>
      </c>
      <c r="D8" s="2">
        <v>123456789</v>
      </c>
    </row>
    <row r="9" spans="1:4" x14ac:dyDescent="0.45">
      <c r="A9" t="s">
        <v>142</v>
      </c>
      <c r="B9">
        <v>1.052805</v>
      </c>
      <c r="C9" s="2">
        <v>123456789</v>
      </c>
      <c r="D9" s="2">
        <v>123456789</v>
      </c>
    </row>
    <row r="10" spans="1:4" x14ac:dyDescent="0.45">
      <c r="A10" t="s">
        <v>143</v>
      </c>
      <c r="B10">
        <v>0.88364659999999995</v>
      </c>
      <c r="C10" s="2">
        <v>123456789</v>
      </c>
      <c r="D10" s="2">
        <v>123456789</v>
      </c>
    </row>
    <row r="11" spans="1:4" x14ac:dyDescent="0.45">
      <c r="A11" t="s">
        <v>144</v>
      </c>
      <c r="B11">
        <v>0.92381480000000005</v>
      </c>
      <c r="C11" s="2">
        <v>123456789</v>
      </c>
      <c r="D11" s="2">
        <v>123456789</v>
      </c>
    </row>
    <row r="12" spans="1:4" x14ac:dyDescent="0.45">
      <c r="A12" t="s">
        <v>145</v>
      </c>
      <c r="B12">
        <v>0.94451589999999996</v>
      </c>
      <c r="C12" s="2">
        <v>123456789</v>
      </c>
      <c r="D12" s="2">
        <v>123456789</v>
      </c>
    </row>
    <row r="13" spans="1:4" x14ac:dyDescent="0.45">
      <c r="A13" t="s">
        <v>146</v>
      </c>
      <c r="B13">
        <v>0.62000789999999995</v>
      </c>
      <c r="C13" s="2">
        <v>123456789</v>
      </c>
      <c r="D13" s="2">
        <v>123456789</v>
      </c>
    </row>
    <row r="14" spans="1:4" x14ac:dyDescent="0.45">
      <c r="A14" t="s">
        <v>147</v>
      </c>
      <c r="B14">
        <v>0.90452690000000002</v>
      </c>
      <c r="C14" s="2">
        <v>123456789</v>
      </c>
      <c r="D14" s="2">
        <v>123456789</v>
      </c>
    </row>
    <row r="15" spans="1:4" x14ac:dyDescent="0.45">
      <c r="A15" t="s">
        <v>148</v>
      </c>
      <c r="B15">
        <v>0.7179432</v>
      </c>
      <c r="C15" s="2">
        <v>123456789</v>
      </c>
      <c r="D15" s="2">
        <v>123456789</v>
      </c>
    </row>
    <row r="16" spans="1:4" x14ac:dyDescent="0.45">
      <c r="A16" t="s">
        <v>149</v>
      </c>
      <c r="B16">
        <v>0.70185229999999998</v>
      </c>
      <c r="C16" s="2">
        <v>123456789</v>
      </c>
      <c r="D16" s="2">
        <v>123456789</v>
      </c>
    </row>
    <row r="17" spans="1:4" x14ac:dyDescent="0.45">
      <c r="A17" t="s">
        <v>150</v>
      </c>
      <c r="B17">
        <v>1.6875199999999999</v>
      </c>
      <c r="C17" s="2">
        <v>123456789</v>
      </c>
      <c r="D17" s="2">
        <v>123456789</v>
      </c>
    </row>
    <row r="18" spans="1:4" x14ac:dyDescent="0.45">
      <c r="A18" t="s">
        <v>151</v>
      </c>
      <c r="B18">
        <v>1.581569</v>
      </c>
      <c r="C18" s="2">
        <v>123456789</v>
      </c>
      <c r="D18" s="2">
        <v>123456789</v>
      </c>
    </row>
    <row r="19" spans="1:4" x14ac:dyDescent="0.45">
      <c r="A19" t="s">
        <v>152</v>
      </c>
      <c r="B19">
        <v>1.387454</v>
      </c>
      <c r="C19" s="2">
        <v>123456789</v>
      </c>
      <c r="D19" s="2">
        <v>123456789</v>
      </c>
    </row>
    <row r="20" spans="1:4" x14ac:dyDescent="0.45">
      <c r="A20" t="s">
        <v>153</v>
      </c>
      <c r="B20">
        <v>1.7632810000000001</v>
      </c>
      <c r="C20" s="2">
        <v>123456789</v>
      </c>
      <c r="D20" s="2">
        <v>123456789</v>
      </c>
    </row>
    <row r="21" spans="1:4" x14ac:dyDescent="0.45">
      <c r="A21" t="s">
        <v>154</v>
      </c>
      <c r="B21">
        <v>2.0119899999999999</v>
      </c>
      <c r="C21" s="2">
        <v>123456789</v>
      </c>
      <c r="D21" s="2">
        <v>123456789</v>
      </c>
    </row>
    <row r="22" spans="1:4" x14ac:dyDescent="0.45">
      <c r="A22" t="s">
        <v>155</v>
      </c>
      <c r="B22">
        <v>3.500645</v>
      </c>
      <c r="C22" s="2">
        <v>123456789</v>
      </c>
      <c r="D22" s="2">
        <v>123456789</v>
      </c>
    </row>
    <row r="23" spans="1:4" x14ac:dyDescent="0.45">
      <c r="A23" t="s">
        <v>156</v>
      </c>
      <c r="B23">
        <v>2.2581549999999999</v>
      </c>
      <c r="C23" s="2">
        <v>123456789</v>
      </c>
      <c r="D23" s="2">
        <v>123456789</v>
      </c>
    </row>
    <row r="24" spans="1:4" x14ac:dyDescent="0.45">
      <c r="A24" t="s">
        <v>157</v>
      </c>
      <c r="B24">
        <v>1.7837639999999999</v>
      </c>
      <c r="C24" s="2">
        <v>123456789</v>
      </c>
      <c r="D24" s="2">
        <v>123456789</v>
      </c>
    </row>
    <row r="25" spans="1:4" x14ac:dyDescent="0.45">
      <c r="A25" t="s">
        <v>158</v>
      </c>
      <c r="B25">
        <v>1.114093</v>
      </c>
      <c r="C25" s="2">
        <v>123456789</v>
      </c>
      <c r="D25" s="2">
        <v>123456789</v>
      </c>
    </row>
    <row r="26" spans="1:4" x14ac:dyDescent="0.45">
      <c r="A26" t="s">
        <v>159</v>
      </c>
      <c r="B26">
        <v>1.000812</v>
      </c>
      <c r="C26" s="2">
        <v>123456789</v>
      </c>
      <c r="D26" s="2">
        <v>123456789</v>
      </c>
    </row>
    <row r="27" spans="1:4" x14ac:dyDescent="0.45">
      <c r="A27" t="s">
        <v>160</v>
      </c>
      <c r="B27">
        <v>1.096287</v>
      </c>
      <c r="C27" s="2">
        <v>123456789</v>
      </c>
      <c r="D27" s="2">
        <v>123456789</v>
      </c>
    </row>
    <row r="28" spans="1:4" x14ac:dyDescent="0.45">
      <c r="A28" t="s">
        <v>161</v>
      </c>
      <c r="B28">
        <v>0.98216890000000001</v>
      </c>
      <c r="C28" s="2">
        <v>123456789</v>
      </c>
      <c r="D28" s="2">
        <v>123456789</v>
      </c>
    </row>
    <row r="29" spans="1:4" x14ac:dyDescent="0.45">
      <c r="A29" t="s">
        <v>162</v>
      </c>
      <c r="B29">
        <v>1.7562089999999999</v>
      </c>
      <c r="C29" s="2">
        <v>123456789</v>
      </c>
      <c r="D29" s="2">
        <v>123456789</v>
      </c>
    </row>
    <row r="30" spans="1:4" x14ac:dyDescent="0.45">
      <c r="A30" t="s">
        <v>163</v>
      </c>
      <c r="B30">
        <v>1.406323</v>
      </c>
      <c r="C30" s="2">
        <v>123456789</v>
      </c>
      <c r="D30" s="2">
        <v>123456789</v>
      </c>
    </row>
    <row r="31" spans="1:4" x14ac:dyDescent="0.45">
      <c r="A31" t="s">
        <v>164</v>
      </c>
      <c r="B31">
        <v>1.1109610000000001</v>
      </c>
      <c r="C31" s="2">
        <v>123456789</v>
      </c>
      <c r="D31" s="2">
        <v>123456789</v>
      </c>
    </row>
    <row r="32" spans="1:4" x14ac:dyDescent="0.45">
      <c r="A32" t="s">
        <v>165</v>
      </c>
      <c r="B32">
        <v>1.053663</v>
      </c>
      <c r="C32" s="2">
        <v>123456789</v>
      </c>
      <c r="D32" s="2">
        <v>123456789</v>
      </c>
    </row>
    <row r="33" spans="1:4" x14ac:dyDescent="0.45">
      <c r="A33" t="s">
        <v>166</v>
      </c>
      <c r="B33">
        <v>1.059083</v>
      </c>
      <c r="C33" s="2">
        <v>123456789</v>
      </c>
      <c r="D33" s="2">
        <v>123456789</v>
      </c>
    </row>
    <row r="34" spans="1:4" x14ac:dyDescent="0.45">
      <c r="A34" t="s">
        <v>167</v>
      </c>
      <c r="B34">
        <v>0.87022909999999998</v>
      </c>
      <c r="C34" s="2">
        <v>123456789</v>
      </c>
      <c r="D34" s="2">
        <v>123456789</v>
      </c>
    </row>
    <row r="35" spans="1:4" x14ac:dyDescent="0.45">
      <c r="A35" t="s">
        <v>168</v>
      </c>
      <c r="B35">
        <v>0.86158599999999996</v>
      </c>
      <c r="C35" s="2">
        <v>123456789</v>
      </c>
      <c r="D35" s="2">
        <v>123456789</v>
      </c>
    </row>
    <row r="36" spans="1:4" x14ac:dyDescent="0.45">
      <c r="A36" t="s">
        <v>169</v>
      </c>
      <c r="B36">
        <v>0.89346959999999997</v>
      </c>
      <c r="C36" s="2">
        <v>123456789</v>
      </c>
      <c r="D36" s="2">
        <v>123456789</v>
      </c>
    </row>
    <row r="37" spans="1:4" x14ac:dyDescent="0.45">
      <c r="A37" t="s">
        <v>170</v>
      </c>
      <c r="B37">
        <v>0.83389530000000001</v>
      </c>
      <c r="C37" s="2">
        <v>123456789</v>
      </c>
      <c r="D37" s="2">
        <v>123456789</v>
      </c>
    </row>
    <row r="38" spans="1:4" x14ac:dyDescent="0.45">
      <c r="A38" t="s">
        <v>171</v>
      </c>
      <c r="B38">
        <v>1.071027</v>
      </c>
      <c r="C38" s="2">
        <v>123456789</v>
      </c>
      <c r="D38" s="2">
        <v>123456789</v>
      </c>
    </row>
    <row r="39" spans="1:4" x14ac:dyDescent="0.45">
      <c r="A39" t="s">
        <v>172</v>
      </c>
      <c r="B39">
        <v>1.116992</v>
      </c>
      <c r="C39" s="2">
        <v>123456789</v>
      </c>
      <c r="D39" s="2">
        <v>123456789</v>
      </c>
    </row>
    <row r="40" spans="1:4" x14ac:dyDescent="0.45">
      <c r="A40" t="s">
        <v>173</v>
      </c>
      <c r="B40">
        <v>0.80251320000000004</v>
      </c>
      <c r="C40" s="2">
        <v>123456789</v>
      </c>
      <c r="D40" s="2">
        <v>123456789</v>
      </c>
    </row>
    <row r="41" spans="1:4" x14ac:dyDescent="0.45">
      <c r="A41" t="s">
        <v>174</v>
      </c>
      <c r="B41">
        <v>1.0560989999999999</v>
      </c>
      <c r="C41" s="2">
        <v>123456789</v>
      </c>
      <c r="D41" s="2">
        <v>123456789</v>
      </c>
    </row>
    <row r="42" spans="1:4" x14ac:dyDescent="0.45">
      <c r="A42" t="s">
        <v>175</v>
      </c>
      <c r="B42">
        <v>1.190232</v>
      </c>
      <c r="C42" s="2">
        <v>123456789</v>
      </c>
      <c r="D42" s="2">
        <v>123456789</v>
      </c>
    </row>
    <row r="43" spans="1:4" x14ac:dyDescent="0.45">
      <c r="A43" t="s">
        <v>176</v>
      </c>
      <c r="B43">
        <v>0.84277729999999995</v>
      </c>
      <c r="C43" s="2">
        <v>123456789</v>
      </c>
      <c r="D43" s="2">
        <v>123456789</v>
      </c>
    </row>
    <row r="44" spans="1:4" x14ac:dyDescent="0.45">
      <c r="A44" t="s">
        <v>177</v>
      </c>
      <c r="B44">
        <v>0.85632149999999996</v>
      </c>
      <c r="C44" s="2">
        <v>123456789</v>
      </c>
      <c r="D44" s="2">
        <v>123456789</v>
      </c>
    </row>
    <row r="45" spans="1:4" x14ac:dyDescent="0.45">
      <c r="A45" t="s">
        <v>178</v>
      </c>
      <c r="B45">
        <v>0.90157089999999995</v>
      </c>
      <c r="C45" s="2">
        <v>123456789</v>
      </c>
      <c r="D45" s="2">
        <v>123456789</v>
      </c>
    </row>
    <row r="46" spans="1:4" x14ac:dyDescent="0.45">
      <c r="A46" t="s">
        <v>179</v>
      </c>
      <c r="B46">
        <v>0.94395759999999995</v>
      </c>
      <c r="C46" s="2">
        <v>123456789</v>
      </c>
      <c r="D46" s="2">
        <v>123456789</v>
      </c>
    </row>
    <row r="47" spans="1:4" x14ac:dyDescent="0.45">
      <c r="A47" t="s">
        <v>180</v>
      </c>
      <c r="B47">
        <v>1.0056620000000001</v>
      </c>
      <c r="C47" s="2">
        <v>123456789</v>
      </c>
      <c r="D47" s="2">
        <v>123456789</v>
      </c>
    </row>
    <row r="48" spans="1:4" x14ac:dyDescent="0.45">
      <c r="A48" t="s">
        <v>181</v>
      </c>
      <c r="B48">
        <v>1.3213490000000001</v>
      </c>
      <c r="C48" s="2">
        <v>123456789</v>
      </c>
      <c r="D48" s="2">
        <v>123456789</v>
      </c>
    </row>
    <row r="49" spans="1:4" x14ac:dyDescent="0.45">
      <c r="A49" t="s">
        <v>182</v>
      </c>
      <c r="B49">
        <v>1.2876540000000001</v>
      </c>
      <c r="C49" s="2">
        <v>123456789</v>
      </c>
      <c r="D49" s="2">
        <v>123456789</v>
      </c>
    </row>
    <row r="50" spans="1:4" x14ac:dyDescent="0.45">
      <c r="A50" t="s">
        <v>183</v>
      </c>
      <c r="B50">
        <v>0.91018929999999998</v>
      </c>
      <c r="C50" s="2">
        <v>123456789</v>
      </c>
      <c r="D50" s="2">
        <v>123456789</v>
      </c>
    </row>
    <row r="51" spans="1:4" x14ac:dyDescent="0.45">
      <c r="A51" t="s">
        <v>184</v>
      </c>
      <c r="B51">
        <v>0.94438520000000004</v>
      </c>
      <c r="C51" s="2">
        <v>123456789</v>
      </c>
      <c r="D51" s="2">
        <v>123456789</v>
      </c>
    </row>
    <row r="52" spans="1:4" x14ac:dyDescent="0.45">
      <c r="A52" t="s">
        <v>185</v>
      </c>
      <c r="B52">
        <v>1.02</v>
      </c>
      <c r="C52" s="2">
        <v>123456789</v>
      </c>
      <c r="D52" s="2">
        <v>123456789</v>
      </c>
    </row>
    <row r="53" spans="1:4" x14ac:dyDescent="0.45">
      <c r="A53" t="s">
        <v>186</v>
      </c>
      <c r="B53">
        <v>1.1989069999999999</v>
      </c>
      <c r="C53" s="2">
        <v>123456789</v>
      </c>
      <c r="D53" s="2">
        <v>123456789</v>
      </c>
    </row>
    <row r="54" spans="1:4" x14ac:dyDescent="0.45">
      <c r="A54" t="s">
        <v>187</v>
      </c>
      <c r="B54">
        <v>1.00665</v>
      </c>
      <c r="C54" s="2">
        <v>123456789</v>
      </c>
      <c r="D54" s="2">
        <v>123456789</v>
      </c>
    </row>
    <row r="55" spans="1:4" x14ac:dyDescent="0.45">
      <c r="A55" t="s">
        <v>188</v>
      </c>
      <c r="B55">
        <v>0.78932650000000004</v>
      </c>
      <c r="C55" s="2">
        <v>123456789</v>
      </c>
      <c r="D55" s="2">
        <v>123456789</v>
      </c>
    </row>
    <row r="56" spans="1:4" x14ac:dyDescent="0.45">
      <c r="A56" t="s">
        <v>189</v>
      </c>
      <c r="B56">
        <v>0.83316959999999995</v>
      </c>
      <c r="C56" s="2">
        <v>123456789</v>
      </c>
      <c r="D56" s="2">
        <v>123456789</v>
      </c>
    </row>
    <row r="57" spans="1:4" x14ac:dyDescent="0.45">
      <c r="A57" t="s">
        <v>190</v>
      </c>
      <c r="B57">
        <v>0.56862800000000002</v>
      </c>
      <c r="C57" s="2">
        <v>123456789</v>
      </c>
      <c r="D57" s="2">
        <v>123456789</v>
      </c>
    </row>
    <row r="58" spans="1:4" x14ac:dyDescent="0.45">
      <c r="A58" t="s">
        <v>191</v>
      </c>
      <c r="B58">
        <v>0.88396209999999997</v>
      </c>
      <c r="C58" s="2">
        <v>123456789</v>
      </c>
      <c r="D58" s="2">
        <v>123456789</v>
      </c>
    </row>
    <row r="59" spans="1:4" x14ac:dyDescent="0.45">
      <c r="A59" t="s">
        <v>192</v>
      </c>
      <c r="B59">
        <v>1.0813090000000001</v>
      </c>
      <c r="C59" s="2">
        <v>123456789</v>
      </c>
      <c r="D59" s="2">
        <v>123456789</v>
      </c>
    </row>
    <row r="60" spans="1:4" x14ac:dyDescent="0.45">
      <c r="A60" t="s">
        <v>193</v>
      </c>
      <c r="B60">
        <v>0.95457639999999999</v>
      </c>
      <c r="C60" s="2">
        <v>123456789</v>
      </c>
      <c r="D60" s="2">
        <v>123456789</v>
      </c>
    </row>
    <row r="61" spans="1:4" x14ac:dyDescent="0.45">
      <c r="A61" t="s">
        <v>194</v>
      </c>
      <c r="B61">
        <v>0.78380320000000003</v>
      </c>
      <c r="C61" s="2">
        <v>123456789</v>
      </c>
      <c r="D61" s="2">
        <v>123456789</v>
      </c>
    </row>
    <row r="62" spans="1:4" x14ac:dyDescent="0.45">
      <c r="A62" t="s">
        <v>195</v>
      </c>
      <c r="B62">
        <v>0.96757970000000004</v>
      </c>
      <c r="C62" s="2">
        <v>123456789</v>
      </c>
      <c r="D62" s="2">
        <v>123456789</v>
      </c>
    </row>
    <row r="63" spans="1:4" x14ac:dyDescent="0.45">
      <c r="A63" t="s">
        <v>196</v>
      </c>
      <c r="B63">
        <v>0.64938969999999996</v>
      </c>
      <c r="C63" s="2">
        <v>123456789</v>
      </c>
      <c r="D63" s="2">
        <v>123456789</v>
      </c>
    </row>
    <row r="64" spans="1:4" x14ac:dyDescent="0.45">
      <c r="A64" t="s">
        <v>197</v>
      </c>
      <c r="B64">
        <v>0.7576579</v>
      </c>
      <c r="C64" s="2">
        <v>123456789</v>
      </c>
      <c r="D64" s="2">
        <v>123456789</v>
      </c>
    </row>
    <row r="65" spans="1:4" x14ac:dyDescent="0.45">
      <c r="A65" t="s">
        <v>198</v>
      </c>
      <c r="B65">
        <v>0.63494280000000003</v>
      </c>
      <c r="C65" s="2">
        <v>123456789</v>
      </c>
      <c r="D65" s="2">
        <v>123456789</v>
      </c>
    </row>
    <row r="66" spans="1:4" x14ac:dyDescent="0.45">
      <c r="A66" t="s">
        <v>199</v>
      </c>
      <c r="B66">
        <v>0.86751509999999998</v>
      </c>
      <c r="C66" s="2">
        <v>123456789</v>
      </c>
      <c r="D66" s="2">
        <v>123456789</v>
      </c>
    </row>
    <row r="67" spans="1:4" x14ac:dyDescent="0.45">
      <c r="A67" t="s">
        <v>200</v>
      </c>
      <c r="B67">
        <v>0.83234819999999998</v>
      </c>
      <c r="C67" s="2">
        <v>123456789</v>
      </c>
      <c r="D67" s="2">
        <v>123456789</v>
      </c>
    </row>
    <row r="68" spans="1:4" x14ac:dyDescent="0.45">
      <c r="A68" t="s">
        <v>201</v>
      </c>
      <c r="B68">
        <v>0.94173340000000005</v>
      </c>
      <c r="C68" s="2">
        <v>123456789</v>
      </c>
      <c r="D68" s="2">
        <v>123456789</v>
      </c>
    </row>
    <row r="69" spans="1:4" x14ac:dyDescent="0.45">
      <c r="A69" t="s">
        <v>202</v>
      </c>
      <c r="B69">
        <v>0.65705749999999996</v>
      </c>
      <c r="C69" s="2">
        <v>123456789</v>
      </c>
      <c r="D69" s="2">
        <v>123456789</v>
      </c>
    </row>
    <row r="70" spans="1:4" x14ac:dyDescent="0.45">
      <c r="A70" t="s">
        <v>203</v>
      </c>
      <c r="B70">
        <v>0.87293390000000004</v>
      </c>
      <c r="C70" s="2">
        <v>123456789</v>
      </c>
      <c r="D70" s="2">
        <v>123456789</v>
      </c>
    </row>
    <row r="71" spans="1:4" x14ac:dyDescent="0.45">
      <c r="A71" t="s">
        <v>204</v>
      </c>
      <c r="B71">
        <v>0.94074610000000003</v>
      </c>
      <c r="C71" s="2">
        <v>123456789</v>
      </c>
      <c r="D71" s="2">
        <v>123456789</v>
      </c>
    </row>
    <row r="72" spans="1:4" x14ac:dyDescent="0.45">
      <c r="A72" t="s">
        <v>205</v>
      </c>
      <c r="B72">
        <v>0.9527871</v>
      </c>
      <c r="C72" s="2">
        <v>123456789</v>
      </c>
      <c r="D72" s="2">
        <v>123456789</v>
      </c>
    </row>
    <row r="73" spans="1:4" x14ac:dyDescent="0.45">
      <c r="A73" t="s">
        <v>206</v>
      </c>
      <c r="B73">
        <v>2.8980039999999998</v>
      </c>
      <c r="C73" s="2">
        <v>123456789</v>
      </c>
      <c r="D73" s="2">
        <v>123456789</v>
      </c>
    </row>
    <row r="74" spans="1:4" x14ac:dyDescent="0.45">
      <c r="A74" t="s">
        <v>207</v>
      </c>
      <c r="B74">
        <v>1.009614</v>
      </c>
      <c r="C74" s="2">
        <v>123456789</v>
      </c>
      <c r="D74" s="2">
        <v>123456789</v>
      </c>
    </row>
    <row r="75" spans="1:4" x14ac:dyDescent="0.45">
      <c r="A75" t="s">
        <v>208</v>
      </c>
      <c r="B75">
        <v>0.68814529999999996</v>
      </c>
      <c r="C75" s="2">
        <v>123456789</v>
      </c>
      <c r="D75" s="2">
        <v>123456789</v>
      </c>
    </row>
    <row r="76" spans="1:4" x14ac:dyDescent="0.45">
      <c r="A76" t="s">
        <v>209</v>
      </c>
      <c r="B76">
        <v>0.70165869999999997</v>
      </c>
      <c r="C76" s="2">
        <v>123456789</v>
      </c>
      <c r="D76" s="2">
        <v>123456789</v>
      </c>
    </row>
    <row r="77" spans="1:4" x14ac:dyDescent="0.45">
      <c r="A77" t="s">
        <v>210</v>
      </c>
      <c r="B77">
        <v>0.6643519</v>
      </c>
      <c r="C77" s="2">
        <v>123456789</v>
      </c>
      <c r="D77" s="2">
        <v>123456789</v>
      </c>
    </row>
    <row r="78" spans="1:4" x14ac:dyDescent="0.45">
      <c r="A78" t="s">
        <v>211</v>
      </c>
      <c r="B78">
        <v>0.84817019999999999</v>
      </c>
      <c r="C78" s="2">
        <v>123456789</v>
      </c>
      <c r="D78" s="2">
        <v>123456789</v>
      </c>
    </row>
    <row r="79" spans="1:4" x14ac:dyDescent="0.45">
      <c r="A79" t="s">
        <v>212</v>
      </c>
      <c r="B79">
        <v>0.71166649999999998</v>
      </c>
      <c r="C79" s="2">
        <v>123456789</v>
      </c>
      <c r="D79" s="2">
        <v>123456789</v>
      </c>
    </row>
    <row r="80" spans="1:4" x14ac:dyDescent="0.45">
      <c r="A80" t="s">
        <v>213</v>
      </c>
      <c r="B80">
        <v>0.66429559999999999</v>
      </c>
      <c r="C80" s="2">
        <v>123456789</v>
      </c>
      <c r="D80" s="2">
        <v>123456789</v>
      </c>
    </row>
    <row r="81" spans="1:4" x14ac:dyDescent="0.45">
      <c r="A81" t="s">
        <v>214</v>
      </c>
      <c r="B81">
        <v>1.001641</v>
      </c>
      <c r="C81" s="2">
        <v>123456789</v>
      </c>
      <c r="D81" s="2">
        <v>123456789</v>
      </c>
    </row>
    <row r="82" spans="1:4" x14ac:dyDescent="0.45">
      <c r="A82" t="s">
        <v>215</v>
      </c>
      <c r="B82">
        <v>0.77011019999999997</v>
      </c>
      <c r="C82" s="2">
        <v>123456789</v>
      </c>
      <c r="D82" s="2">
        <v>123456789</v>
      </c>
    </row>
    <row r="83" spans="1:4" x14ac:dyDescent="0.45">
      <c r="A83" t="s">
        <v>216</v>
      </c>
      <c r="B83">
        <v>0.84615180000000001</v>
      </c>
      <c r="C83" s="2">
        <v>123456789</v>
      </c>
      <c r="D83" s="2">
        <v>123456789</v>
      </c>
    </row>
    <row r="84" spans="1:4" x14ac:dyDescent="0.45">
      <c r="A84" t="s">
        <v>217</v>
      </c>
      <c r="B84">
        <v>0.95063969999999998</v>
      </c>
      <c r="C84" s="2">
        <v>123456789</v>
      </c>
      <c r="D84" s="2">
        <v>123456789</v>
      </c>
    </row>
    <row r="85" spans="1:4" x14ac:dyDescent="0.45">
      <c r="A85" t="s">
        <v>218</v>
      </c>
      <c r="B85">
        <v>1.0817779999999999</v>
      </c>
      <c r="C85" s="2">
        <v>123456789</v>
      </c>
      <c r="D85" s="2">
        <v>123456789</v>
      </c>
    </row>
    <row r="86" spans="1:4" x14ac:dyDescent="0.45">
      <c r="A86" t="s">
        <v>219</v>
      </c>
      <c r="B86">
        <v>0.91903639999999998</v>
      </c>
      <c r="C86" s="2">
        <v>123456789</v>
      </c>
      <c r="D86" s="2">
        <v>123456789</v>
      </c>
    </row>
    <row r="87" spans="1:4" x14ac:dyDescent="0.45">
      <c r="A87" t="s">
        <v>220</v>
      </c>
      <c r="B87">
        <v>0.69815890000000003</v>
      </c>
      <c r="C87" s="2">
        <v>123456789</v>
      </c>
      <c r="D87" s="2">
        <v>123456789</v>
      </c>
    </row>
    <row r="88" spans="1:4" x14ac:dyDescent="0.45">
      <c r="A88" t="s">
        <v>221</v>
      </c>
      <c r="B88">
        <v>0.74168780000000001</v>
      </c>
      <c r="C88" s="2">
        <v>123456789</v>
      </c>
      <c r="D88" s="2">
        <v>123456789</v>
      </c>
    </row>
    <row r="89" spans="1:4" x14ac:dyDescent="0.45">
      <c r="A89" t="s">
        <v>222</v>
      </c>
      <c r="B89">
        <v>0.87472150000000004</v>
      </c>
      <c r="C89" s="2">
        <v>123456789</v>
      </c>
      <c r="D89" s="2">
        <v>123456789</v>
      </c>
    </row>
    <row r="90" spans="1:4" x14ac:dyDescent="0.45">
      <c r="A90" t="s">
        <v>223</v>
      </c>
      <c r="B90">
        <v>0.66210170000000002</v>
      </c>
      <c r="C90" s="2">
        <v>123456789</v>
      </c>
      <c r="D90" s="2">
        <v>123456789</v>
      </c>
    </row>
    <row r="91" spans="1:4" x14ac:dyDescent="0.45">
      <c r="A91" t="s">
        <v>224</v>
      </c>
      <c r="B91">
        <v>1.0447139999999999</v>
      </c>
      <c r="C91" s="2">
        <v>123456789</v>
      </c>
      <c r="D91" s="2">
        <v>123456789</v>
      </c>
    </row>
    <row r="92" spans="1:4" x14ac:dyDescent="0.45">
      <c r="A92" t="s">
        <v>225</v>
      </c>
      <c r="B92">
        <v>1.2534289999999999</v>
      </c>
      <c r="C92" s="2">
        <v>123456789</v>
      </c>
      <c r="D92" s="2">
        <v>123456789</v>
      </c>
    </row>
    <row r="93" spans="1:4" x14ac:dyDescent="0.45">
      <c r="A93" t="s">
        <v>226</v>
      </c>
      <c r="B93">
        <v>0.91381880000000004</v>
      </c>
      <c r="C93" s="2">
        <v>123456789</v>
      </c>
      <c r="D93" s="2">
        <v>123456789</v>
      </c>
    </row>
    <row r="94" spans="1:4" x14ac:dyDescent="0.45">
      <c r="A94" t="s">
        <v>227</v>
      </c>
      <c r="B94">
        <v>0.71362099999999995</v>
      </c>
      <c r="C94" s="2">
        <v>123456789</v>
      </c>
      <c r="D94" s="2">
        <v>123456789</v>
      </c>
    </row>
    <row r="95" spans="1:4" x14ac:dyDescent="0.45">
      <c r="A95" t="s">
        <v>228</v>
      </c>
      <c r="B95">
        <v>0.52060189999999995</v>
      </c>
      <c r="C95" s="2">
        <v>123456789</v>
      </c>
      <c r="D95" s="2">
        <v>123456789</v>
      </c>
    </row>
    <row r="96" spans="1:4" x14ac:dyDescent="0.45">
      <c r="A96" t="s">
        <v>229</v>
      </c>
      <c r="B96">
        <v>0.50400299999999998</v>
      </c>
      <c r="C96" s="2">
        <v>123456789</v>
      </c>
      <c r="D96" s="2">
        <v>123456789</v>
      </c>
    </row>
    <row r="97" spans="1:4" x14ac:dyDescent="0.45">
      <c r="A97" t="s">
        <v>230</v>
      </c>
      <c r="B97">
        <v>0.65033269999999999</v>
      </c>
      <c r="C97" s="2">
        <v>123456789</v>
      </c>
      <c r="D97" s="2">
        <v>123456789</v>
      </c>
    </row>
    <row r="98" spans="1:4" x14ac:dyDescent="0.45">
      <c r="A98" t="s">
        <v>231</v>
      </c>
      <c r="B98">
        <v>0.85869039999999996</v>
      </c>
      <c r="C98" s="2">
        <v>123456789</v>
      </c>
      <c r="D98" s="2">
        <v>123456789</v>
      </c>
    </row>
    <row r="99" spans="1:4" x14ac:dyDescent="0.45">
      <c r="A99" t="s">
        <v>232</v>
      </c>
      <c r="B99">
        <v>0.80870390000000003</v>
      </c>
      <c r="C99" s="2">
        <v>123456789</v>
      </c>
      <c r="D99" s="2">
        <v>123456789</v>
      </c>
    </row>
    <row r="100" spans="1:4" x14ac:dyDescent="0.45">
      <c r="A100" t="s">
        <v>233</v>
      </c>
      <c r="B100">
        <v>0.75901479999999999</v>
      </c>
      <c r="C100" s="2">
        <v>123456789</v>
      </c>
      <c r="D100" s="2">
        <v>123456789</v>
      </c>
    </row>
    <row r="101" spans="1:4" x14ac:dyDescent="0.45">
      <c r="A101" t="s">
        <v>234</v>
      </c>
      <c r="B101">
        <v>0.80613170000000001</v>
      </c>
      <c r="C101" s="2">
        <v>123456789</v>
      </c>
      <c r="D101" s="2">
        <v>123456789</v>
      </c>
    </row>
    <row r="102" spans="1:4" x14ac:dyDescent="0.45">
      <c r="A102" t="s">
        <v>235</v>
      </c>
      <c r="B102">
        <v>0.68440690000000004</v>
      </c>
      <c r="C102" s="2">
        <v>123456789</v>
      </c>
      <c r="D102" s="2">
        <v>123456789</v>
      </c>
    </row>
    <row r="103" spans="1:4" x14ac:dyDescent="0.45">
      <c r="A103" t="s">
        <v>236</v>
      </c>
      <c r="B103">
        <v>0.56208930000000001</v>
      </c>
      <c r="C103" s="2">
        <v>123456789</v>
      </c>
      <c r="D103" s="2">
        <v>123456789</v>
      </c>
    </row>
    <row r="104" spans="1:4" x14ac:dyDescent="0.45">
      <c r="A104" t="s">
        <v>237</v>
      </c>
      <c r="B104">
        <v>0.58989389999999997</v>
      </c>
      <c r="C104" s="2">
        <v>123456789</v>
      </c>
      <c r="D104" s="2">
        <v>123456789</v>
      </c>
    </row>
    <row r="105" spans="1:4" x14ac:dyDescent="0.45">
      <c r="A105" t="s">
        <v>238</v>
      </c>
      <c r="B105">
        <v>0.56388590000000005</v>
      </c>
      <c r="C105" s="2">
        <v>123456789</v>
      </c>
      <c r="D105" s="2">
        <v>123456789</v>
      </c>
    </row>
    <row r="106" spans="1:4" x14ac:dyDescent="0.45">
      <c r="A106" t="s">
        <v>239</v>
      </c>
      <c r="B106">
        <v>0.57045920000000006</v>
      </c>
      <c r="C106" s="2">
        <v>123456789</v>
      </c>
      <c r="D106" s="2">
        <v>123456789</v>
      </c>
    </row>
    <row r="107" spans="1:4" x14ac:dyDescent="0.45">
      <c r="A107" t="s">
        <v>240</v>
      </c>
      <c r="B107">
        <v>0.51595709999999995</v>
      </c>
      <c r="C107" s="2">
        <v>123456789</v>
      </c>
      <c r="D107" s="2">
        <v>123456789</v>
      </c>
    </row>
    <row r="108" spans="1:4" x14ac:dyDescent="0.45">
      <c r="A108" t="s">
        <v>241</v>
      </c>
      <c r="B108">
        <v>0.56029019999999996</v>
      </c>
      <c r="C108" s="2">
        <v>123456789</v>
      </c>
      <c r="D108" s="2">
        <v>123456789</v>
      </c>
    </row>
    <row r="109" spans="1:4" x14ac:dyDescent="0.45">
      <c r="A109" t="s">
        <v>242</v>
      </c>
      <c r="B109">
        <v>0.62485610000000003</v>
      </c>
      <c r="C109" s="2">
        <v>123456789</v>
      </c>
      <c r="D109" s="2">
        <v>123456789</v>
      </c>
    </row>
    <row r="110" spans="1:4" x14ac:dyDescent="0.45">
      <c r="A110" t="s">
        <v>243</v>
      </c>
      <c r="B110">
        <v>0.66821260000000005</v>
      </c>
      <c r="C110" s="2">
        <v>123456789</v>
      </c>
      <c r="D110" s="2">
        <v>123456789</v>
      </c>
    </row>
    <row r="111" spans="1:4" x14ac:dyDescent="0.45">
      <c r="A111" t="s">
        <v>244</v>
      </c>
      <c r="B111">
        <v>0.66462310000000002</v>
      </c>
      <c r="C111" s="2">
        <v>123456789</v>
      </c>
      <c r="D111" s="2">
        <v>123456789</v>
      </c>
    </row>
    <row r="112" spans="1:4" x14ac:dyDescent="0.45">
      <c r="A112" t="s">
        <v>245</v>
      </c>
      <c r="B112">
        <v>0.99411579999999999</v>
      </c>
      <c r="C112" s="2">
        <v>123456789</v>
      </c>
      <c r="D112" s="2">
        <v>123456789</v>
      </c>
    </row>
    <row r="113" spans="1:4" x14ac:dyDescent="0.45">
      <c r="A113" t="s">
        <v>246</v>
      </c>
      <c r="B113">
        <v>1.1578809999999999</v>
      </c>
      <c r="C113" s="2">
        <v>123456789</v>
      </c>
      <c r="D113" s="2">
        <v>123456789</v>
      </c>
    </row>
    <row r="114" spans="1:4" x14ac:dyDescent="0.45">
      <c r="A114" t="s">
        <v>247</v>
      </c>
      <c r="B114">
        <v>0.8657357</v>
      </c>
      <c r="C114" s="2">
        <v>123456789</v>
      </c>
      <c r="D114" s="2">
        <v>123456789</v>
      </c>
    </row>
    <row r="115" spans="1:4" x14ac:dyDescent="0.45">
      <c r="A115" t="s">
        <v>248</v>
      </c>
      <c r="B115">
        <v>0.87474010000000002</v>
      </c>
      <c r="C115" s="2">
        <v>123456789</v>
      </c>
      <c r="D115" s="2">
        <v>123456789</v>
      </c>
    </row>
    <row r="116" spans="1:4" x14ac:dyDescent="0.45">
      <c r="A116" t="s">
        <v>249</v>
      </c>
      <c r="B116">
        <v>1.5178179999999999</v>
      </c>
      <c r="C116" s="2">
        <v>123456789</v>
      </c>
      <c r="D116" s="2">
        <v>123456789</v>
      </c>
    </row>
    <row r="117" spans="1:4" x14ac:dyDescent="0.45">
      <c r="A117" t="s">
        <v>250</v>
      </c>
      <c r="B117">
        <v>1.5509949999999999</v>
      </c>
      <c r="C117" s="2">
        <v>123456789</v>
      </c>
      <c r="D117" s="2">
        <v>123456789</v>
      </c>
    </row>
    <row r="118" spans="1:4" x14ac:dyDescent="0.45">
      <c r="A118" t="s">
        <v>251</v>
      </c>
      <c r="B118">
        <v>1.2265550000000001</v>
      </c>
      <c r="C118" s="2">
        <v>123456789</v>
      </c>
      <c r="D118" s="2">
        <v>123456789</v>
      </c>
    </row>
    <row r="119" spans="1:4" x14ac:dyDescent="0.45">
      <c r="A119" t="s">
        <v>252</v>
      </c>
      <c r="B119">
        <v>0.97258449999999996</v>
      </c>
      <c r="C119" s="2">
        <v>123456789</v>
      </c>
      <c r="D119" s="2">
        <v>123456789</v>
      </c>
    </row>
    <row r="120" spans="1:4" x14ac:dyDescent="0.45">
      <c r="A120" t="s">
        <v>253</v>
      </c>
      <c r="B120">
        <v>1.1430229999999999</v>
      </c>
      <c r="C120" s="2">
        <v>123456789</v>
      </c>
      <c r="D120" s="2">
        <v>123456789</v>
      </c>
    </row>
    <row r="121" spans="1:4" x14ac:dyDescent="0.45">
      <c r="A121" t="s">
        <v>254</v>
      </c>
      <c r="B121">
        <v>0.9284462</v>
      </c>
      <c r="C121" s="2">
        <v>123456789</v>
      </c>
      <c r="D121" s="2">
        <v>123456789</v>
      </c>
    </row>
    <row r="122" spans="1:4" x14ac:dyDescent="0.45">
      <c r="A122" t="s">
        <v>255</v>
      </c>
      <c r="B122">
        <v>1.381421</v>
      </c>
      <c r="C122" s="2">
        <v>123456789</v>
      </c>
      <c r="D122" s="2">
        <v>123456789</v>
      </c>
    </row>
    <row r="123" spans="1:4" x14ac:dyDescent="0.45">
      <c r="A123" t="s">
        <v>256</v>
      </c>
      <c r="B123">
        <v>1.228739</v>
      </c>
      <c r="C123" s="2">
        <v>123456789</v>
      </c>
      <c r="D123" s="2">
        <v>123456789</v>
      </c>
    </row>
    <row r="124" spans="1:4" x14ac:dyDescent="0.45">
      <c r="A124" t="s">
        <v>257</v>
      </c>
      <c r="B124">
        <v>0.78740589999999999</v>
      </c>
      <c r="C124" s="2">
        <v>123456789</v>
      </c>
      <c r="D124" s="2">
        <v>123456789</v>
      </c>
    </row>
    <row r="125" spans="1:4" x14ac:dyDescent="0.45">
      <c r="A125" t="s">
        <v>258</v>
      </c>
      <c r="B125">
        <v>1.0607329999999999</v>
      </c>
      <c r="C125" s="2">
        <v>123456789</v>
      </c>
      <c r="D125" s="2">
        <v>123456789</v>
      </c>
    </row>
    <row r="126" spans="1:4" x14ac:dyDescent="0.45">
      <c r="A126" t="s">
        <v>259</v>
      </c>
      <c r="B126">
        <v>1.288046</v>
      </c>
      <c r="C126" s="2">
        <v>123456789</v>
      </c>
      <c r="D126" s="2">
        <v>123456789</v>
      </c>
    </row>
    <row r="127" spans="1:4" x14ac:dyDescent="0.45">
      <c r="A127" t="s">
        <v>260</v>
      </c>
      <c r="B127">
        <v>1.089736</v>
      </c>
      <c r="C127" s="2">
        <v>123456789</v>
      </c>
      <c r="D127" s="2">
        <v>123456789</v>
      </c>
    </row>
    <row r="128" spans="1:4" x14ac:dyDescent="0.45">
      <c r="A128" t="s">
        <v>261</v>
      </c>
      <c r="B128">
        <v>1.663727</v>
      </c>
      <c r="C128" s="2">
        <v>123456789</v>
      </c>
      <c r="D128" s="2">
        <v>123456789</v>
      </c>
    </row>
    <row r="129" spans="1:4" x14ac:dyDescent="0.45">
      <c r="A129" t="s">
        <v>262</v>
      </c>
      <c r="B129">
        <v>1.2539169999999999</v>
      </c>
      <c r="C129" s="2">
        <v>123456789</v>
      </c>
      <c r="D129" s="2">
        <v>123456789</v>
      </c>
    </row>
    <row r="130" spans="1:4" x14ac:dyDescent="0.45">
      <c r="A130" t="s">
        <v>263</v>
      </c>
      <c r="B130">
        <v>0.8221195</v>
      </c>
      <c r="C130" s="2">
        <v>123456789</v>
      </c>
      <c r="D130" s="2">
        <v>123456789</v>
      </c>
    </row>
    <row r="131" spans="1:4" x14ac:dyDescent="0.45">
      <c r="A131" t="s">
        <v>264</v>
      </c>
      <c r="B131">
        <v>1.0402480000000001</v>
      </c>
      <c r="C131" s="2">
        <v>123456789</v>
      </c>
      <c r="D131" s="2">
        <v>123456789</v>
      </c>
    </row>
    <row r="132" spans="1:4" x14ac:dyDescent="0.45">
      <c r="A132" t="s">
        <v>265</v>
      </c>
      <c r="B132">
        <v>2.5729600000000001</v>
      </c>
      <c r="C132" s="2">
        <v>123456789</v>
      </c>
      <c r="D132" s="2">
        <v>123456789</v>
      </c>
    </row>
    <row r="133" spans="1:4" x14ac:dyDescent="0.45">
      <c r="A133" t="s">
        <v>266</v>
      </c>
      <c r="B133">
        <v>1.6894070000000001</v>
      </c>
      <c r="C133" s="2">
        <v>123456789</v>
      </c>
      <c r="D133" s="2">
        <v>123456789</v>
      </c>
    </row>
    <row r="134" spans="1:4" x14ac:dyDescent="0.45">
      <c r="A134" t="s">
        <v>267</v>
      </c>
      <c r="B134">
        <v>1.8169470000000001</v>
      </c>
      <c r="C134" s="2">
        <v>123456789</v>
      </c>
      <c r="D134" s="2">
        <v>123456789</v>
      </c>
    </row>
    <row r="135" spans="1:4" x14ac:dyDescent="0.45">
      <c r="A135" t="s">
        <v>268</v>
      </c>
      <c r="B135">
        <v>1.141575</v>
      </c>
      <c r="C135" s="2">
        <v>123456789</v>
      </c>
      <c r="D135" s="2">
        <v>123456789</v>
      </c>
    </row>
    <row r="136" spans="1:4" x14ac:dyDescent="0.45">
      <c r="A136" t="s">
        <v>269</v>
      </c>
      <c r="B136">
        <v>0.76231470000000001</v>
      </c>
      <c r="C136" s="2">
        <v>123456789</v>
      </c>
      <c r="D136" s="2">
        <v>123456789</v>
      </c>
    </row>
    <row r="137" spans="1:4" x14ac:dyDescent="0.45">
      <c r="A137" t="s">
        <v>270</v>
      </c>
      <c r="B137">
        <v>0.67127820000000005</v>
      </c>
      <c r="C137" s="2">
        <v>123456789</v>
      </c>
      <c r="D137" s="2">
        <v>123456789</v>
      </c>
    </row>
    <row r="138" spans="1:4" x14ac:dyDescent="0.45">
      <c r="A138" t="s">
        <v>271</v>
      </c>
      <c r="B138">
        <v>0.70098680000000002</v>
      </c>
      <c r="C138" s="2">
        <v>123456789</v>
      </c>
      <c r="D138" s="2">
        <v>123456789</v>
      </c>
    </row>
    <row r="139" spans="1:4" x14ac:dyDescent="0.45">
      <c r="A139" t="s">
        <v>272</v>
      </c>
      <c r="B139">
        <v>0.65634380000000003</v>
      </c>
      <c r="C139" s="2">
        <v>123456789</v>
      </c>
      <c r="D139" s="2">
        <v>123456789</v>
      </c>
    </row>
    <row r="140" spans="1:4" x14ac:dyDescent="0.45">
      <c r="A140" t="s">
        <v>273</v>
      </c>
      <c r="B140">
        <v>0.61660720000000002</v>
      </c>
      <c r="C140" s="2">
        <v>123456789</v>
      </c>
      <c r="D140" s="2">
        <v>123456789</v>
      </c>
    </row>
    <row r="141" spans="1:4" x14ac:dyDescent="0.45">
      <c r="A141" t="s">
        <v>274</v>
      </c>
      <c r="B141">
        <v>0.54578950000000004</v>
      </c>
      <c r="C141" s="2">
        <v>123456789</v>
      </c>
      <c r="D141" s="2">
        <v>123456789</v>
      </c>
    </row>
    <row r="142" spans="1:4" x14ac:dyDescent="0.45">
      <c r="A142" t="s">
        <v>275</v>
      </c>
      <c r="B142">
        <v>0.46524520000000003</v>
      </c>
      <c r="C142" s="2">
        <v>123456789</v>
      </c>
      <c r="D142" s="2">
        <v>123456789</v>
      </c>
    </row>
    <row r="143" spans="1:4" x14ac:dyDescent="0.45">
      <c r="A143" t="s">
        <v>276</v>
      </c>
      <c r="B143">
        <v>0.52187779999999995</v>
      </c>
      <c r="C143" s="2">
        <v>123456789</v>
      </c>
      <c r="D143" s="2">
        <v>123456789</v>
      </c>
    </row>
    <row r="144" spans="1:4" x14ac:dyDescent="0.45">
      <c r="A144" t="s">
        <v>277</v>
      </c>
      <c r="B144">
        <v>0.49074669999999998</v>
      </c>
      <c r="C144" s="2">
        <v>123456789</v>
      </c>
      <c r="D144" s="2">
        <v>123456789</v>
      </c>
    </row>
    <row r="145" spans="1:4" x14ac:dyDescent="0.45">
      <c r="A145" t="s">
        <v>278</v>
      </c>
      <c r="B145">
        <v>0.65312199999999998</v>
      </c>
      <c r="C145" s="2">
        <v>123456789</v>
      </c>
      <c r="D145" s="2">
        <v>123456789</v>
      </c>
    </row>
    <row r="146" spans="1:4" x14ac:dyDescent="0.45">
      <c r="A146" t="s">
        <v>279</v>
      </c>
      <c r="B146">
        <v>0.61357740000000005</v>
      </c>
      <c r="C146" s="2">
        <v>123456789</v>
      </c>
      <c r="D146" s="2">
        <v>123456789</v>
      </c>
    </row>
    <row r="147" spans="1:4" x14ac:dyDescent="0.45">
      <c r="A147" t="s">
        <v>280</v>
      </c>
      <c r="B147">
        <v>1.109553</v>
      </c>
      <c r="C147" s="2">
        <v>123456789</v>
      </c>
      <c r="D147" s="2">
        <v>123456789</v>
      </c>
    </row>
    <row r="148" spans="1:4" x14ac:dyDescent="0.45">
      <c r="A148" t="s">
        <v>281</v>
      </c>
      <c r="B148">
        <v>0.73920070000000004</v>
      </c>
      <c r="C148" s="2">
        <v>123456789</v>
      </c>
      <c r="D148" s="2">
        <v>123456789</v>
      </c>
    </row>
    <row r="149" spans="1:4" x14ac:dyDescent="0.45">
      <c r="A149" t="s">
        <v>282</v>
      </c>
      <c r="B149">
        <v>0.49267369999999999</v>
      </c>
      <c r="C149" s="2">
        <v>123456789</v>
      </c>
      <c r="D149" s="2">
        <v>123456789</v>
      </c>
    </row>
    <row r="150" spans="1:4" x14ac:dyDescent="0.45">
      <c r="A150" t="s">
        <v>283</v>
      </c>
      <c r="B150">
        <v>0.8387192</v>
      </c>
      <c r="C150" s="2">
        <v>123456789</v>
      </c>
      <c r="D150" s="2">
        <v>123456789</v>
      </c>
    </row>
    <row r="151" spans="1:4" x14ac:dyDescent="0.45">
      <c r="A151" t="s">
        <v>284</v>
      </c>
      <c r="B151">
        <v>0.596136</v>
      </c>
      <c r="C151" s="2">
        <v>123456789</v>
      </c>
      <c r="D151" s="2">
        <v>123456789</v>
      </c>
    </row>
    <row r="152" spans="1:4" x14ac:dyDescent="0.45">
      <c r="A152" t="s">
        <v>285</v>
      </c>
      <c r="B152">
        <v>1.4679949999999999</v>
      </c>
      <c r="C152" s="2">
        <v>123456789</v>
      </c>
      <c r="D152" s="2">
        <v>123456789</v>
      </c>
    </row>
    <row r="153" spans="1:4" x14ac:dyDescent="0.45">
      <c r="A153" t="s">
        <v>286</v>
      </c>
      <c r="B153">
        <v>1.1824779999999999</v>
      </c>
      <c r="C153" s="2">
        <v>123456789</v>
      </c>
      <c r="D153" s="2">
        <v>123456789</v>
      </c>
    </row>
    <row r="154" spans="1:4" x14ac:dyDescent="0.45">
      <c r="A154" t="s">
        <v>287</v>
      </c>
      <c r="B154">
        <v>1.8028740000000001</v>
      </c>
      <c r="C154" s="2">
        <v>123456789</v>
      </c>
      <c r="D154" s="2">
        <v>123456789</v>
      </c>
    </row>
    <row r="155" spans="1:4" x14ac:dyDescent="0.45">
      <c r="A155" t="s">
        <v>288</v>
      </c>
      <c r="B155">
        <v>1.0835630000000001</v>
      </c>
      <c r="C155" s="2">
        <v>123456789</v>
      </c>
      <c r="D155" s="2">
        <v>123456789</v>
      </c>
    </row>
    <row r="156" spans="1:4" x14ac:dyDescent="0.45">
      <c r="A156" t="s">
        <v>289</v>
      </c>
      <c r="B156">
        <v>2.0805150000000001</v>
      </c>
      <c r="C156" s="2">
        <v>123456789</v>
      </c>
      <c r="D156" s="2">
        <v>123456789</v>
      </c>
    </row>
    <row r="157" spans="1:4" x14ac:dyDescent="0.45">
      <c r="A157" t="s">
        <v>290</v>
      </c>
      <c r="B157">
        <v>3.5814020000000002</v>
      </c>
      <c r="C157" s="2">
        <v>123456789</v>
      </c>
      <c r="D157" s="2">
        <v>123456789</v>
      </c>
    </row>
    <row r="158" spans="1:4" x14ac:dyDescent="0.45">
      <c r="A158" t="s">
        <v>291</v>
      </c>
      <c r="B158">
        <v>2.0648749999999998</v>
      </c>
      <c r="C158" s="2">
        <v>123456789</v>
      </c>
      <c r="D158" s="2">
        <v>123456789</v>
      </c>
    </row>
    <row r="159" spans="1:4" x14ac:dyDescent="0.45">
      <c r="A159" t="s">
        <v>292</v>
      </c>
      <c r="B159">
        <v>1.4242950000000001</v>
      </c>
      <c r="C159" s="2">
        <v>123456789</v>
      </c>
      <c r="D159" s="2">
        <v>123456789</v>
      </c>
    </row>
    <row r="160" spans="1:4" x14ac:dyDescent="0.45">
      <c r="A160" t="s">
        <v>293</v>
      </c>
      <c r="B160">
        <v>1.0075719999999999</v>
      </c>
      <c r="C160" s="2">
        <v>123456789</v>
      </c>
      <c r="D160" s="2">
        <v>123456789</v>
      </c>
    </row>
    <row r="161" spans="1:4" x14ac:dyDescent="0.45">
      <c r="A161" t="s">
        <v>294</v>
      </c>
      <c r="B161">
        <v>1.1421190000000001</v>
      </c>
      <c r="C161" s="2">
        <v>123456789</v>
      </c>
      <c r="D161" s="2">
        <v>123456789</v>
      </c>
    </row>
    <row r="162" spans="1:4" x14ac:dyDescent="0.45">
      <c r="A162" t="s">
        <v>295</v>
      </c>
      <c r="B162">
        <v>0.81434609999999996</v>
      </c>
      <c r="C162" s="2">
        <v>123456789</v>
      </c>
      <c r="D162" s="2">
        <v>123456789</v>
      </c>
    </row>
    <row r="163" spans="1:4" x14ac:dyDescent="0.45">
      <c r="A163" t="s">
        <v>296</v>
      </c>
      <c r="B163">
        <v>1.418266</v>
      </c>
      <c r="C163" s="2">
        <v>123456789</v>
      </c>
      <c r="D163" s="2">
        <v>123456789</v>
      </c>
    </row>
    <row r="164" spans="1:4" x14ac:dyDescent="0.45">
      <c r="A164" t="s">
        <v>297</v>
      </c>
      <c r="B164">
        <v>1.071976</v>
      </c>
      <c r="C164" s="2">
        <v>123456789</v>
      </c>
      <c r="D164" s="2">
        <v>123456789</v>
      </c>
    </row>
    <row r="165" spans="1:4" x14ac:dyDescent="0.45">
      <c r="A165" t="s">
        <v>298</v>
      </c>
      <c r="B165">
        <v>0.8691681</v>
      </c>
      <c r="C165" s="2">
        <v>123456789</v>
      </c>
      <c r="D165" s="2">
        <v>123456789</v>
      </c>
    </row>
    <row r="166" spans="1:4" x14ac:dyDescent="0.45">
      <c r="A166" t="s">
        <v>299</v>
      </c>
      <c r="B166">
        <v>0.87195420000000001</v>
      </c>
      <c r="C166" s="2">
        <v>123456789</v>
      </c>
      <c r="D166" s="2">
        <v>123456789</v>
      </c>
    </row>
    <row r="167" spans="1:4" x14ac:dyDescent="0.45">
      <c r="A167" t="s">
        <v>300</v>
      </c>
      <c r="B167">
        <v>0.90708750000000005</v>
      </c>
      <c r="C167" s="2">
        <v>123456789</v>
      </c>
      <c r="D167" s="2">
        <v>123456789</v>
      </c>
    </row>
    <row r="168" spans="1:4" x14ac:dyDescent="0.45">
      <c r="A168" t="s">
        <v>301</v>
      </c>
      <c r="B168">
        <v>1.8257350000000001</v>
      </c>
      <c r="C168" s="2">
        <v>123456789</v>
      </c>
      <c r="D168" s="2">
        <v>123456789</v>
      </c>
    </row>
    <row r="169" spans="1:4" x14ac:dyDescent="0.45">
      <c r="A169" t="s">
        <v>302</v>
      </c>
      <c r="B169">
        <v>1.4001110000000001</v>
      </c>
      <c r="C169" s="2">
        <v>123456789</v>
      </c>
      <c r="D169" s="2">
        <v>123456789</v>
      </c>
    </row>
    <row r="170" spans="1:4" x14ac:dyDescent="0.45">
      <c r="A170" t="s">
        <v>303</v>
      </c>
      <c r="B170">
        <v>0.78556130000000002</v>
      </c>
      <c r="C170" s="2">
        <v>123456789</v>
      </c>
      <c r="D170" s="2">
        <v>123456789</v>
      </c>
    </row>
    <row r="171" spans="1:4" x14ac:dyDescent="0.45">
      <c r="A171" t="s">
        <v>304</v>
      </c>
      <c r="B171">
        <v>1.115675</v>
      </c>
      <c r="C171" s="2">
        <v>123456789</v>
      </c>
      <c r="D171" s="2">
        <v>123456789</v>
      </c>
    </row>
    <row r="172" spans="1:4" x14ac:dyDescent="0.45">
      <c r="A172" t="s">
        <v>305</v>
      </c>
      <c r="B172">
        <v>0.83690770000000003</v>
      </c>
      <c r="C172" s="2">
        <v>123456789</v>
      </c>
      <c r="D172" s="2">
        <v>123456789</v>
      </c>
    </row>
    <row r="173" spans="1:4" x14ac:dyDescent="0.45">
      <c r="A173" t="s">
        <v>306</v>
      </c>
      <c r="B173">
        <v>0.66901149999999998</v>
      </c>
      <c r="C173" s="2">
        <v>123456789</v>
      </c>
      <c r="D173" s="2">
        <v>123456789</v>
      </c>
    </row>
    <row r="174" spans="1:4" x14ac:dyDescent="0.45">
      <c r="A174" t="s">
        <v>307</v>
      </c>
      <c r="B174">
        <v>0.65880910000000004</v>
      </c>
      <c r="C174" s="2">
        <v>123456789</v>
      </c>
      <c r="D174" s="2">
        <v>123456789</v>
      </c>
    </row>
    <row r="175" spans="1:4" x14ac:dyDescent="0.45">
      <c r="A175" t="s">
        <v>308</v>
      </c>
      <c r="B175">
        <v>0.95014460000000001</v>
      </c>
      <c r="C175" s="2">
        <v>123456789</v>
      </c>
      <c r="D175" s="2">
        <v>123456789</v>
      </c>
    </row>
    <row r="176" spans="1:4" x14ac:dyDescent="0.45">
      <c r="A176" t="s">
        <v>309</v>
      </c>
      <c r="B176">
        <v>0.77485289999999996</v>
      </c>
      <c r="C176" s="2">
        <v>123456789</v>
      </c>
      <c r="D176" s="2">
        <v>123456789</v>
      </c>
    </row>
    <row r="177" spans="1:4" x14ac:dyDescent="0.45">
      <c r="A177" t="s">
        <v>310</v>
      </c>
      <c r="B177">
        <v>0.57853509999999997</v>
      </c>
      <c r="C177" s="2">
        <v>123456789</v>
      </c>
      <c r="D177" s="2">
        <v>123456789</v>
      </c>
    </row>
    <row r="178" spans="1:4" x14ac:dyDescent="0.45">
      <c r="A178" t="s">
        <v>311</v>
      </c>
      <c r="B178">
        <v>0.67019209999999996</v>
      </c>
      <c r="C178" s="2">
        <v>123456789</v>
      </c>
      <c r="D178" s="2">
        <v>123456789</v>
      </c>
    </row>
    <row r="179" spans="1:4" x14ac:dyDescent="0.45">
      <c r="A179" t="s">
        <v>312</v>
      </c>
      <c r="B179">
        <v>0.45245800000000003</v>
      </c>
      <c r="C179" s="2">
        <v>123456789</v>
      </c>
      <c r="D179" s="2">
        <v>123456789</v>
      </c>
    </row>
    <row r="180" spans="1:4" x14ac:dyDescent="0.45">
      <c r="A180" t="s">
        <v>313</v>
      </c>
      <c r="B180">
        <v>0.53616710000000001</v>
      </c>
      <c r="C180" s="2">
        <v>123456789</v>
      </c>
      <c r="D180" s="2">
        <v>123456789</v>
      </c>
    </row>
    <row r="181" spans="1:4" x14ac:dyDescent="0.45">
      <c r="A181" t="s">
        <v>314</v>
      </c>
      <c r="B181">
        <v>1.0080499999999999</v>
      </c>
      <c r="C181" s="2">
        <v>123456789</v>
      </c>
      <c r="D181" s="2">
        <v>123456789</v>
      </c>
    </row>
    <row r="182" spans="1:4" x14ac:dyDescent="0.45">
      <c r="A182" t="s">
        <v>315</v>
      </c>
      <c r="B182">
        <v>0.88601019999999997</v>
      </c>
      <c r="C182" s="2">
        <v>123456789</v>
      </c>
      <c r="D182" s="2">
        <v>123456789</v>
      </c>
    </row>
    <row r="183" spans="1:4" x14ac:dyDescent="0.45">
      <c r="A183" t="s">
        <v>316</v>
      </c>
      <c r="B183">
        <v>0.79122590000000004</v>
      </c>
      <c r="C183" s="2">
        <v>123456789</v>
      </c>
      <c r="D183" s="2">
        <v>123456789</v>
      </c>
    </row>
    <row r="184" spans="1:4" x14ac:dyDescent="0.45">
      <c r="A184" t="s">
        <v>317</v>
      </c>
      <c r="B184">
        <v>1.480389</v>
      </c>
      <c r="C184" s="2">
        <v>123456789</v>
      </c>
      <c r="D184" s="2">
        <v>123456789</v>
      </c>
    </row>
    <row r="185" spans="1:4" x14ac:dyDescent="0.45">
      <c r="A185" t="s">
        <v>318</v>
      </c>
      <c r="B185">
        <v>0.98740110000000003</v>
      </c>
      <c r="C185" s="2">
        <v>123456789</v>
      </c>
      <c r="D185" s="2">
        <v>123456789</v>
      </c>
    </row>
    <row r="186" spans="1:4" x14ac:dyDescent="0.45">
      <c r="A186" t="s">
        <v>319</v>
      </c>
      <c r="B186">
        <v>1.4098999999999999</v>
      </c>
      <c r="C186" s="2">
        <v>123456789</v>
      </c>
      <c r="D186" s="2">
        <v>123456789</v>
      </c>
    </row>
    <row r="187" spans="1:4" x14ac:dyDescent="0.45">
      <c r="A187" t="s">
        <v>320</v>
      </c>
      <c r="B187">
        <v>1.206745</v>
      </c>
      <c r="C187" s="2">
        <v>123456789</v>
      </c>
      <c r="D187" s="2">
        <v>123456789</v>
      </c>
    </row>
    <row r="188" spans="1:4" x14ac:dyDescent="0.45">
      <c r="A188" t="s">
        <v>321</v>
      </c>
      <c r="B188">
        <v>0.70393879999999998</v>
      </c>
      <c r="C188" s="2">
        <v>123456789</v>
      </c>
      <c r="D188" s="2">
        <v>123456789</v>
      </c>
    </row>
    <row r="189" spans="1:4" x14ac:dyDescent="0.45">
      <c r="A189" t="s">
        <v>322</v>
      </c>
      <c r="B189">
        <v>0.69163669999999999</v>
      </c>
      <c r="C189" s="2">
        <v>123456789</v>
      </c>
      <c r="D189" s="2">
        <v>123456789</v>
      </c>
    </row>
    <row r="190" spans="1:4" x14ac:dyDescent="0.45">
      <c r="A190" t="s">
        <v>323</v>
      </c>
      <c r="B190">
        <v>0.45792250000000001</v>
      </c>
      <c r="C190" s="2">
        <v>123456789</v>
      </c>
      <c r="D190" s="2">
        <v>123456789</v>
      </c>
    </row>
    <row r="191" spans="1:4" x14ac:dyDescent="0.45">
      <c r="A191" t="s">
        <v>324</v>
      </c>
      <c r="B191">
        <v>0.58722969999999997</v>
      </c>
      <c r="C191" s="2">
        <v>123456789</v>
      </c>
      <c r="D191" s="2">
        <v>123456789</v>
      </c>
    </row>
    <row r="192" spans="1:4" x14ac:dyDescent="0.45">
      <c r="A192" t="s">
        <v>325</v>
      </c>
      <c r="B192">
        <v>0.58472469999999999</v>
      </c>
      <c r="C192" s="2">
        <v>123456789</v>
      </c>
      <c r="D192" s="2">
        <v>123456789</v>
      </c>
    </row>
    <row r="193" spans="1:4" x14ac:dyDescent="0.45">
      <c r="A193" t="s">
        <v>326</v>
      </c>
      <c r="B193">
        <v>0.47826390000000002</v>
      </c>
      <c r="C193" s="2">
        <v>123456789</v>
      </c>
      <c r="D193" s="2">
        <v>123456789</v>
      </c>
    </row>
    <row r="194" spans="1:4" x14ac:dyDescent="0.45">
      <c r="A194" t="s">
        <v>327</v>
      </c>
      <c r="B194">
        <v>0.77243620000000002</v>
      </c>
      <c r="C194" s="2">
        <v>123456789</v>
      </c>
      <c r="D194" s="2">
        <v>123456789</v>
      </c>
    </row>
    <row r="195" spans="1:4" x14ac:dyDescent="0.45">
      <c r="A195" t="s">
        <v>328</v>
      </c>
      <c r="B195">
        <v>0.75171869999999996</v>
      </c>
      <c r="C195" s="2">
        <v>123456789</v>
      </c>
      <c r="D195" s="2">
        <v>123456789</v>
      </c>
    </row>
    <row r="196" spans="1:4" x14ac:dyDescent="0.45">
      <c r="A196" t="s">
        <v>329</v>
      </c>
      <c r="B196">
        <v>0.66729579999999999</v>
      </c>
      <c r="C196" s="2">
        <v>123456789</v>
      </c>
      <c r="D196" s="2">
        <v>123456789</v>
      </c>
    </row>
    <row r="197" spans="1:4" x14ac:dyDescent="0.45">
      <c r="A197" t="s">
        <v>330</v>
      </c>
      <c r="B197">
        <v>0.91458320000000004</v>
      </c>
      <c r="C197" s="2">
        <v>123456789</v>
      </c>
      <c r="D197" s="2">
        <v>123456789</v>
      </c>
    </row>
    <row r="198" spans="1:4" x14ac:dyDescent="0.45">
      <c r="A198" t="s">
        <v>331</v>
      </c>
      <c r="B198">
        <v>0.76870819999999995</v>
      </c>
      <c r="C198" s="2">
        <v>123456789</v>
      </c>
      <c r="D198" s="2">
        <v>123456789</v>
      </c>
    </row>
    <row r="199" spans="1:4" x14ac:dyDescent="0.45">
      <c r="A199" t="s">
        <v>332</v>
      </c>
      <c r="B199">
        <v>0.55190030000000001</v>
      </c>
      <c r="C199" s="2">
        <v>123456789</v>
      </c>
      <c r="D199" s="2">
        <v>123456789</v>
      </c>
    </row>
    <row r="200" spans="1:4" x14ac:dyDescent="0.45">
      <c r="A200" t="s">
        <v>333</v>
      </c>
      <c r="B200">
        <v>0.7697119</v>
      </c>
      <c r="C200" s="2">
        <v>123456789</v>
      </c>
      <c r="D200" s="2">
        <v>123456789</v>
      </c>
    </row>
    <row r="201" spans="1:4" x14ac:dyDescent="0.45">
      <c r="A201" t="s">
        <v>334</v>
      </c>
      <c r="B201">
        <v>0.79403630000000003</v>
      </c>
      <c r="C201" s="2">
        <v>123456789</v>
      </c>
      <c r="D201" s="2">
        <v>123456789</v>
      </c>
    </row>
    <row r="202" spans="1:4" x14ac:dyDescent="0.45">
      <c r="A202" t="s">
        <v>335</v>
      </c>
      <c r="B202">
        <v>2.6315680000000001</v>
      </c>
      <c r="C202" s="2">
        <v>123456789</v>
      </c>
      <c r="D202" s="2">
        <v>123456789</v>
      </c>
    </row>
    <row r="203" spans="1:4" x14ac:dyDescent="0.45">
      <c r="A203" t="s">
        <v>336</v>
      </c>
      <c r="B203">
        <v>1.8262229999999999</v>
      </c>
      <c r="C203" s="2">
        <v>123456789</v>
      </c>
      <c r="D203" s="2">
        <v>123456789</v>
      </c>
    </row>
    <row r="204" spans="1:4" x14ac:dyDescent="0.45">
      <c r="A204" t="s">
        <v>337</v>
      </c>
      <c r="B204">
        <v>1.2212860000000001</v>
      </c>
      <c r="C204" s="2">
        <v>123456789</v>
      </c>
      <c r="D204" s="2">
        <v>123456789</v>
      </c>
    </row>
    <row r="205" spans="1:4" x14ac:dyDescent="0.45">
      <c r="A205" t="s">
        <v>338</v>
      </c>
      <c r="B205">
        <v>1.186712</v>
      </c>
      <c r="C205" s="2">
        <v>123456789</v>
      </c>
      <c r="D205" s="2">
        <v>123456789</v>
      </c>
    </row>
    <row r="206" spans="1:4" x14ac:dyDescent="0.45">
      <c r="A206" t="s">
        <v>339</v>
      </c>
      <c r="B206">
        <v>0.92113199999999995</v>
      </c>
      <c r="C206" s="2">
        <v>123456789</v>
      </c>
      <c r="D206" s="2">
        <v>123456789</v>
      </c>
    </row>
    <row r="207" spans="1:4" x14ac:dyDescent="0.45">
      <c r="A207" t="s">
        <v>340</v>
      </c>
      <c r="B207">
        <v>0.70639689999999999</v>
      </c>
      <c r="C207" s="2">
        <v>123456789</v>
      </c>
      <c r="D207" s="2">
        <v>123456789</v>
      </c>
    </row>
    <row r="208" spans="1:4" x14ac:dyDescent="0.45">
      <c r="A208" t="s">
        <v>341</v>
      </c>
      <c r="B208">
        <v>0.75042160000000002</v>
      </c>
      <c r="C208" s="2">
        <v>123456789</v>
      </c>
      <c r="D208" s="2">
        <v>123456789</v>
      </c>
    </row>
    <row r="209" spans="1:4" x14ac:dyDescent="0.45">
      <c r="A209" t="s">
        <v>342</v>
      </c>
      <c r="B209">
        <v>0.77812650000000005</v>
      </c>
      <c r="C209" s="2">
        <v>123456789</v>
      </c>
      <c r="D209" s="2">
        <v>123456789</v>
      </c>
    </row>
    <row r="210" spans="1:4" x14ac:dyDescent="0.45">
      <c r="A210" t="s">
        <v>343</v>
      </c>
      <c r="B210">
        <v>1.24329</v>
      </c>
      <c r="C210" s="2">
        <v>123456789</v>
      </c>
      <c r="D210" s="2">
        <v>123456789</v>
      </c>
    </row>
    <row r="211" spans="1:4" x14ac:dyDescent="0.45">
      <c r="A211" t="s">
        <v>344</v>
      </c>
      <c r="B211">
        <v>1.1116729999999999</v>
      </c>
      <c r="C211" s="2">
        <v>123456789</v>
      </c>
      <c r="D211" s="2">
        <v>123456789</v>
      </c>
    </row>
    <row r="212" spans="1:4" x14ac:dyDescent="0.45">
      <c r="A212" t="s">
        <v>345</v>
      </c>
      <c r="B212">
        <v>0.87106760000000005</v>
      </c>
      <c r="C212" s="2">
        <v>123456789</v>
      </c>
      <c r="D212" s="2">
        <v>123456789</v>
      </c>
    </row>
    <row r="213" spans="1:4" x14ac:dyDescent="0.45">
      <c r="A213" t="s">
        <v>346</v>
      </c>
      <c r="B213">
        <v>0.69042440000000005</v>
      </c>
      <c r="C213" s="2">
        <v>123456789</v>
      </c>
      <c r="D213" s="2">
        <v>123456789</v>
      </c>
    </row>
    <row r="214" spans="1:4" x14ac:dyDescent="0.45">
      <c r="A214" t="s">
        <v>347</v>
      </c>
      <c r="B214">
        <v>0.86425859999999999</v>
      </c>
      <c r="C214" s="2">
        <v>123456789</v>
      </c>
      <c r="D214" s="2">
        <v>123456789</v>
      </c>
    </row>
    <row r="215" spans="1:4" x14ac:dyDescent="0.45">
      <c r="A215" t="s">
        <v>348</v>
      </c>
      <c r="B215">
        <v>0.57550889999999999</v>
      </c>
      <c r="C215" s="2">
        <v>123456789</v>
      </c>
      <c r="D215" s="2">
        <v>123456789</v>
      </c>
    </row>
    <row r="216" spans="1:4" x14ac:dyDescent="0.45">
      <c r="A216" t="s">
        <v>349</v>
      </c>
      <c r="B216">
        <v>0.72259779999999996</v>
      </c>
      <c r="C216" s="2">
        <v>123456789</v>
      </c>
      <c r="D216" s="2">
        <v>123456789</v>
      </c>
    </row>
    <row r="217" spans="1:4" x14ac:dyDescent="0.45">
      <c r="A217" t="s">
        <v>350</v>
      </c>
      <c r="B217">
        <v>0.67133620000000005</v>
      </c>
      <c r="C217" s="2">
        <v>123456789</v>
      </c>
      <c r="D217" s="2">
        <v>123456789</v>
      </c>
    </row>
    <row r="218" spans="1:4" x14ac:dyDescent="0.45">
      <c r="A218" t="s">
        <v>351</v>
      </c>
      <c r="B218">
        <v>0.56751229999999997</v>
      </c>
      <c r="C218" s="2">
        <v>123456789</v>
      </c>
      <c r="D218" s="2">
        <v>123456789</v>
      </c>
    </row>
    <row r="219" spans="1:4" x14ac:dyDescent="0.45">
      <c r="A219" t="s">
        <v>352</v>
      </c>
      <c r="B219">
        <v>0.55842599999999998</v>
      </c>
      <c r="C219" s="2">
        <v>123456789</v>
      </c>
      <c r="D219" s="2">
        <v>123456789</v>
      </c>
    </row>
    <row r="220" spans="1:4" x14ac:dyDescent="0.45">
      <c r="A220" t="s">
        <v>353</v>
      </c>
      <c r="B220">
        <v>0.66304019999999997</v>
      </c>
      <c r="C220" s="2">
        <v>123456789</v>
      </c>
      <c r="D220" s="2">
        <v>123456789</v>
      </c>
    </row>
    <row r="221" spans="1:4" x14ac:dyDescent="0.45">
      <c r="A221" t="s">
        <v>354</v>
      </c>
      <c r="B221">
        <v>0.56015510000000002</v>
      </c>
      <c r="C221" s="2">
        <v>123456789</v>
      </c>
      <c r="D221" s="2">
        <v>123456789</v>
      </c>
    </row>
    <row r="222" spans="1:4" x14ac:dyDescent="0.45">
      <c r="A222" s="4" t="s">
        <v>355</v>
      </c>
      <c r="B222" s="4">
        <v>0.56015510000000002</v>
      </c>
      <c r="C222" s="2">
        <v>123456789</v>
      </c>
      <c r="D222" s="2">
        <v>123456789</v>
      </c>
    </row>
    <row r="223" spans="1:4" x14ac:dyDescent="0.45">
      <c r="A223" s="4" t="s">
        <v>356</v>
      </c>
      <c r="B223" s="4">
        <v>0.56015510000000002</v>
      </c>
      <c r="C223" s="2">
        <v>123456789</v>
      </c>
      <c r="D223" s="2">
        <v>123456789</v>
      </c>
    </row>
    <row r="224" spans="1:4" x14ac:dyDescent="0.45">
      <c r="A224" s="4" t="s">
        <v>357</v>
      </c>
      <c r="B224" s="4">
        <v>0.56015510000000002</v>
      </c>
      <c r="C224" s="2">
        <v>123456789</v>
      </c>
      <c r="D224" s="2">
        <v>123456789</v>
      </c>
    </row>
    <row r="225" spans="1:4" x14ac:dyDescent="0.45">
      <c r="A225" s="4" t="s">
        <v>438</v>
      </c>
      <c r="B225" s="4">
        <v>0.56015510000000002</v>
      </c>
      <c r="C225" s="2">
        <v>123456789</v>
      </c>
      <c r="D225" s="2">
        <v>123456789</v>
      </c>
    </row>
    <row r="226" spans="1:4" x14ac:dyDescent="0.45">
      <c r="A226" s="4" t="s">
        <v>441</v>
      </c>
      <c r="B226" s="4">
        <v>0.56015510000000002</v>
      </c>
      <c r="C226" s="2">
        <v>123456789</v>
      </c>
      <c r="D226" s="2">
        <v>123456789</v>
      </c>
    </row>
  </sheetData>
  <phoneticPr fontId="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AAFA-695A-4A4C-9C57-E87C90C6C5B4}">
  <sheetPr>
    <tabColor theme="9" tint="0.79998168889431442"/>
  </sheetPr>
  <dimension ref="A1:D226"/>
  <sheetViews>
    <sheetView topLeftCell="A216" workbookViewId="0">
      <selection activeCell="H230" sqref="H230"/>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v>1.3863669999999999</v>
      </c>
      <c r="C3" s="2">
        <v>123456789</v>
      </c>
      <c r="D3" s="2">
        <v>123456789</v>
      </c>
    </row>
    <row r="4" spans="1:4" x14ac:dyDescent="0.45">
      <c r="A4" t="s">
        <v>137</v>
      </c>
      <c r="B4">
        <v>0.85342649999999998</v>
      </c>
      <c r="C4" s="2">
        <v>123456789</v>
      </c>
      <c r="D4" s="2">
        <v>123456789</v>
      </c>
    </row>
    <row r="5" spans="1:4" x14ac:dyDescent="0.45">
      <c r="A5" t="s">
        <v>138</v>
      </c>
      <c r="B5">
        <v>0.5996996</v>
      </c>
      <c r="C5" s="2">
        <v>123456789</v>
      </c>
      <c r="D5" s="2">
        <v>123456789</v>
      </c>
    </row>
    <row r="6" spans="1:4" x14ac:dyDescent="0.45">
      <c r="A6" t="s">
        <v>139</v>
      </c>
      <c r="B6">
        <v>0.4664527</v>
      </c>
      <c r="C6" s="2">
        <v>123456789</v>
      </c>
      <c r="D6" s="2">
        <v>123456789</v>
      </c>
    </row>
    <row r="7" spans="1:4" x14ac:dyDescent="0.45">
      <c r="A7" t="s">
        <v>140</v>
      </c>
      <c r="B7">
        <v>0.52603370000000005</v>
      </c>
      <c r="C7" s="2">
        <v>123456789</v>
      </c>
      <c r="D7" s="2">
        <v>123456789</v>
      </c>
    </row>
    <row r="8" spans="1:4" x14ac:dyDescent="0.45">
      <c r="A8" t="s">
        <v>141</v>
      </c>
      <c r="B8">
        <v>0.73293299999999995</v>
      </c>
      <c r="C8" s="2">
        <v>123456789</v>
      </c>
      <c r="D8" s="2">
        <v>123456789</v>
      </c>
    </row>
    <row r="9" spans="1:4" x14ac:dyDescent="0.45">
      <c r="A9" t="s">
        <v>142</v>
      </c>
      <c r="B9">
        <v>0.75256449999999997</v>
      </c>
      <c r="C9" s="2">
        <v>123456789</v>
      </c>
      <c r="D9" s="2">
        <v>123456789</v>
      </c>
    </row>
    <row r="10" spans="1:4" x14ac:dyDescent="0.45">
      <c r="A10" t="s">
        <v>143</v>
      </c>
      <c r="B10">
        <v>0.44826290000000002</v>
      </c>
      <c r="C10" s="2">
        <v>123456789</v>
      </c>
      <c r="D10" s="2">
        <v>123456789</v>
      </c>
    </row>
    <row r="11" spans="1:4" x14ac:dyDescent="0.45">
      <c r="A11" t="s">
        <v>144</v>
      </c>
      <c r="B11">
        <v>0.48698599999999997</v>
      </c>
      <c r="C11" s="2">
        <v>123456789</v>
      </c>
      <c r="D11" s="2">
        <v>123456789</v>
      </c>
    </row>
    <row r="12" spans="1:4" x14ac:dyDescent="0.45">
      <c r="A12" t="s">
        <v>145</v>
      </c>
      <c r="B12">
        <v>0.50625589999999998</v>
      </c>
      <c r="C12" s="2">
        <v>123456789</v>
      </c>
      <c r="D12" s="2">
        <v>123456789</v>
      </c>
    </row>
    <row r="13" spans="1:4" x14ac:dyDescent="0.45">
      <c r="A13" t="s">
        <v>146</v>
      </c>
      <c r="B13">
        <v>0.52969840000000001</v>
      </c>
      <c r="C13" s="2">
        <v>123456789</v>
      </c>
      <c r="D13" s="2">
        <v>123456789</v>
      </c>
    </row>
    <row r="14" spans="1:4" x14ac:dyDescent="0.45">
      <c r="A14" t="s">
        <v>147</v>
      </c>
      <c r="B14">
        <v>0.71707180000000004</v>
      </c>
      <c r="C14" s="2">
        <v>123456789</v>
      </c>
      <c r="D14" s="2">
        <v>123456789</v>
      </c>
    </row>
    <row r="15" spans="1:4" x14ac:dyDescent="0.45">
      <c r="A15" t="s">
        <v>148</v>
      </c>
      <c r="B15">
        <v>1.022923</v>
      </c>
      <c r="C15" s="2">
        <v>123456789</v>
      </c>
      <c r="D15" s="2">
        <v>123456789</v>
      </c>
    </row>
    <row r="16" spans="1:4" x14ac:dyDescent="0.45">
      <c r="A16" t="s">
        <v>149</v>
      </c>
      <c r="B16">
        <v>0.77785680000000001</v>
      </c>
      <c r="C16" s="2">
        <v>123456789</v>
      </c>
      <c r="D16" s="2">
        <v>123456789</v>
      </c>
    </row>
    <row r="17" spans="1:4" x14ac:dyDescent="0.45">
      <c r="A17" t="s">
        <v>150</v>
      </c>
      <c r="B17">
        <v>1.296192</v>
      </c>
      <c r="C17" s="2">
        <v>123456789</v>
      </c>
      <c r="D17" s="2">
        <v>123456789</v>
      </c>
    </row>
    <row r="18" spans="1:4" x14ac:dyDescent="0.45">
      <c r="A18" t="s">
        <v>151</v>
      </c>
      <c r="B18">
        <v>1.0513239999999999</v>
      </c>
      <c r="C18" s="2">
        <v>123456789</v>
      </c>
      <c r="D18" s="2">
        <v>123456789</v>
      </c>
    </row>
    <row r="19" spans="1:4" x14ac:dyDescent="0.45">
      <c r="A19" t="s">
        <v>152</v>
      </c>
      <c r="B19">
        <v>0.96948599999999996</v>
      </c>
      <c r="C19" s="2">
        <v>123456789</v>
      </c>
      <c r="D19" s="2">
        <v>123456789</v>
      </c>
    </row>
    <row r="20" spans="1:4" x14ac:dyDescent="0.45">
      <c r="A20" t="s">
        <v>153</v>
      </c>
      <c r="B20">
        <v>1.5793109999999999</v>
      </c>
      <c r="C20" s="2">
        <v>123456789</v>
      </c>
      <c r="D20" s="2">
        <v>123456789</v>
      </c>
    </row>
    <row r="21" spans="1:4" x14ac:dyDescent="0.45">
      <c r="A21" t="s">
        <v>154</v>
      </c>
      <c r="B21">
        <v>1.6316360000000001</v>
      </c>
      <c r="C21" s="2">
        <v>123456789</v>
      </c>
      <c r="D21" s="2">
        <v>123456789</v>
      </c>
    </row>
    <row r="22" spans="1:4" x14ac:dyDescent="0.45">
      <c r="A22" t="s">
        <v>155</v>
      </c>
      <c r="B22">
        <v>1.1251450000000001</v>
      </c>
      <c r="C22" s="2">
        <v>123456789</v>
      </c>
      <c r="D22" s="2">
        <v>123456789</v>
      </c>
    </row>
    <row r="23" spans="1:4" x14ac:dyDescent="0.45">
      <c r="A23" t="s">
        <v>156</v>
      </c>
      <c r="B23">
        <v>0.90070510000000004</v>
      </c>
      <c r="C23" s="2">
        <v>123456789</v>
      </c>
      <c r="D23" s="2">
        <v>123456789</v>
      </c>
    </row>
    <row r="24" spans="1:4" x14ac:dyDescent="0.45">
      <c r="A24" t="s">
        <v>157</v>
      </c>
      <c r="B24">
        <v>0.93318889999999999</v>
      </c>
      <c r="C24" s="2">
        <v>123456789</v>
      </c>
      <c r="D24" s="2">
        <v>123456789</v>
      </c>
    </row>
    <row r="25" spans="1:4" x14ac:dyDescent="0.45">
      <c r="A25" t="s">
        <v>158</v>
      </c>
      <c r="B25">
        <v>0.80510910000000002</v>
      </c>
      <c r="C25" s="2">
        <v>123456789</v>
      </c>
      <c r="D25" s="2">
        <v>123456789</v>
      </c>
    </row>
    <row r="26" spans="1:4" x14ac:dyDescent="0.45">
      <c r="A26" t="s">
        <v>159</v>
      </c>
      <c r="B26">
        <v>0.80910839999999995</v>
      </c>
      <c r="C26" s="2">
        <v>123456789</v>
      </c>
      <c r="D26" s="2">
        <v>123456789</v>
      </c>
    </row>
    <row r="27" spans="1:4" x14ac:dyDescent="0.45">
      <c r="A27" t="s">
        <v>160</v>
      </c>
      <c r="B27">
        <v>0.67658669999999999</v>
      </c>
      <c r="C27" s="2">
        <v>123456789</v>
      </c>
      <c r="D27" s="2">
        <v>123456789</v>
      </c>
    </row>
    <row r="28" spans="1:4" x14ac:dyDescent="0.45">
      <c r="A28" t="s">
        <v>161</v>
      </c>
      <c r="B28">
        <v>0.57080109999999995</v>
      </c>
      <c r="C28" s="2">
        <v>123456789</v>
      </c>
      <c r="D28" s="2">
        <v>123456789</v>
      </c>
    </row>
    <row r="29" spans="1:4" x14ac:dyDescent="0.45">
      <c r="A29" t="s">
        <v>162</v>
      </c>
      <c r="B29">
        <v>0.67401679999999997</v>
      </c>
      <c r="C29" s="2">
        <v>123456789</v>
      </c>
      <c r="D29" s="2">
        <v>123456789</v>
      </c>
    </row>
    <row r="30" spans="1:4" x14ac:dyDescent="0.45">
      <c r="A30" t="s">
        <v>163</v>
      </c>
      <c r="B30">
        <v>0.50042949999999997</v>
      </c>
      <c r="C30" s="2">
        <v>123456789</v>
      </c>
      <c r="D30" s="2">
        <v>123456789</v>
      </c>
    </row>
    <row r="31" spans="1:4" x14ac:dyDescent="0.45">
      <c r="A31" t="s">
        <v>164</v>
      </c>
      <c r="B31">
        <v>0.58318460000000005</v>
      </c>
      <c r="C31" s="2">
        <v>123456789</v>
      </c>
      <c r="D31" s="2">
        <v>123456789</v>
      </c>
    </row>
    <row r="32" spans="1:4" x14ac:dyDescent="0.45">
      <c r="A32" t="s">
        <v>165</v>
      </c>
      <c r="B32">
        <v>0.51145410000000002</v>
      </c>
      <c r="C32" s="2">
        <v>123456789</v>
      </c>
      <c r="D32" s="2">
        <v>123456789</v>
      </c>
    </row>
    <row r="33" spans="1:4" x14ac:dyDescent="0.45">
      <c r="A33" t="s">
        <v>166</v>
      </c>
      <c r="B33">
        <v>0.65386299999999997</v>
      </c>
      <c r="C33" s="2">
        <v>123456789</v>
      </c>
      <c r="D33" s="2">
        <v>123456789</v>
      </c>
    </row>
    <row r="34" spans="1:4" x14ac:dyDescent="0.45">
      <c r="A34" t="s">
        <v>167</v>
      </c>
      <c r="B34">
        <v>0.57950219999999997</v>
      </c>
      <c r="C34" s="2">
        <v>123456789</v>
      </c>
      <c r="D34" s="2">
        <v>123456789</v>
      </c>
    </row>
    <row r="35" spans="1:4" x14ac:dyDescent="0.45">
      <c r="A35" t="s">
        <v>168</v>
      </c>
      <c r="B35">
        <v>0.76861139999999994</v>
      </c>
      <c r="C35" s="2">
        <v>123456789</v>
      </c>
      <c r="D35" s="2">
        <v>123456789</v>
      </c>
    </row>
    <row r="36" spans="1:4" x14ac:dyDescent="0.45">
      <c r="A36" t="s">
        <v>169</v>
      </c>
      <c r="B36">
        <v>0.65210610000000002</v>
      </c>
      <c r="C36" s="2">
        <v>123456789</v>
      </c>
      <c r="D36" s="2">
        <v>123456789</v>
      </c>
    </row>
    <row r="37" spans="1:4" x14ac:dyDescent="0.45">
      <c r="A37" t="s">
        <v>170</v>
      </c>
      <c r="B37">
        <v>1.03748</v>
      </c>
      <c r="C37" s="2">
        <v>123456789</v>
      </c>
      <c r="D37" s="2">
        <v>123456789</v>
      </c>
    </row>
    <row r="38" spans="1:4" x14ac:dyDescent="0.45">
      <c r="A38" t="s">
        <v>171</v>
      </c>
      <c r="B38">
        <v>0.63324119999999995</v>
      </c>
      <c r="C38" s="2">
        <v>123456789</v>
      </c>
      <c r="D38" s="2">
        <v>123456789</v>
      </c>
    </row>
    <row r="39" spans="1:4" x14ac:dyDescent="0.45">
      <c r="A39" t="s">
        <v>172</v>
      </c>
      <c r="B39">
        <v>0.57818899999999995</v>
      </c>
      <c r="C39" s="2">
        <v>123456789</v>
      </c>
      <c r="D39" s="2">
        <v>123456789</v>
      </c>
    </row>
    <row r="40" spans="1:4" x14ac:dyDescent="0.45">
      <c r="A40" t="s">
        <v>173</v>
      </c>
      <c r="B40">
        <v>0.61093759999999997</v>
      </c>
      <c r="C40" s="2">
        <v>123456789</v>
      </c>
      <c r="D40" s="2">
        <v>123456789</v>
      </c>
    </row>
    <row r="41" spans="1:4" x14ac:dyDescent="0.45">
      <c r="A41" t="s">
        <v>174</v>
      </c>
      <c r="B41">
        <v>0.84267769999999997</v>
      </c>
      <c r="C41" s="2">
        <v>123456789</v>
      </c>
      <c r="D41" s="2">
        <v>123456789</v>
      </c>
    </row>
    <row r="42" spans="1:4" x14ac:dyDescent="0.45">
      <c r="A42" t="s">
        <v>175</v>
      </c>
      <c r="B42">
        <v>1.1446289999999999</v>
      </c>
      <c r="C42" s="2">
        <v>123456789</v>
      </c>
      <c r="D42" s="2">
        <v>123456789</v>
      </c>
    </row>
    <row r="43" spans="1:4" x14ac:dyDescent="0.45">
      <c r="A43" t="s">
        <v>176</v>
      </c>
      <c r="B43">
        <v>0.92043070000000005</v>
      </c>
      <c r="C43" s="2">
        <v>123456789</v>
      </c>
      <c r="D43" s="2">
        <v>123456789</v>
      </c>
    </row>
    <row r="44" spans="1:4" x14ac:dyDescent="0.45">
      <c r="A44" t="s">
        <v>177</v>
      </c>
      <c r="B44">
        <v>0.92723999999999995</v>
      </c>
      <c r="C44" s="2">
        <v>123456789</v>
      </c>
      <c r="D44" s="2">
        <v>123456789</v>
      </c>
    </row>
    <row r="45" spans="1:4" x14ac:dyDescent="0.45">
      <c r="A45" t="s">
        <v>178</v>
      </c>
      <c r="B45">
        <v>1.0711360000000001</v>
      </c>
      <c r="C45" s="2">
        <v>123456789</v>
      </c>
      <c r="D45" s="2">
        <v>123456789</v>
      </c>
    </row>
    <row r="46" spans="1:4" x14ac:dyDescent="0.45">
      <c r="A46" t="s">
        <v>179</v>
      </c>
      <c r="B46">
        <v>0.90886199999999995</v>
      </c>
      <c r="C46" s="2">
        <v>123456789</v>
      </c>
      <c r="D46" s="2">
        <v>123456789</v>
      </c>
    </row>
    <row r="47" spans="1:4" x14ac:dyDescent="0.45">
      <c r="A47" t="s">
        <v>180</v>
      </c>
      <c r="B47">
        <v>0.658335</v>
      </c>
      <c r="C47" s="2">
        <v>123456789</v>
      </c>
      <c r="D47" s="2">
        <v>123456789</v>
      </c>
    </row>
    <row r="48" spans="1:4" x14ac:dyDescent="0.45">
      <c r="A48" t="s">
        <v>181</v>
      </c>
      <c r="B48">
        <v>0.92635319999999999</v>
      </c>
      <c r="C48" s="2">
        <v>123456789</v>
      </c>
      <c r="D48" s="2">
        <v>123456789</v>
      </c>
    </row>
    <row r="49" spans="1:4" x14ac:dyDescent="0.45">
      <c r="A49" t="s">
        <v>182</v>
      </c>
      <c r="B49">
        <v>0.83095149999999995</v>
      </c>
      <c r="C49" s="2">
        <v>123456789</v>
      </c>
      <c r="D49" s="2">
        <v>123456789</v>
      </c>
    </row>
    <row r="50" spans="1:4" x14ac:dyDescent="0.45">
      <c r="A50" t="s">
        <v>183</v>
      </c>
      <c r="B50">
        <v>1.009252</v>
      </c>
      <c r="C50" s="2">
        <v>123456789</v>
      </c>
      <c r="D50" s="2">
        <v>123456789</v>
      </c>
    </row>
    <row r="51" spans="1:4" x14ac:dyDescent="0.45">
      <c r="A51" t="s">
        <v>184</v>
      </c>
      <c r="B51">
        <v>0.75233859999999997</v>
      </c>
      <c r="C51" s="2">
        <v>123456789</v>
      </c>
      <c r="D51" s="2">
        <v>123456789</v>
      </c>
    </row>
    <row r="52" spans="1:4" x14ac:dyDescent="0.45">
      <c r="A52" t="s">
        <v>185</v>
      </c>
      <c r="B52">
        <v>1.1998759999999999</v>
      </c>
      <c r="C52" s="2">
        <v>123456789</v>
      </c>
      <c r="D52" s="2">
        <v>123456789</v>
      </c>
    </row>
    <row r="53" spans="1:4" x14ac:dyDescent="0.45">
      <c r="A53" t="s">
        <v>186</v>
      </c>
      <c r="B53">
        <v>1.46831</v>
      </c>
      <c r="C53" s="2">
        <v>123456789</v>
      </c>
      <c r="D53" s="2">
        <v>123456789</v>
      </c>
    </row>
    <row r="54" spans="1:4" x14ac:dyDescent="0.45">
      <c r="A54" t="s">
        <v>187</v>
      </c>
      <c r="B54">
        <v>1.027161</v>
      </c>
      <c r="C54" s="2">
        <v>123456789</v>
      </c>
      <c r="D54" s="2">
        <v>123456789</v>
      </c>
    </row>
    <row r="55" spans="1:4" x14ac:dyDescent="0.45">
      <c r="A55" t="s">
        <v>188</v>
      </c>
      <c r="B55">
        <v>0.76695080000000004</v>
      </c>
      <c r="C55" s="2">
        <v>123456789</v>
      </c>
      <c r="D55" s="2">
        <v>123456789</v>
      </c>
    </row>
    <row r="56" spans="1:4" x14ac:dyDescent="0.45">
      <c r="A56" t="s">
        <v>189</v>
      </c>
      <c r="B56">
        <v>0.85193830000000004</v>
      </c>
      <c r="C56" s="2">
        <v>123456789</v>
      </c>
      <c r="D56" s="2">
        <v>123456789</v>
      </c>
    </row>
    <row r="57" spans="1:4" x14ac:dyDescent="0.45">
      <c r="A57" t="s">
        <v>190</v>
      </c>
      <c r="B57">
        <v>0.62240490000000004</v>
      </c>
      <c r="C57" s="2">
        <v>123456789</v>
      </c>
      <c r="D57" s="2">
        <v>123456789</v>
      </c>
    </row>
    <row r="58" spans="1:4" x14ac:dyDescent="0.45">
      <c r="A58" t="s">
        <v>191</v>
      </c>
      <c r="B58">
        <v>0.80540230000000002</v>
      </c>
      <c r="C58" s="2">
        <v>123456789</v>
      </c>
      <c r="D58" s="2">
        <v>123456789</v>
      </c>
    </row>
    <row r="59" spans="1:4" x14ac:dyDescent="0.45">
      <c r="A59" t="s">
        <v>192</v>
      </c>
      <c r="B59">
        <v>0.75246780000000002</v>
      </c>
      <c r="C59" s="2">
        <v>123456789</v>
      </c>
      <c r="D59" s="2">
        <v>123456789</v>
      </c>
    </row>
    <row r="60" spans="1:4" x14ac:dyDescent="0.45">
      <c r="A60" t="s">
        <v>193</v>
      </c>
      <c r="B60">
        <v>0.86860630000000005</v>
      </c>
      <c r="C60" s="2">
        <v>123456789</v>
      </c>
      <c r="D60" s="2">
        <v>123456789</v>
      </c>
    </row>
    <row r="61" spans="1:4" x14ac:dyDescent="0.45">
      <c r="A61" t="s">
        <v>194</v>
      </c>
      <c r="B61">
        <v>0.73391770000000001</v>
      </c>
      <c r="C61" s="2">
        <v>123456789</v>
      </c>
      <c r="D61" s="2">
        <v>123456789</v>
      </c>
    </row>
    <row r="62" spans="1:4" x14ac:dyDescent="0.45">
      <c r="A62" t="s">
        <v>195</v>
      </c>
      <c r="B62">
        <v>0.69991479999999995</v>
      </c>
      <c r="C62" s="2">
        <v>123456789</v>
      </c>
      <c r="D62" s="2">
        <v>123456789</v>
      </c>
    </row>
    <row r="63" spans="1:4" x14ac:dyDescent="0.45">
      <c r="A63" t="s">
        <v>196</v>
      </c>
      <c r="B63">
        <v>0.55590640000000002</v>
      </c>
      <c r="C63" s="2">
        <v>123456789</v>
      </c>
      <c r="D63" s="2">
        <v>123456789</v>
      </c>
    </row>
    <row r="64" spans="1:4" x14ac:dyDescent="0.45">
      <c r="A64" t="s">
        <v>197</v>
      </c>
      <c r="B64">
        <v>0.5783315</v>
      </c>
      <c r="C64" s="2">
        <v>123456789</v>
      </c>
      <c r="D64" s="2">
        <v>123456789</v>
      </c>
    </row>
    <row r="65" spans="1:4" x14ac:dyDescent="0.45">
      <c r="A65" t="s">
        <v>198</v>
      </c>
      <c r="B65">
        <v>0.65481009999999995</v>
      </c>
      <c r="C65" s="2">
        <v>123456789</v>
      </c>
      <c r="D65" s="2">
        <v>123456789</v>
      </c>
    </row>
    <row r="66" spans="1:4" x14ac:dyDescent="0.45">
      <c r="A66" t="s">
        <v>199</v>
      </c>
      <c r="B66">
        <v>0.81053039999999998</v>
      </c>
      <c r="C66" s="2">
        <v>123456789</v>
      </c>
      <c r="D66" s="2">
        <v>123456789</v>
      </c>
    </row>
    <row r="67" spans="1:4" x14ac:dyDescent="0.45">
      <c r="A67" t="s">
        <v>200</v>
      </c>
      <c r="B67">
        <v>0.91724969999999995</v>
      </c>
      <c r="C67" s="2">
        <v>123456789</v>
      </c>
      <c r="D67" s="2">
        <v>123456789</v>
      </c>
    </row>
    <row r="68" spans="1:4" x14ac:dyDescent="0.45">
      <c r="A68" t="s">
        <v>201</v>
      </c>
      <c r="B68">
        <v>1.095018</v>
      </c>
      <c r="C68" s="2">
        <v>123456789</v>
      </c>
      <c r="D68" s="2">
        <v>123456789</v>
      </c>
    </row>
    <row r="69" spans="1:4" x14ac:dyDescent="0.45">
      <c r="A69" t="s">
        <v>202</v>
      </c>
      <c r="B69">
        <v>0.77946040000000005</v>
      </c>
      <c r="C69" s="2">
        <v>123456789</v>
      </c>
      <c r="D69" s="2">
        <v>123456789</v>
      </c>
    </row>
    <row r="70" spans="1:4" x14ac:dyDescent="0.45">
      <c r="A70" t="s">
        <v>203</v>
      </c>
      <c r="B70">
        <v>0.91751689999999997</v>
      </c>
      <c r="C70" s="2">
        <v>123456789</v>
      </c>
      <c r="D70" s="2">
        <v>123456789</v>
      </c>
    </row>
    <row r="71" spans="1:4" x14ac:dyDescent="0.45">
      <c r="A71" t="s">
        <v>204</v>
      </c>
      <c r="B71">
        <v>1.0984480000000001</v>
      </c>
      <c r="C71" s="2">
        <v>123456789</v>
      </c>
      <c r="D71" s="2">
        <v>123456789</v>
      </c>
    </row>
    <row r="72" spans="1:4" x14ac:dyDescent="0.45">
      <c r="A72" t="s">
        <v>205</v>
      </c>
      <c r="B72">
        <v>0.88358579999999998</v>
      </c>
      <c r="C72" s="2">
        <v>123456789</v>
      </c>
      <c r="D72" s="2">
        <v>123456789</v>
      </c>
    </row>
    <row r="73" spans="1:4" x14ac:dyDescent="0.45">
      <c r="A73" t="s">
        <v>206</v>
      </c>
      <c r="B73">
        <v>3.5918359999999998</v>
      </c>
      <c r="C73" s="2">
        <v>123456789</v>
      </c>
      <c r="D73" s="2">
        <v>123456789</v>
      </c>
    </row>
    <row r="74" spans="1:4" x14ac:dyDescent="0.45">
      <c r="A74" t="s">
        <v>207</v>
      </c>
      <c r="B74">
        <v>1.4109259999999999</v>
      </c>
      <c r="C74" s="2">
        <v>123456789</v>
      </c>
      <c r="D74" s="2">
        <v>123456789</v>
      </c>
    </row>
    <row r="75" spans="1:4" x14ac:dyDescent="0.45">
      <c r="A75" t="s">
        <v>208</v>
      </c>
      <c r="B75">
        <v>1.1403760000000001</v>
      </c>
      <c r="C75" s="2">
        <v>123456789</v>
      </c>
      <c r="D75" s="2">
        <v>123456789</v>
      </c>
    </row>
    <row r="76" spans="1:4" x14ac:dyDescent="0.45">
      <c r="A76" t="s">
        <v>209</v>
      </c>
      <c r="B76">
        <v>0.83144750000000001</v>
      </c>
      <c r="C76" s="2">
        <v>123456789</v>
      </c>
      <c r="D76" s="2">
        <v>123456789</v>
      </c>
    </row>
    <row r="77" spans="1:4" x14ac:dyDescent="0.45">
      <c r="A77" t="s">
        <v>210</v>
      </c>
      <c r="B77">
        <v>0.74995319999999999</v>
      </c>
      <c r="C77" s="2">
        <v>123456789</v>
      </c>
      <c r="D77" s="2">
        <v>123456789</v>
      </c>
    </row>
    <row r="78" spans="1:4" x14ac:dyDescent="0.45">
      <c r="A78" t="s">
        <v>211</v>
      </c>
      <c r="B78">
        <v>0.72550139999999996</v>
      </c>
      <c r="C78" s="2">
        <v>123456789</v>
      </c>
      <c r="D78" s="2">
        <v>123456789</v>
      </c>
    </row>
    <row r="79" spans="1:4" x14ac:dyDescent="0.45">
      <c r="A79" t="s">
        <v>212</v>
      </c>
      <c r="B79">
        <v>0.72527299999999995</v>
      </c>
      <c r="C79" s="2">
        <v>123456789</v>
      </c>
      <c r="D79" s="2">
        <v>123456789</v>
      </c>
    </row>
    <row r="80" spans="1:4" x14ac:dyDescent="0.45">
      <c r="A80" t="s">
        <v>213</v>
      </c>
      <c r="B80">
        <v>0.66269719999999999</v>
      </c>
      <c r="C80" s="2">
        <v>123456789</v>
      </c>
      <c r="D80" s="2">
        <v>123456789</v>
      </c>
    </row>
    <row r="81" spans="1:4" x14ac:dyDescent="0.45">
      <c r="A81" t="s">
        <v>214</v>
      </c>
      <c r="B81">
        <v>1.07531</v>
      </c>
      <c r="C81" s="2">
        <v>123456789</v>
      </c>
      <c r="D81" s="2">
        <v>123456789</v>
      </c>
    </row>
    <row r="82" spans="1:4" x14ac:dyDescent="0.45">
      <c r="A82" t="s">
        <v>215</v>
      </c>
      <c r="B82">
        <v>0.87611839999999996</v>
      </c>
      <c r="C82" s="2">
        <v>123456789</v>
      </c>
      <c r="D82" s="2">
        <v>123456789</v>
      </c>
    </row>
    <row r="83" spans="1:4" x14ac:dyDescent="0.45">
      <c r="A83" t="s">
        <v>216</v>
      </c>
      <c r="B83">
        <v>0.75361199999999995</v>
      </c>
      <c r="C83" s="2">
        <v>123456789</v>
      </c>
      <c r="D83" s="2">
        <v>123456789</v>
      </c>
    </row>
    <row r="84" spans="1:4" x14ac:dyDescent="0.45">
      <c r="A84" t="s">
        <v>217</v>
      </c>
      <c r="B84">
        <v>1.169559</v>
      </c>
      <c r="C84" s="2">
        <v>123456789</v>
      </c>
      <c r="D84" s="2">
        <v>123456789</v>
      </c>
    </row>
    <row r="85" spans="1:4" x14ac:dyDescent="0.45">
      <c r="A85" t="s">
        <v>218</v>
      </c>
      <c r="B85">
        <v>1.083485</v>
      </c>
      <c r="C85" s="2">
        <v>123456789</v>
      </c>
      <c r="D85" s="2">
        <v>123456789</v>
      </c>
    </row>
    <row r="86" spans="1:4" x14ac:dyDescent="0.45">
      <c r="A86" t="s">
        <v>219</v>
      </c>
      <c r="B86">
        <v>1.0336320000000001</v>
      </c>
      <c r="C86" s="2">
        <v>123456789</v>
      </c>
      <c r="D86" s="2">
        <v>123456789</v>
      </c>
    </row>
    <row r="87" spans="1:4" x14ac:dyDescent="0.45">
      <c r="A87" t="s">
        <v>220</v>
      </c>
      <c r="B87">
        <v>0.86933280000000002</v>
      </c>
      <c r="C87" s="2">
        <v>123456789</v>
      </c>
      <c r="D87" s="2">
        <v>123456789</v>
      </c>
    </row>
    <row r="88" spans="1:4" x14ac:dyDescent="0.45">
      <c r="A88" t="s">
        <v>221</v>
      </c>
      <c r="B88">
        <v>0.74274580000000001</v>
      </c>
      <c r="C88" s="2">
        <v>123456789</v>
      </c>
      <c r="D88" s="2">
        <v>123456789</v>
      </c>
    </row>
    <row r="89" spans="1:4" x14ac:dyDescent="0.45">
      <c r="A89" t="s">
        <v>222</v>
      </c>
      <c r="B89">
        <v>0.8890285</v>
      </c>
      <c r="C89" s="2">
        <v>123456789</v>
      </c>
      <c r="D89" s="2">
        <v>123456789</v>
      </c>
    </row>
    <row r="90" spans="1:4" x14ac:dyDescent="0.45">
      <c r="A90" t="s">
        <v>223</v>
      </c>
      <c r="B90">
        <v>0.59162579999999998</v>
      </c>
      <c r="C90" s="2">
        <v>123456789</v>
      </c>
      <c r="D90" s="2">
        <v>123456789</v>
      </c>
    </row>
    <row r="91" spans="1:4" x14ac:dyDescent="0.45">
      <c r="A91" t="s">
        <v>224</v>
      </c>
      <c r="B91">
        <v>0.69614819999999999</v>
      </c>
      <c r="C91" s="2">
        <v>123456789</v>
      </c>
      <c r="D91" s="2">
        <v>123456789</v>
      </c>
    </row>
    <row r="92" spans="1:4" x14ac:dyDescent="0.45">
      <c r="A92" t="s">
        <v>225</v>
      </c>
      <c r="B92">
        <v>0.57252579999999997</v>
      </c>
      <c r="C92" s="2">
        <v>123456789</v>
      </c>
      <c r="D92" s="2">
        <v>123456789</v>
      </c>
    </row>
    <row r="93" spans="1:4" x14ac:dyDescent="0.45">
      <c r="A93" t="s">
        <v>226</v>
      </c>
      <c r="B93">
        <v>0.54006580000000004</v>
      </c>
      <c r="C93" s="2">
        <v>123456789</v>
      </c>
      <c r="D93" s="2">
        <v>123456789</v>
      </c>
    </row>
    <row r="94" spans="1:4" x14ac:dyDescent="0.45">
      <c r="A94" t="s">
        <v>227</v>
      </c>
      <c r="B94">
        <v>0.62726669999999995</v>
      </c>
      <c r="C94" s="2">
        <v>123456789</v>
      </c>
      <c r="D94" s="2">
        <v>123456789</v>
      </c>
    </row>
    <row r="95" spans="1:4" x14ac:dyDescent="0.45">
      <c r="A95" t="s">
        <v>228</v>
      </c>
      <c r="B95">
        <v>0.61185129999999999</v>
      </c>
      <c r="C95" s="2">
        <v>123456789</v>
      </c>
      <c r="D95" s="2">
        <v>123456789</v>
      </c>
    </row>
    <row r="96" spans="1:4" x14ac:dyDescent="0.45">
      <c r="A96" t="s">
        <v>229</v>
      </c>
      <c r="B96">
        <v>0.45668510000000001</v>
      </c>
      <c r="C96" s="2">
        <v>123456789</v>
      </c>
      <c r="D96" s="2">
        <v>123456789</v>
      </c>
    </row>
    <row r="97" spans="1:4" x14ac:dyDescent="0.45">
      <c r="A97" t="s">
        <v>230</v>
      </c>
      <c r="B97">
        <v>0.42171219999999998</v>
      </c>
      <c r="C97" s="2">
        <v>123456789</v>
      </c>
      <c r="D97" s="2">
        <v>123456789</v>
      </c>
    </row>
    <row r="98" spans="1:4" x14ac:dyDescent="0.45">
      <c r="A98" t="s">
        <v>231</v>
      </c>
      <c r="B98">
        <v>0.60571379999999997</v>
      </c>
      <c r="C98" s="2">
        <v>123456789</v>
      </c>
      <c r="D98" s="2">
        <v>123456789</v>
      </c>
    </row>
    <row r="99" spans="1:4" x14ac:dyDescent="0.45">
      <c r="A99" t="s">
        <v>232</v>
      </c>
      <c r="B99">
        <v>0.67562869999999997</v>
      </c>
      <c r="C99" s="2">
        <v>123456789</v>
      </c>
      <c r="D99" s="2">
        <v>123456789</v>
      </c>
    </row>
    <row r="100" spans="1:4" x14ac:dyDescent="0.45">
      <c r="A100" t="s">
        <v>233</v>
      </c>
      <c r="B100">
        <v>0.50602119999999995</v>
      </c>
      <c r="C100" s="2">
        <v>123456789</v>
      </c>
      <c r="D100" s="2">
        <v>123456789</v>
      </c>
    </row>
    <row r="101" spans="1:4" x14ac:dyDescent="0.45">
      <c r="A101" t="s">
        <v>234</v>
      </c>
      <c r="B101">
        <v>0.64929499999999996</v>
      </c>
      <c r="C101" s="2">
        <v>123456789</v>
      </c>
      <c r="D101" s="2">
        <v>123456789</v>
      </c>
    </row>
    <row r="102" spans="1:4" x14ac:dyDescent="0.45">
      <c r="A102" t="s">
        <v>235</v>
      </c>
      <c r="B102">
        <v>0.41880849999999997</v>
      </c>
      <c r="C102" s="2">
        <v>123456789</v>
      </c>
      <c r="D102" s="2">
        <v>123456789</v>
      </c>
    </row>
    <row r="103" spans="1:4" x14ac:dyDescent="0.45">
      <c r="A103" t="s">
        <v>236</v>
      </c>
      <c r="B103">
        <v>0.53811620000000004</v>
      </c>
      <c r="C103" s="2">
        <v>123456789</v>
      </c>
      <c r="D103" s="2">
        <v>123456789</v>
      </c>
    </row>
    <row r="104" spans="1:4" x14ac:dyDescent="0.45">
      <c r="A104" t="s">
        <v>237</v>
      </c>
      <c r="B104">
        <v>0.44790400000000002</v>
      </c>
      <c r="C104" s="2">
        <v>123456789</v>
      </c>
      <c r="D104" s="2">
        <v>123456789</v>
      </c>
    </row>
    <row r="105" spans="1:4" x14ac:dyDescent="0.45">
      <c r="A105" t="s">
        <v>238</v>
      </c>
      <c r="B105">
        <v>0.53178049999999999</v>
      </c>
      <c r="C105" s="2">
        <v>123456789</v>
      </c>
      <c r="D105" s="2">
        <v>123456789</v>
      </c>
    </row>
    <row r="106" spans="1:4" x14ac:dyDescent="0.45">
      <c r="A106" t="s">
        <v>239</v>
      </c>
      <c r="B106">
        <v>0.8250729</v>
      </c>
      <c r="C106" s="2">
        <v>123456789</v>
      </c>
      <c r="D106" s="2">
        <v>123456789</v>
      </c>
    </row>
    <row r="107" spans="1:4" x14ac:dyDescent="0.45">
      <c r="A107" t="s">
        <v>240</v>
      </c>
      <c r="B107">
        <v>0.6222434</v>
      </c>
      <c r="C107" s="2">
        <v>123456789</v>
      </c>
      <c r="D107" s="2">
        <v>123456789</v>
      </c>
    </row>
    <row r="108" spans="1:4" x14ac:dyDescent="0.45">
      <c r="A108" t="s">
        <v>241</v>
      </c>
      <c r="B108">
        <v>0.79926339999999996</v>
      </c>
      <c r="C108" s="2">
        <v>123456789</v>
      </c>
      <c r="D108" s="2">
        <v>123456789</v>
      </c>
    </row>
    <row r="109" spans="1:4" x14ac:dyDescent="0.45">
      <c r="A109" t="s">
        <v>242</v>
      </c>
      <c r="B109">
        <v>0.67155770000000004</v>
      </c>
      <c r="C109" s="2">
        <v>123456789</v>
      </c>
      <c r="D109" s="2">
        <v>123456789</v>
      </c>
    </row>
    <row r="110" spans="1:4" x14ac:dyDescent="0.45">
      <c r="A110" t="s">
        <v>243</v>
      </c>
      <c r="B110">
        <v>0.87533329999999998</v>
      </c>
      <c r="C110" s="2">
        <v>123456789</v>
      </c>
      <c r="D110" s="2">
        <v>123456789</v>
      </c>
    </row>
    <row r="111" spans="1:4" x14ac:dyDescent="0.45">
      <c r="A111" t="s">
        <v>244</v>
      </c>
      <c r="B111">
        <v>1.0150779999999999</v>
      </c>
      <c r="C111" s="2">
        <v>123456789</v>
      </c>
      <c r="D111" s="2">
        <v>123456789</v>
      </c>
    </row>
    <row r="112" spans="1:4" x14ac:dyDescent="0.45">
      <c r="A112" t="s">
        <v>245</v>
      </c>
      <c r="B112">
        <v>1.0395589999999999</v>
      </c>
      <c r="C112" s="2">
        <v>123456789</v>
      </c>
      <c r="D112" s="2">
        <v>123456789</v>
      </c>
    </row>
    <row r="113" spans="1:4" x14ac:dyDescent="0.45">
      <c r="A113" t="s">
        <v>246</v>
      </c>
      <c r="B113">
        <v>1.481061</v>
      </c>
      <c r="C113" s="2">
        <v>123456789</v>
      </c>
      <c r="D113" s="2">
        <v>123456789</v>
      </c>
    </row>
    <row r="114" spans="1:4" x14ac:dyDescent="0.45">
      <c r="A114" t="s">
        <v>247</v>
      </c>
      <c r="B114">
        <v>0.83549490000000004</v>
      </c>
      <c r="C114" s="2">
        <v>123456789</v>
      </c>
      <c r="D114" s="2">
        <v>123456789</v>
      </c>
    </row>
    <row r="115" spans="1:4" x14ac:dyDescent="0.45">
      <c r="A115" t="s">
        <v>248</v>
      </c>
      <c r="B115">
        <v>0.85297389999999995</v>
      </c>
      <c r="C115" s="2">
        <v>123456789</v>
      </c>
      <c r="D115" s="2">
        <v>123456789</v>
      </c>
    </row>
    <row r="116" spans="1:4" x14ac:dyDescent="0.45">
      <c r="A116" t="s">
        <v>249</v>
      </c>
      <c r="B116">
        <v>1.813977</v>
      </c>
      <c r="C116" s="2">
        <v>123456789</v>
      </c>
      <c r="D116" s="2">
        <v>123456789</v>
      </c>
    </row>
    <row r="117" spans="1:4" x14ac:dyDescent="0.45">
      <c r="A117" t="s">
        <v>250</v>
      </c>
      <c r="B117">
        <v>1.229266</v>
      </c>
      <c r="C117" s="2">
        <v>123456789</v>
      </c>
      <c r="D117" s="2">
        <v>123456789</v>
      </c>
    </row>
    <row r="118" spans="1:4" x14ac:dyDescent="0.45">
      <c r="A118" t="s">
        <v>251</v>
      </c>
      <c r="B118">
        <v>1.259352</v>
      </c>
      <c r="C118" s="2">
        <v>123456789</v>
      </c>
      <c r="D118" s="2">
        <v>123456789</v>
      </c>
    </row>
    <row r="119" spans="1:4" x14ac:dyDescent="0.45">
      <c r="A119" t="s">
        <v>252</v>
      </c>
      <c r="B119">
        <v>1.1283380000000001</v>
      </c>
      <c r="C119" s="2">
        <v>123456789</v>
      </c>
      <c r="D119" s="2">
        <v>123456789</v>
      </c>
    </row>
    <row r="120" spans="1:4" x14ac:dyDescent="0.45">
      <c r="A120" t="s">
        <v>253</v>
      </c>
      <c r="B120">
        <v>1.0365139999999999</v>
      </c>
      <c r="C120" s="2">
        <v>123456789</v>
      </c>
      <c r="D120" s="2">
        <v>123456789</v>
      </c>
    </row>
    <row r="121" spans="1:4" x14ac:dyDescent="0.45">
      <c r="A121" t="s">
        <v>254</v>
      </c>
      <c r="B121">
        <v>1.0439849999999999</v>
      </c>
      <c r="C121" s="2">
        <v>123456789</v>
      </c>
      <c r="D121" s="2">
        <v>123456789</v>
      </c>
    </row>
    <row r="122" spans="1:4" x14ac:dyDescent="0.45">
      <c r="A122" t="s">
        <v>255</v>
      </c>
      <c r="B122">
        <v>1.524472</v>
      </c>
      <c r="C122" s="2">
        <v>123456789</v>
      </c>
      <c r="D122" s="2">
        <v>123456789</v>
      </c>
    </row>
    <row r="123" spans="1:4" x14ac:dyDescent="0.45">
      <c r="A123" t="s">
        <v>256</v>
      </c>
      <c r="B123">
        <v>1.555207</v>
      </c>
      <c r="C123" s="2">
        <v>123456789</v>
      </c>
      <c r="D123" s="2">
        <v>123456789</v>
      </c>
    </row>
    <row r="124" spans="1:4" x14ac:dyDescent="0.45">
      <c r="A124" t="s">
        <v>257</v>
      </c>
      <c r="B124">
        <v>0.85723879999999997</v>
      </c>
      <c r="C124" s="2">
        <v>123456789</v>
      </c>
      <c r="D124" s="2">
        <v>123456789</v>
      </c>
    </row>
    <row r="125" spans="1:4" x14ac:dyDescent="0.45">
      <c r="A125" t="s">
        <v>258</v>
      </c>
      <c r="B125">
        <v>1.4815100000000001</v>
      </c>
      <c r="C125" s="2">
        <v>123456789</v>
      </c>
      <c r="D125" s="2">
        <v>123456789</v>
      </c>
    </row>
    <row r="126" spans="1:4" x14ac:dyDescent="0.45">
      <c r="A126" t="s">
        <v>259</v>
      </c>
      <c r="B126">
        <v>1.498996</v>
      </c>
      <c r="C126" s="2">
        <v>123456789</v>
      </c>
      <c r="D126" s="2">
        <v>123456789</v>
      </c>
    </row>
    <row r="127" spans="1:4" x14ac:dyDescent="0.45">
      <c r="A127" t="s">
        <v>260</v>
      </c>
      <c r="B127">
        <v>1.335599</v>
      </c>
      <c r="C127" s="2">
        <v>123456789</v>
      </c>
      <c r="D127" s="2">
        <v>123456789</v>
      </c>
    </row>
    <row r="128" spans="1:4" x14ac:dyDescent="0.45">
      <c r="A128" t="s">
        <v>261</v>
      </c>
      <c r="B128">
        <v>1.3643670000000001</v>
      </c>
      <c r="C128" s="2">
        <v>123456789</v>
      </c>
      <c r="D128" s="2">
        <v>123456789</v>
      </c>
    </row>
    <row r="129" spans="1:4" x14ac:dyDescent="0.45">
      <c r="A129" t="s">
        <v>262</v>
      </c>
      <c r="B129">
        <v>1.0437179999999999</v>
      </c>
      <c r="C129" s="2">
        <v>123456789</v>
      </c>
      <c r="D129" s="2">
        <v>123456789</v>
      </c>
    </row>
    <row r="130" spans="1:4" x14ac:dyDescent="0.45">
      <c r="A130" t="s">
        <v>263</v>
      </c>
      <c r="B130">
        <v>1.036422</v>
      </c>
      <c r="C130" s="2">
        <v>123456789</v>
      </c>
      <c r="D130" s="2">
        <v>123456789</v>
      </c>
    </row>
    <row r="131" spans="1:4" x14ac:dyDescent="0.45">
      <c r="A131" t="s">
        <v>264</v>
      </c>
      <c r="B131">
        <v>1.238364</v>
      </c>
      <c r="C131" s="2">
        <v>123456789</v>
      </c>
      <c r="D131" s="2">
        <v>123456789</v>
      </c>
    </row>
    <row r="132" spans="1:4" x14ac:dyDescent="0.45">
      <c r="A132" t="s">
        <v>265</v>
      </c>
      <c r="B132">
        <v>2.2062689999999998</v>
      </c>
      <c r="C132" s="2">
        <v>123456789</v>
      </c>
      <c r="D132" s="2">
        <v>123456789</v>
      </c>
    </row>
    <row r="133" spans="1:4" x14ac:dyDescent="0.45">
      <c r="A133" t="s">
        <v>266</v>
      </c>
      <c r="B133">
        <v>1.6901820000000001</v>
      </c>
      <c r="C133" s="2">
        <v>123456789</v>
      </c>
      <c r="D133" s="2">
        <v>123456789</v>
      </c>
    </row>
    <row r="134" spans="1:4" x14ac:dyDescent="0.45">
      <c r="A134" t="s">
        <v>267</v>
      </c>
      <c r="B134">
        <v>1.48292</v>
      </c>
      <c r="C134" s="2">
        <v>123456789</v>
      </c>
      <c r="D134" s="2">
        <v>123456789</v>
      </c>
    </row>
    <row r="135" spans="1:4" x14ac:dyDescent="0.45">
      <c r="A135" t="s">
        <v>268</v>
      </c>
      <c r="B135">
        <v>1.044211</v>
      </c>
      <c r="C135" s="2">
        <v>123456789</v>
      </c>
      <c r="D135" s="2">
        <v>123456789</v>
      </c>
    </row>
    <row r="136" spans="1:4" x14ac:dyDescent="0.45">
      <c r="A136" t="s">
        <v>269</v>
      </c>
      <c r="B136">
        <v>0.86577000000000004</v>
      </c>
      <c r="C136" s="2">
        <v>123456789</v>
      </c>
      <c r="D136" s="2">
        <v>123456789</v>
      </c>
    </row>
    <row r="137" spans="1:4" x14ac:dyDescent="0.45">
      <c r="A137" t="s">
        <v>270</v>
      </c>
      <c r="B137">
        <v>0.68296100000000004</v>
      </c>
      <c r="C137" s="2">
        <v>123456789</v>
      </c>
      <c r="D137" s="2">
        <v>123456789</v>
      </c>
    </row>
    <row r="138" spans="1:4" x14ac:dyDescent="0.45">
      <c r="A138" t="s">
        <v>271</v>
      </c>
      <c r="B138">
        <v>0.74660579999999999</v>
      </c>
      <c r="C138" s="2">
        <v>123456789</v>
      </c>
      <c r="D138" s="2">
        <v>123456789</v>
      </c>
    </row>
    <row r="139" spans="1:4" x14ac:dyDescent="0.45">
      <c r="A139" t="s">
        <v>272</v>
      </c>
      <c r="B139">
        <v>0.68188669999999996</v>
      </c>
      <c r="C139" s="2">
        <v>123456789</v>
      </c>
      <c r="D139" s="2">
        <v>123456789</v>
      </c>
    </row>
    <row r="140" spans="1:4" x14ac:dyDescent="0.45">
      <c r="A140" t="s">
        <v>273</v>
      </c>
      <c r="B140">
        <v>0.67005870000000001</v>
      </c>
      <c r="C140" s="2">
        <v>123456789</v>
      </c>
      <c r="D140" s="2">
        <v>123456789</v>
      </c>
    </row>
    <row r="141" spans="1:4" x14ac:dyDescent="0.45">
      <c r="A141" t="s">
        <v>274</v>
      </c>
      <c r="B141">
        <v>0.64519950000000004</v>
      </c>
      <c r="C141" s="2">
        <v>123456789</v>
      </c>
      <c r="D141" s="2">
        <v>123456789</v>
      </c>
    </row>
    <row r="142" spans="1:4" x14ac:dyDescent="0.45">
      <c r="A142" t="s">
        <v>275</v>
      </c>
      <c r="B142">
        <v>0.63071219999999995</v>
      </c>
      <c r="C142" s="2">
        <v>123456789</v>
      </c>
      <c r="D142" s="2">
        <v>123456789</v>
      </c>
    </row>
    <row r="143" spans="1:4" x14ac:dyDescent="0.45">
      <c r="A143" t="s">
        <v>276</v>
      </c>
      <c r="B143">
        <v>0.70994809999999997</v>
      </c>
      <c r="C143" s="2">
        <v>123456789</v>
      </c>
      <c r="D143" s="2">
        <v>123456789</v>
      </c>
    </row>
    <row r="144" spans="1:4" x14ac:dyDescent="0.45">
      <c r="A144" t="s">
        <v>277</v>
      </c>
      <c r="B144">
        <v>0.55349590000000004</v>
      </c>
      <c r="C144" s="2">
        <v>123456789</v>
      </c>
      <c r="D144" s="2">
        <v>123456789</v>
      </c>
    </row>
    <row r="145" spans="1:4" x14ac:dyDescent="0.45">
      <c r="A145" t="s">
        <v>278</v>
      </c>
      <c r="B145">
        <v>0.6598157</v>
      </c>
      <c r="C145" s="2">
        <v>123456789</v>
      </c>
      <c r="D145" s="2">
        <v>123456789</v>
      </c>
    </row>
    <row r="146" spans="1:4" x14ac:dyDescent="0.45">
      <c r="A146" t="s">
        <v>279</v>
      </c>
      <c r="B146">
        <v>0.57930309999999996</v>
      </c>
      <c r="C146" s="2">
        <v>123456789</v>
      </c>
      <c r="D146" s="2">
        <v>123456789</v>
      </c>
    </row>
    <row r="147" spans="1:4" x14ac:dyDescent="0.45">
      <c r="A147" t="s">
        <v>280</v>
      </c>
      <c r="B147">
        <v>0.79584060000000001</v>
      </c>
      <c r="C147" s="2">
        <v>123456789</v>
      </c>
      <c r="D147" s="2">
        <v>123456789</v>
      </c>
    </row>
    <row r="148" spans="1:4" x14ac:dyDescent="0.45">
      <c r="A148" t="s">
        <v>281</v>
      </c>
      <c r="B148">
        <v>0.61152830000000002</v>
      </c>
      <c r="C148" s="2">
        <v>123456789</v>
      </c>
      <c r="D148" s="2">
        <v>123456789</v>
      </c>
    </row>
    <row r="149" spans="1:4" x14ac:dyDescent="0.45">
      <c r="A149" t="s">
        <v>282</v>
      </c>
      <c r="B149">
        <v>0.45825050000000001</v>
      </c>
      <c r="C149" s="2">
        <v>123456789</v>
      </c>
      <c r="D149" s="2">
        <v>123456789</v>
      </c>
    </row>
    <row r="150" spans="1:4" x14ac:dyDescent="0.45">
      <c r="A150" t="s">
        <v>283</v>
      </c>
      <c r="B150">
        <v>0.74109409999999998</v>
      </c>
      <c r="C150" s="2">
        <v>123456789</v>
      </c>
      <c r="D150" s="2">
        <v>123456789</v>
      </c>
    </row>
    <row r="151" spans="1:4" x14ac:dyDescent="0.45">
      <c r="A151" t="s">
        <v>284</v>
      </c>
      <c r="B151">
        <v>0.64952670000000001</v>
      </c>
      <c r="C151" s="2">
        <v>123456789</v>
      </c>
      <c r="D151" s="2">
        <v>123456789</v>
      </c>
    </row>
    <row r="152" spans="1:4" x14ac:dyDescent="0.45">
      <c r="A152" t="s">
        <v>285</v>
      </c>
      <c r="B152">
        <v>1.213333</v>
      </c>
      <c r="C152" s="2">
        <v>123456789</v>
      </c>
      <c r="D152" s="2">
        <v>123456789</v>
      </c>
    </row>
    <row r="153" spans="1:4" x14ac:dyDescent="0.45">
      <c r="A153" t="s">
        <v>286</v>
      </c>
      <c r="B153">
        <v>1.2182789999999999</v>
      </c>
      <c r="C153" s="2">
        <v>123456789</v>
      </c>
      <c r="D153" s="2">
        <v>123456789</v>
      </c>
    </row>
    <row r="154" spans="1:4" x14ac:dyDescent="0.45">
      <c r="A154" t="s">
        <v>287</v>
      </c>
      <c r="B154">
        <v>1.4921439999999999</v>
      </c>
      <c r="C154" s="2">
        <v>123456789</v>
      </c>
      <c r="D154" s="2">
        <v>123456789</v>
      </c>
    </row>
    <row r="155" spans="1:4" x14ac:dyDescent="0.45">
      <c r="A155" t="s">
        <v>288</v>
      </c>
      <c r="B155">
        <v>1.1150139999999999</v>
      </c>
      <c r="C155" s="2">
        <v>123456789</v>
      </c>
      <c r="D155" s="2">
        <v>123456789</v>
      </c>
    </row>
    <row r="156" spans="1:4" x14ac:dyDescent="0.45">
      <c r="A156" t="s">
        <v>289</v>
      </c>
      <c r="B156">
        <v>2.204828</v>
      </c>
      <c r="C156" s="2">
        <v>123456789</v>
      </c>
      <c r="D156" s="2">
        <v>123456789</v>
      </c>
    </row>
    <row r="157" spans="1:4" x14ac:dyDescent="0.45">
      <c r="A157" t="s">
        <v>290</v>
      </c>
      <c r="B157">
        <v>4.1849379999999998</v>
      </c>
      <c r="C157" s="2">
        <v>123456789</v>
      </c>
      <c r="D157" s="2">
        <v>123456789</v>
      </c>
    </row>
    <row r="158" spans="1:4" x14ac:dyDescent="0.45">
      <c r="A158" t="s">
        <v>291</v>
      </c>
      <c r="B158">
        <v>2.5860150000000002</v>
      </c>
      <c r="C158" s="2">
        <v>123456789</v>
      </c>
      <c r="D158" s="2">
        <v>123456789</v>
      </c>
    </row>
    <row r="159" spans="1:4" x14ac:dyDescent="0.45">
      <c r="A159" t="s">
        <v>292</v>
      </c>
      <c r="B159">
        <v>1.6325229999999999</v>
      </c>
      <c r="C159" s="2">
        <v>123456789</v>
      </c>
      <c r="D159" s="2">
        <v>123456789</v>
      </c>
    </row>
    <row r="160" spans="1:4" x14ac:dyDescent="0.45">
      <c r="A160" t="s">
        <v>293</v>
      </c>
      <c r="B160">
        <v>1.0777140000000001</v>
      </c>
      <c r="C160" s="2">
        <v>123456789</v>
      </c>
      <c r="D160" s="2">
        <v>123456789</v>
      </c>
    </row>
    <row r="161" spans="1:4" x14ac:dyDescent="0.45">
      <c r="A161" t="s">
        <v>294</v>
      </c>
      <c r="B161">
        <v>1.0215479999999999</v>
      </c>
      <c r="C161" s="2">
        <v>123456789</v>
      </c>
      <c r="D161" s="2">
        <v>123456789</v>
      </c>
    </row>
    <row r="162" spans="1:4" x14ac:dyDescent="0.45">
      <c r="A162" t="s">
        <v>295</v>
      </c>
      <c r="B162">
        <v>0.88721559999999999</v>
      </c>
      <c r="C162" s="2">
        <v>123456789</v>
      </c>
      <c r="D162" s="2">
        <v>123456789</v>
      </c>
    </row>
    <row r="163" spans="1:4" x14ac:dyDescent="0.45">
      <c r="A163" t="s">
        <v>296</v>
      </c>
      <c r="B163">
        <v>1.544975</v>
      </c>
      <c r="C163" s="2">
        <v>123456789</v>
      </c>
      <c r="D163" s="2">
        <v>123456789</v>
      </c>
    </row>
    <row r="164" spans="1:4" x14ac:dyDescent="0.45">
      <c r="A164" t="s">
        <v>297</v>
      </c>
      <c r="B164">
        <v>1.124571</v>
      </c>
      <c r="C164" s="2">
        <v>123456789</v>
      </c>
      <c r="D164" s="2">
        <v>123456789</v>
      </c>
    </row>
    <row r="165" spans="1:4" x14ac:dyDescent="0.45">
      <c r="A165" t="s">
        <v>298</v>
      </c>
      <c r="B165">
        <v>0.73396830000000002</v>
      </c>
      <c r="C165" s="2">
        <v>123456789</v>
      </c>
      <c r="D165" s="2">
        <v>123456789</v>
      </c>
    </row>
    <row r="166" spans="1:4" x14ac:dyDescent="0.45">
      <c r="A166" t="s">
        <v>299</v>
      </c>
      <c r="B166">
        <v>0.81927079999999997</v>
      </c>
      <c r="C166" s="2">
        <v>123456789</v>
      </c>
      <c r="D166" s="2">
        <v>123456789</v>
      </c>
    </row>
    <row r="167" spans="1:4" x14ac:dyDescent="0.45">
      <c r="A167" t="s">
        <v>300</v>
      </c>
      <c r="B167">
        <v>0.7771614</v>
      </c>
      <c r="C167" s="2">
        <v>123456789</v>
      </c>
      <c r="D167" s="2">
        <v>123456789</v>
      </c>
    </row>
    <row r="168" spans="1:4" x14ac:dyDescent="0.45">
      <c r="A168" t="s">
        <v>301</v>
      </c>
      <c r="B168">
        <v>2.0632299999999999</v>
      </c>
      <c r="C168" s="2">
        <v>123456789</v>
      </c>
      <c r="D168" s="2">
        <v>123456789</v>
      </c>
    </row>
    <row r="169" spans="1:4" x14ac:dyDescent="0.45">
      <c r="A169" t="s">
        <v>302</v>
      </c>
      <c r="B169">
        <v>1.660393</v>
      </c>
      <c r="C169" s="2">
        <v>123456789</v>
      </c>
      <c r="D169" s="2">
        <v>123456789</v>
      </c>
    </row>
    <row r="170" spans="1:4" x14ac:dyDescent="0.45">
      <c r="A170" t="s">
        <v>303</v>
      </c>
      <c r="B170">
        <v>0.58963810000000005</v>
      </c>
      <c r="C170" s="2">
        <v>123456789</v>
      </c>
      <c r="D170" s="2">
        <v>123456789</v>
      </c>
    </row>
    <row r="171" spans="1:4" x14ac:dyDescent="0.45">
      <c r="A171" t="s">
        <v>304</v>
      </c>
      <c r="B171">
        <v>1.0113810000000001</v>
      </c>
      <c r="C171" s="2">
        <v>123456789</v>
      </c>
      <c r="D171" s="2">
        <v>123456789</v>
      </c>
    </row>
    <row r="172" spans="1:4" x14ac:dyDescent="0.45">
      <c r="A172" t="s">
        <v>305</v>
      </c>
      <c r="B172">
        <v>0.71521460000000003</v>
      </c>
      <c r="C172" s="2">
        <v>123456789</v>
      </c>
      <c r="D172" s="2">
        <v>123456789</v>
      </c>
    </row>
    <row r="173" spans="1:4" x14ac:dyDescent="0.45">
      <c r="A173" t="s">
        <v>306</v>
      </c>
      <c r="B173">
        <v>0.77090139999999996</v>
      </c>
      <c r="C173" s="2">
        <v>123456789</v>
      </c>
      <c r="D173" s="2">
        <v>123456789</v>
      </c>
    </row>
    <row r="174" spans="1:4" x14ac:dyDescent="0.45">
      <c r="A174" t="s">
        <v>307</v>
      </c>
      <c r="B174">
        <v>0.62835850000000004</v>
      </c>
      <c r="C174" s="2">
        <v>123456789</v>
      </c>
      <c r="D174" s="2">
        <v>123456789</v>
      </c>
    </row>
    <row r="175" spans="1:4" x14ac:dyDescent="0.45">
      <c r="A175" t="s">
        <v>308</v>
      </c>
      <c r="B175">
        <v>0.87818189999999996</v>
      </c>
      <c r="C175" s="2">
        <v>123456789</v>
      </c>
      <c r="D175" s="2">
        <v>123456789</v>
      </c>
    </row>
    <row r="176" spans="1:4" x14ac:dyDescent="0.45">
      <c r="A176" t="s">
        <v>309</v>
      </c>
      <c r="B176">
        <v>0.56042320000000001</v>
      </c>
      <c r="C176" s="2">
        <v>123456789</v>
      </c>
      <c r="D176" s="2">
        <v>123456789</v>
      </c>
    </row>
    <row r="177" spans="1:4" x14ac:dyDescent="0.45">
      <c r="A177" t="s">
        <v>310</v>
      </c>
      <c r="B177">
        <v>0.64315020000000001</v>
      </c>
      <c r="C177" s="2">
        <v>123456789</v>
      </c>
      <c r="D177" s="2">
        <v>123456789</v>
      </c>
    </row>
    <row r="178" spans="1:4" x14ac:dyDescent="0.45">
      <c r="A178" t="s">
        <v>311</v>
      </c>
      <c r="B178">
        <v>0.73709550000000001</v>
      </c>
      <c r="C178" s="2">
        <v>123456789</v>
      </c>
      <c r="D178" s="2">
        <v>123456789</v>
      </c>
    </row>
    <row r="179" spans="1:4" x14ac:dyDescent="0.45">
      <c r="A179" t="s">
        <v>312</v>
      </c>
      <c r="B179">
        <v>0.58174669999999995</v>
      </c>
      <c r="C179" s="2">
        <v>123456789</v>
      </c>
      <c r="D179" s="2">
        <v>123456789</v>
      </c>
    </row>
    <row r="180" spans="1:4" x14ac:dyDescent="0.45">
      <c r="A180" t="s">
        <v>313</v>
      </c>
      <c r="B180">
        <v>0.58382710000000004</v>
      </c>
      <c r="C180" s="2">
        <v>123456789</v>
      </c>
      <c r="D180" s="2">
        <v>123456789</v>
      </c>
    </row>
    <row r="181" spans="1:4" x14ac:dyDescent="0.45">
      <c r="A181" t="s">
        <v>314</v>
      </c>
      <c r="B181">
        <v>0.88192990000000004</v>
      </c>
      <c r="C181" s="2">
        <v>123456789</v>
      </c>
      <c r="D181" s="2">
        <v>123456789</v>
      </c>
    </row>
    <row r="182" spans="1:4" x14ac:dyDescent="0.45">
      <c r="A182" t="s">
        <v>315</v>
      </c>
      <c r="B182">
        <v>0.86921190000000004</v>
      </c>
      <c r="C182" s="2">
        <v>123456789</v>
      </c>
      <c r="D182" s="2">
        <v>123456789</v>
      </c>
    </row>
    <row r="183" spans="1:4" x14ac:dyDescent="0.45">
      <c r="A183" t="s">
        <v>316</v>
      </c>
      <c r="B183">
        <v>0.62668250000000003</v>
      </c>
      <c r="C183" s="2">
        <v>123456789</v>
      </c>
      <c r="D183" s="2">
        <v>123456789</v>
      </c>
    </row>
    <row r="184" spans="1:4" x14ac:dyDescent="0.45">
      <c r="A184" t="s">
        <v>317</v>
      </c>
      <c r="B184">
        <v>1.3005070000000001</v>
      </c>
      <c r="C184" s="2">
        <v>123456789</v>
      </c>
      <c r="D184" s="2">
        <v>123456789</v>
      </c>
    </row>
    <row r="185" spans="1:4" x14ac:dyDescent="0.45">
      <c r="A185" t="s">
        <v>318</v>
      </c>
      <c r="B185">
        <v>0.92082770000000003</v>
      </c>
      <c r="C185" s="2">
        <v>123456789</v>
      </c>
      <c r="D185" s="2">
        <v>123456789</v>
      </c>
    </row>
    <row r="186" spans="1:4" x14ac:dyDescent="0.45">
      <c r="A186" t="s">
        <v>319</v>
      </c>
      <c r="B186">
        <v>1.130188</v>
      </c>
      <c r="C186" s="2">
        <v>123456789</v>
      </c>
      <c r="D186" s="2">
        <v>123456789</v>
      </c>
    </row>
    <row r="187" spans="1:4" x14ac:dyDescent="0.45">
      <c r="A187" t="s">
        <v>320</v>
      </c>
      <c r="B187">
        <v>0.85429509999999997</v>
      </c>
      <c r="C187" s="2">
        <v>123456789</v>
      </c>
      <c r="D187" s="2">
        <v>123456789</v>
      </c>
    </row>
    <row r="188" spans="1:4" x14ac:dyDescent="0.45">
      <c r="A188" t="s">
        <v>321</v>
      </c>
      <c r="B188">
        <v>0.60924639999999997</v>
      </c>
      <c r="C188" s="2">
        <v>123456789</v>
      </c>
      <c r="D188" s="2">
        <v>123456789</v>
      </c>
    </row>
    <row r="189" spans="1:4" x14ac:dyDescent="0.45">
      <c r="A189" t="s">
        <v>322</v>
      </c>
      <c r="B189">
        <v>0.53293939999999995</v>
      </c>
      <c r="C189" s="2">
        <v>123456789</v>
      </c>
      <c r="D189" s="2">
        <v>123456789</v>
      </c>
    </row>
    <row r="190" spans="1:4" x14ac:dyDescent="0.45">
      <c r="A190" t="s">
        <v>323</v>
      </c>
      <c r="B190">
        <v>0.41254079999999999</v>
      </c>
      <c r="C190" s="2">
        <v>123456789</v>
      </c>
      <c r="D190" s="2">
        <v>123456789</v>
      </c>
    </row>
    <row r="191" spans="1:4" x14ac:dyDescent="0.45">
      <c r="A191" t="s">
        <v>324</v>
      </c>
      <c r="B191">
        <v>0.45599790000000001</v>
      </c>
      <c r="C191" s="2">
        <v>123456789</v>
      </c>
      <c r="D191" s="2">
        <v>123456789</v>
      </c>
    </row>
    <row r="192" spans="1:4" x14ac:dyDescent="0.45">
      <c r="A192" t="s">
        <v>325</v>
      </c>
      <c r="B192">
        <v>0.44114639999999999</v>
      </c>
      <c r="C192" s="2">
        <v>123456789</v>
      </c>
      <c r="D192" s="2">
        <v>123456789</v>
      </c>
    </row>
    <row r="193" spans="1:4" x14ac:dyDescent="0.45">
      <c r="A193" t="s">
        <v>326</v>
      </c>
      <c r="B193">
        <v>0.34517379999999998</v>
      </c>
      <c r="C193" s="2">
        <v>123456789</v>
      </c>
      <c r="D193" s="2">
        <v>123456789</v>
      </c>
    </row>
    <row r="194" spans="1:4" x14ac:dyDescent="0.45">
      <c r="A194" t="s">
        <v>327</v>
      </c>
      <c r="B194">
        <v>1.210745</v>
      </c>
      <c r="C194" s="2">
        <v>123456789</v>
      </c>
      <c r="D194" s="2">
        <v>123456789</v>
      </c>
    </row>
    <row r="195" spans="1:4" x14ac:dyDescent="0.45">
      <c r="A195" t="s">
        <v>328</v>
      </c>
      <c r="B195">
        <v>0.77998129999999999</v>
      </c>
      <c r="C195" s="2">
        <v>123456789</v>
      </c>
      <c r="D195" s="2">
        <v>123456789</v>
      </c>
    </row>
    <row r="196" spans="1:4" x14ac:dyDescent="0.45">
      <c r="A196" t="s">
        <v>329</v>
      </c>
      <c r="B196">
        <v>0.44722030000000002</v>
      </c>
      <c r="C196" s="2">
        <v>123456789</v>
      </c>
      <c r="D196" s="2">
        <v>123456789</v>
      </c>
    </row>
    <row r="197" spans="1:4" x14ac:dyDescent="0.45">
      <c r="A197" t="s">
        <v>330</v>
      </c>
      <c r="B197">
        <v>1.462183</v>
      </c>
      <c r="C197" s="2">
        <v>123456789</v>
      </c>
      <c r="D197" s="2">
        <v>123456789</v>
      </c>
    </row>
    <row r="198" spans="1:4" x14ac:dyDescent="0.45">
      <c r="A198" t="s">
        <v>331</v>
      </c>
      <c r="B198">
        <v>0.83630559999999998</v>
      </c>
      <c r="C198" s="2">
        <v>123456789</v>
      </c>
      <c r="D198" s="2">
        <v>123456789</v>
      </c>
    </row>
    <row r="199" spans="1:4" x14ac:dyDescent="0.45">
      <c r="A199" t="s">
        <v>332</v>
      </c>
      <c r="B199">
        <v>0.7123583</v>
      </c>
      <c r="C199" s="2">
        <v>123456789</v>
      </c>
      <c r="D199" s="2">
        <v>123456789</v>
      </c>
    </row>
    <row r="200" spans="1:4" x14ac:dyDescent="0.45">
      <c r="A200" t="s">
        <v>333</v>
      </c>
      <c r="B200">
        <v>0.91997050000000002</v>
      </c>
      <c r="C200" s="2">
        <v>123456789</v>
      </c>
      <c r="D200" s="2">
        <v>123456789</v>
      </c>
    </row>
    <row r="201" spans="1:4" x14ac:dyDescent="0.45">
      <c r="A201" t="s">
        <v>334</v>
      </c>
      <c r="B201">
        <v>0.58369210000000005</v>
      </c>
      <c r="C201" s="2">
        <v>123456789</v>
      </c>
      <c r="D201" s="2">
        <v>123456789</v>
      </c>
    </row>
    <row r="202" spans="1:4" x14ac:dyDescent="0.45">
      <c r="A202" t="s">
        <v>335</v>
      </c>
      <c r="B202">
        <v>3.5029699999999999</v>
      </c>
      <c r="C202" s="2">
        <v>123456789</v>
      </c>
      <c r="D202" s="2">
        <v>123456789</v>
      </c>
    </row>
    <row r="203" spans="1:4" x14ac:dyDescent="0.45">
      <c r="A203" t="s">
        <v>336</v>
      </c>
      <c r="B203">
        <v>1.976623</v>
      </c>
      <c r="C203" s="2">
        <v>123456789</v>
      </c>
      <c r="D203" s="2">
        <v>123456789</v>
      </c>
    </row>
    <row r="204" spans="1:4" x14ac:dyDescent="0.45">
      <c r="A204" t="s">
        <v>337</v>
      </c>
      <c r="B204">
        <v>1.0487610000000001</v>
      </c>
      <c r="C204" s="2">
        <v>123456789</v>
      </c>
      <c r="D204" s="2">
        <v>123456789</v>
      </c>
    </row>
    <row r="205" spans="1:4" x14ac:dyDescent="0.45">
      <c r="A205" t="s">
        <v>338</v>
      </c>
      <c r="B205">
        <v>1.010297</v>
      </c>
      <c r="C205" s="2">
        <v>123456789</v>
      </c>
      <c r="D205" s="2">
        <v>123456789</v>
      </c>
    </row>
    <row r="206" spans="1:4" x14ac:dyDescent="0.45">
      <c r="A206" t="s">
        <v>339</v>
      </c>
      <c r="B206">
        <v>0.97568719999999998</v>
      </c>
      <c r="C206" s="2">
        <v>123456789</v>
      </c>
      <c r="D206" s="2">
        <v>123456789</v>
      </c>
    </row>
    <row r="207" spans="1:4" x14ac:dyDescent="0.45">
      <c r="A207" t="s">
        <v>340</v>
      </c>
      <c r="B207">
        <v>0.69196120000000005</v>
      </c>
      <c r="C207" s="2">
        <v>123456789</v>
      </c>
      <c r="D207" s="2">
        <v>123456789</v>
      </c>
    </row>
    <row r="208" spans="1:4" x14ac:dyDescent="0.45">
      <c r="A208" t="s">
        <v>341</v>
      </c>
      <c r="B208">
        <v>0.69274210000000003</v>
      </c>
      <c r="C208" s="2">
        <v>123456789</v>
      </c>
      <c r="D208" s="2">
        <v>123456789</v>
      </c>
    </row>
    <row r="209" spans="1:4" x14ac:dyDescent="0.45">
      <c r="A209" t="s">
        <v>342</v>
      </c>
      <c r="B209">
        <v>0.86231840000000004</v>
      </c>
      <c r="C209" s="2">
        <v>123456789</v>
      </c>
      <c r="D209" s="2">
        <v>123456789</v>
      </c>
    </row>
    <row r="210" spans="1:4" x14ac:dyDescent="0.45">
      <c r="A210" t="s">
        <v>343</v>
      </c>
      <c r="B210">
        <v>1.331629</v>
      </c>
      <c r="C210" s="2">
        <v>123456789</v>
      </c>
      <c r="D210" s="2">
        <v>123456789</v>
      </c>
    </row>
    <row r="211" spans="1:4" x14ac:dyDescent="0.45">
      <c r="A211" t="s">
        <v>344</v>
      </c>
      <c r="B211">
        <v>1.743169</v>
      </c>
      <c r="C211" s="2">
        <v>123456789</v>
      </c>
      <c r="D211" s="2">
        <v>123456789</v>
      </c>
    </row>
    <row r="212" spans="1:4" x14ac:dyDescent="0.45">
      <c r="A212" t="s">
        <v>345</v>
      </c>
      <c r="B212">
        <v>1.3263469999999999</v>
      </c>
      <c r="C212" s="2">
        <v>123456789</v>
      </c>
      <c r="D212" s="2">
        <v>123456789</v>
      </c>
    </row>
    <row r="213" spans="1:4" x14ac:dyDescent="0.45">
      <c r="A213" t="s">
        <v>346</v>
      </c>
      <c r="B213">
        <v>1.5541769999999999</v>
      </c>
      <c r="C213" s="2">
        <v>123456789</v>
      </c>
      <c r="D213" s="2">
        <v>123456789</v>
      </c>
    </row>
    <row r="214" spans="1:4" x14ac:dyDescent="0.45">
      <c r="A214" t="s">
        <v>347</v>
      </c>
      <c r="B214">
        <v>1.0336479999999999</v>
      </c>
      <c r="C214" s="2">
        <v>123456789</v>
      </c>
      <c r="D214" s="2">
        <v>123456789</v>
      </c>
    </row>
    <row r="215" spans="1:4" x14ac:dyDescent="0.45">
      <c r="A215" t="s">
        <v>348</v>
      </c>
      <c r="B215">
        <v>0.72994119999999996</v>
      </c>
      <c r="C215" s="2">
        <v>123456789</v>
      </c>
      <c r="D215" s="2">
        <v>123456789</v>
      </c>
    </row>
    <row r="216" spans="1:4" x14ac:dyDescent="0.45">
      <c r="A216" t="s">
        <v>349</v>
      </c>
      <c r="B216">
        <v>0.67048719999999995</v>
      </c>
      <c r="C216" s="2">
        <v>123456789</v>
      </c>
      <c r="D216" s="2">
        <v>123456789</v>
      </c>
    </row>
    <row r="217" spans="1:4" x14ac:dyDescent="0.45">
      <c r="A217" t="s">
        <v>350</v>
      </c>
      <c r="B217">
        <v>0.75371250000000001</v>
      </c>
      <c r="C217" s="2">
        <v>123456789</v>
      </c>
      <c r="D217" s="2">
        <v>123456789</v>
      </c>
    </row>
    <row r="218" spans="1:4" x14ac:dyDescent="0.45">
      <c r="A218" t="s">
        <v>351</v>
      </c>
      <c r="B218">
        <v>0.66939029999999999</v>
      </c>
      <c r="C218" s="2">
        <v>123456789</v>
      </c>
      <c r="D218" s="2">
        <v>123456789</v>
      </c>
    </row>
    <row r="219" spans="1:4" x14ac:dyDescent="0.45">
      <c r="A219" t="s">
        <v>352</v>
      </c>
      <c r="B219">
        <v>0.65165989999999996</v>
      </c>
      <c r="C219" s="2">
        <v>123456789</v>
      </c>
      <c r="D219" s="2">
        <v>123456789</v>
      </c>
    </row>
    <row r="220" spans="1:4" x14ac:dyDescent="0.45">
      <c r="A220" t="s">
        <v>353</v>
      </c>
      <c r="B220">
        <v>0.98828170000000004</v>
      </c>
      <c r="C220" s="2">
        <v>123456789</v>
      </c>
      <c r="D220" s="2">
        <v>123456789</v>
      </c>
    </row>
    <row r="221" spans="1:4" x14ac:dyDescent="0.45">
      <c r="A221" t="s">
        <v>354</v>
      </c>
      <c r="B221">
        <v>0.65860929999999995</v>
      </c>
      <c r="C221" s="2">
        <v>123456789</v>
      </c>
      <c r="D221" s="2">
        <v>123456789</v>
      </c>
    </row>
    <row r="222" spans="1:4" x14ac:dyDescent="0.45">
      <c r="A222" s="4" t="s">
        <v>355</v>
      </c>
      <c r="B222" s="4">
        <v>0.65860929999999995</v>
      </c>
      <c r="C222" s="2">
        <v>123456789</v>
      </c>
      <c r="D222" s="2">
        <v>123456789</v>
      </c>
    </row>
    <row r="223" spans="1:4" x14ac:dyDescent="0.45">
      <c r="A223" s="4" t="s">
        <v>356</v>
      </c>
      <c r="B223" s="4">
        <v>0.65860929999999995</v>
      </c>
      <c r="C223" s="2">
        <v>123456789</v>
      </c>
      <c r="D223" s="2">
        <v>123456789</v>
      </c>
    </row>
    <row r="224" spans="1:4" x14ac:dyDescent="0.45">
      <c r="A224" s="4" t="s">
        <v>357</v>
      </c>
      <c r="B224" s="4">
        <v>0.65860929999999995</v>
      </c>
      <c r="C224" s="2">
        <v>123456789</v>
      </c>
      <c r="D224" s="2">
        <v>123456789</v>
      </c>
    </row>
    <row r="225" spans="1:4" x14ac:dyDescent="0.45">
      <c r="A225" s="4" t="s">
        <v>438</v>
      </c>
      <c r="B225" s="4">
        <v>0.65860929999999995</v>
      </c>
      <c r="C225" s="2">
        <v>123456789</v>
      </c>
      <c r="D225" s="2">
        <v>123456789</v>
      </c>
    </row>
    <row r="226" spans="1:4" x14ac:dyDescent="0.45">
      <c r="A226" s="4" t="s">
        <v>441</v>
      </c>
      <c r="B226" s="4">
        <v>0.65860929999999995</v>
      </c>
      <c r="C226" s="2">
        <v>123456789</v>
      </c>
      <c r="D226" s="2">
        <v>123456789</v>
      </c>
    </row>
  </sheetData>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9EC52-ED6B-4A5A-A276-F591327F1BA7}">
  <sheetPr>
    <tabColor theme="9" tint="0.79998168889431442"/>
  </sheetPr>
  <dimension ref="A1:D226"/>
  <sheetViews>
    <sheetView topLeftCell="A209" workbookViewId="0">
      <selection activeCell="F227" sqref="F227"/>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v>-24.8</v>
      </c>
      <c r="C76" s="2">
        <v>123456789</v>
      </c>
      <c r="D76" s="2">
        <v>123456789</v>
      </c>
    </row>
    <row r="77" spans="1:4" x14ac:dyDescent="0.45">
      <c r="A77" t="s">
        <v>210</v>
      </c>
      <c r="B77">
        <v>-24</v>
      </c>
      <c r="C77" s="2">
        <v>123456789</v>
      </c>
      <c r="D77" s="2">
        <v>123456789</v>
      </c>
    </row>
    <row r="78" spans="1:4" x14ac:dyDescent="0.45">
      <c r="A78" t="s">
        <v>211</v>
      </c>
      <c r="B78">
        <v>11.8</v>
      </c>
      <c r="C78" s="2">
        <v>123456789</v>
      </c>
      <c r="D78" s="2">
        <v>123456789</v>
      </c>
    </row>
    <row r="79" spans="1:4" x14ac:dyDescent="0.45">
      <c r="A79" t="s">
        <v>212</v>
      </c>
      <c r="B79">
        <v>16.899999999999999</v>
      </c>
      <c r="C79" s="2">
        <v>123456789</v>
      </c>
      <c r="D79" s="2">
        <v>123456789</v>
      </c>
    </row>
    <row r="80" spans="1:4" x14ac:dyDescent="0.45">
      <c r="A80" t="s">
        <v>213</v>
      </c>
      <c r="B80">
        <v>21.4</v>
      </c>
      <c r="C80" s="2">
        <v>123456789</v>
      </c>
      <c r="D80" s="2">
        <v>123456789</v>
      </c>
    </row>
    <row r="81" spans="1:4" x14ac:dyDescent="0.45">
      <c r="A81" t="s">
        <v>214</v>
      </c>
      <c r="B81">
        <v>41.1</v>
      </c>
      <c r="C81" s="2">
        <v>123456789</v>
      </c>
      <c r="D81" s="2">
        <v>123456789</v>
      </c>
    </row>
    <row r="82" spans="1:4" x14ac:dyDescent="0.45">
      <c r="A82" t="s">
        <v>215</v>
      </c>
      <c r="B82">
        <v>12.7</v>
      </c>
      <c r="C82" s="2">
        <v>123456789</v>
      </c>
      <c r="D82" s="2">
        <v>123456789</v>
      </c>
    </row>
    <row r="83" spans="1:4" x14ac:dyDescent="0.45">
      <c r="A83" t="s">
        <v>216</v>
      </c>
      <c r="B83">
        <v>-15.1</v>
      </c>
      <c r="C83" s="2">
        <v>123456789</v>
      </c>
      <c r="D83" s="2">
        <v>123456789</v>
      </c>
    </row>
    <row r="84" spans="1:4" x14ac:dyDescent="0.45">
      <c r="A84" t="s">
        <v>217</v>
      </c>
      <c r="B84">
        <v>51.9</v>
      </c>
      <c r="C84" s="2">
        <v>123456789</v>
      </c>
      <c r="D84" s="2">
        <v>123456789</v>
      </c>
    </row>
    <row r="85" spans="1:4" x14ac:dyDescent="0.45">
      <c r="A85" t="s">
        <v>218</v>
      </c>
      <c r="B85">
        <v>69.400000000000006</v>
      </c>
      <c r="C85" s="2">
        <v>123456789</v>
      </c>
      <c r="D85" s="2">
        <v>123456789</v>
      </c>
    </row>
    <row r="86" spans="1:4" x14ac:dyDescent="0.45">
      <c r="A86" t="s">
        <v>219</v>
      </c>
      <c r="B86">
        <v>4.5999999999999996</v>
      </c>
      <c r="C86" s="2">
        <v>123456789</v>
      </c>
      <c r="D86" s="2">
        <v>123456789</v>
      </c>
    </row>
    <row r="87" spans="1:4" x14ac:dyDescent="0.45">
      <c r="A87" t="s">
        <v>220</v>
      </c>
      <c r="B87">
        <v>17.600000000000001</v>
      </c>
      <c r="C87" s="2">
        <v>123456789</v>
      </c>
      <c r="D87" s="2">
        <v>123456789</v>
      </c>
    </row>
    <row r="88" spans="1:4" x14ac:dyDescent="0.45">
      <c r="A88" t="s">
        <v>221</v>
      </c>
      <c r="B88">
        <v>-24.7</v>
      </c>
      <c r="C88" s="2">
        <v>123456789</v>
      </c>
      <c r="D88" s="2">
        <v>123456789</v>
      </c>
    </row>
    <row r="89" spans="1:4" x14ac:dyDescent="0.45">
      <c r="A89" t="s">
        <v>222</v>
      </c>
      <c r="B89">
        <v>-36.6</v>
      </c>
      <c r="C89" s="2">
        <v>123456789</v>
      </c>
      <c r="D89" s="2">
        <v>123456789</v>
      </c>
    </row>
    <row r="90" spans="1:4" x14ac:dyDescent="0.45">
      <c r="A90" t="s">
        <v>223</v>
      </c>
      <c r="B90">
        <v>-13.4</v>
      </c>
      <c r="C90" s="2">
        <v>123456789</v>
      </c>
      <c r="D90" s="2">
        <v>123456789</v>
      </c>
    </row>
    <row r="91" spans="1:4" x14ac:dyDescent="0.45">
      <c r="A91" t="s">
        <v>224</v>
      </c>
      <c r="B91">
        <v>6.1</v>
      </c>
      <c r="C91" s="2">
        <v>123456789</v>
      </c>
      <c r="D91" s="2">
        <v>123456789</v>
      </c>
    </row>
    <row r="92" spans="1:4" x14ac:dyDescent="0.45">
      <c r="A92" t="s">
        <v>225</v>
      </c>
      <c r="B92">
        <v>1</v>
      </c>
      <c r="C92" s="2">
        <v>123456789</v>
      </c>
      <c r="D92" s="2">
        <v>123456789</v>
      </c>
    </row>
    <row r="93" spans="1:4" x14ac:dyDescent="0.45">
      <c r="A93" t="s">
        <v>226</v>
      </c>
      <c r="B93">
        <v>-6.7</v>
      </c>
      <c r="C93" s="2">
        <v>123456789</v>
      </c>
      <c r="D93" s="2">
        <v>123456789</v>
      </c>
    </row>
    <row r="94" spans="1:4" x14ac:dyDescent="0.45">
      <c r="A94" t="s">
        <v>227</v>
      </c>
      <c r="B94">
        <v>1.5</v>
      </c>
      <c r="C94" s="2">
        <v>123456789</v>
      </c>
      <c r="D94" s="2">
        <v>123456789</v>
      </c>
    </row>
    <row r="95" spans="1:4" x14ac:dyDescent="0.45">
      <c r="A95" t="s">
        <v>228</v>
      </c>
      <c r="B95">
        <v>-8.6</v>
      </c>
      <c r="C95" s="2">
        <v>123456789</v>
      </c>
      <c r="D95" s="2">
        <v>123456789</v>
      </c>
    </row>
    <row r="96" spans="1:4" x14ac:dyDescent="0.45">
      <c r="A96" t="s">
        <v>229</v>
      </c>
      <c r="B96">
        <v>-17.899999999999999</v>
      </c>
      <c r="C96" s="2">
        <v>123456789</v>
      </c>
      <c r="D96" s="2">
        <v>123456789</v>
      </c>
    </row>
    <row r="97" spans="1:4" x14ac:dyDescent="0.45">
      <c r="A97" t="s">
        <v>230</v>
      </c>
      <c r="B97">
        <v>-21</v>
      </c>
      <c r="C97" s="2">
        <v>123456789</v>
      </c>
      <c r="D97" s="2">
        <v>123456789</v>
      </c>
    </row>
    <row r="98" spans="1:4" x14ac:dyDescent="0.45">
      <c r="A98" t="s">
        <v>231</v>
      </c>
      <c r="B98">
        <v>-23.3</v>
      </c>
      <c r="C98" s="2">
        <v>123456789</v>
      </c>
      <c r="D98" s="2">
        <v>123456789</v>
      </c>
    </row>
    <row r="99" spans="1:4" x14ac:dyDescent="0.45">
      <c r="A99" t="s">
        <v>232</v>
      </c>
      <c r="B99">
        <v>-12.1</v>
      </c>
      <c r="C99" s="2">
        <v>123456789</v>
      </c>
      <c r="D99" s="2">
        <v>123456789</v>
      </c>
    </row>
    <row r="100" spans="1:4" x14ac:dyDescent="0.45">
      <c r="A100" t="s">
        <v>233</v>
      </c>
      <c r="B100">
        <v>1.8</v>
      </c>
      <c r="C100" s="2">
        <v>123456789</v>
      </c>
      <c r="D100" s="2">
        <v>123456789</v>
      </c>
    </row>
    <row r="101" spans="1:4" x14ac:dyDescent="0.45">
      <c r="A101" t="s">
        <v>234</v>
      </c>
      <c r="B101">
        <v>8.9</v>
      </c>
      <c r="C101" s="2">
        <v>123456789</v>
      </c>
      <c r="D101" s="2">
        <v>123456789</v>
      </c>
    </row>
    <row r="102" spans="1:4" x14ac:dyDescent="0.45">
      <c r="A102" t="s">
        <v>235</v>
      </c>
      <c r="B102">
        <v>20.9</v>
      </c>
      <c r="C102" s="2">
        <v>123456789</v>
      </c>
      <c r="D102" s="2">
        <v>123456789</v>
      </c>
    </row>
    <row r="103" spans="1:4" x14ac:dyDescent="0.45">
      <c r="A103" t="s">
        <v>236</v>
      </c>
      <c r="B103">
        <v>12.7</v>
      </c>
      <c r="C103" s="2">
        <v>123456789</v>
      </c>
      <c r="D103" s="2">
        <v>123456789</v>
      </c>
    </row>
    <row r="104" spans="1:4" x14ac:dyDescent="0.45">
      <c r="A104" t="s">
        <v>237</v>
      </c>
      <c r="B104">
        <v>-3.5</v>
      </c>
      <c r="C104" s="2">
        <v>123456789</v>
      </c>
      <c r="D104" s="2">
        <v>123456789</v>
      </c>
    </row>
    <row r="105" spans="1:4" x14ac:dyDescent="0.45">
      <c r="A105" t="s">
        <v>238</v>
      </c>
      <c r="B105">
        <v>2.6</v>
      </c>
      <c r="C105" s="2">
        <v>123456789</v>
      </c>
      <c r="D105" s="2">
        <v>123456789</v>
      </c>
    </row>
    <row r="106" spans="1:4" x14ac:dyDescent="0.45">
      <c r="A106" t="s">
        <v>239</v>
      </c>
      <c r="B106">
        <v>9.9</v>
      </c>
      <c r="C106" s="2">
        <v>123456789</v>
      </c>
      <c r="D106" s="2">
        <v>123456789</v>
      </c>
    </row>
    <row r="107" spans="1:4" x14ac:dyDescent="0.45">
      <c r="A107" t="s">
        <v>240</v>
      </c>
      <c r="B107">
        <v>7.7</v>
      </c>
      <c r="C107" s="2">
        <v>123456789</v>
      </c>
      <c r="D107" s="2">
        <v>123456789</v>
      </c>
    </row>
    <row r="108" spans="1:4" x14ac:dyDescent="0.45">
      <c r="A108" t="s">
        <v>241</v>
      </c>
      <c r="B108">
        <v>28.9</v>
      </c>
      <c r="C108" s="2">
        <v>123456789</v>
      </c>
      <c r="D108" s="2">
        <v>123456789</v>
      </c>
    </row>
    <row r="109" spans="1:4" x14ac:dyDescent="0.45">
      <c r="A109" t="s">
        <v>242</v>
      </c>
      <c r="B109">
        <v>38.9</v>
      </c>
      <c r="C109" s="2">
        <v>123456789</v>
      </c>
      <c r="D109" s="2">
        <v>123456789</v>
      </c>
    </row>
    <row r="110" spans="1:4" x14ac:dyDescent="0.45">
      <c r="A110" t="s">
        <v>243</v>
      </c>
      <c r="B110">
        <v>14</v>
      </c>
      <c r="C110" s="2">
        <v>123456789</v>
      </c>
      <c r="D110" s="2">
        <v>123456789</v>
      </c>
    </row>
    <row r="111" spans="1:4" x14ac:dyDescent="0.45">
      <c r="A111" t="s">
        <v>244</v>
      </c>
      <c r="B111">
        <v>-7.4</v>
      </c>
      <c r="C111" s="2">
        <v>123456789</v>
      </c>
      <c r="D111" s="2">
        <v>123456789</v>
      </c>
    </row>
    <row r="112" spans="1:4" x14ac:dyDescent="0.45">
      <c r="A112" t="s">
        <v>245</v>
      </c>
      <c r="B112">
        <v>-11.5</v>
      </c>
      <c r="C112" s="2">
        <v>123456789</v>
      </c>
      <c r="D112" s="2">
        <v>123456789</v>
      </c>
    </row>
    <row r="113" spans="1:4" x14ac:dyDescent="0.45">
      <c r="A113" t="s">
        <v>246</v>
      </c>
      <c r="B113">
        <v>-20.5</v>
      </c>
      <c r="C113" s="2">
        <v>123456789</v>
      </c>
      <c r="D113" s="2">
        <v>123456789</v>
      </c>
    </row>
    <row r="114" spans="1:4" x14ac:dyDescent="0.45">
      <c r="A114" t="s">
        <v>247</v>
      </c>
      <c r="B114">
        <v>-33.299999999999997</v>
      </c>
      <c r="C114" s="2">
        <v>123456789</v>
      </c>
      <c r="D114" s="2">
        <v>123456789</v>
      </c>
    </row>
    <row r="115" spans="1:4" x14ac:dyDescent="0.45">
      <c r="A115" t="s">
        <v>248</v>
      </c>
      <c r="B115">
        <v>-26</v>
      </c>
      <c r="C115" s="2">
        <v>123456789</v>
      </c>
      <c r="D115" s="2">
        <v>123456789</v>
      </c>
    </row>
    <row r="116" spans="1:4" x14ac:dyDescent="0.45">
      <c r="A116" t="s">
        <v>249</v>
      </c>
      <c r="B116">
        <v>-32.799999999999997</v>
      </c>
      <c r="C116" s="2">
        <v>123456789</v>
      </c>
      <c r="D116" s="2">
        <v>123456789</v>
      </c>
    </row>
    <row r="117" spans="1:4" x14ac:dyDescent="0.45">
      <c r="A117" t="s">
        <v>250</v>
      </c>
      <c r="B117">
        <v>-40.299999999999997</v>
      </c>
      <c r="C117" s="2">
        <v>123456789</v>
      </c>
      <c r="D117" s="2">
        <v>123456789</v>
      </c>
    </row>
    <row r="118" spans="1:4" x14ac:dyDescent="0.45">
      <c r="A118" t="s">
        <v>251</v>
      </c>
      <c r="B118">
        <v>-20</v>
      </c>
      <c r="C118" s="2">
        <v>123456789</v>
      </c>
      <c r="D118" s="2">
        <v>123456789</v>
      </c>
    </row>
    <row r="119" spans="1:4" x14ac:dyDescent="0.45">
      <c r="A119" t="s">
        <v>252</v>
      </c>
      <c r="B119">
        <v>15.7</v>
      </c>
      <c r="C119" s="2">
        <v>123456789</v>
      </c>
      <c r="D119" s="2">
        <v>123456789</v>
      </c>
    </row>
    <row r="120" spans="1:4" x14ac:dyDescent="0.45">
      <c r="A120" t="s">
        <v>253</v>
      </c>
      <c r="B120">
        <v>65.7</v>
      </c>
      <c r="C120" s="2">
        <v>123456789</v>
      </c>
      <c r="D120" s="2">
        <v>123456789</v>
      </c>
    </row>
    <row r="121" spans="1:4" x14ac:dyDescent="0.45">
      <c r="A121" t="s">
        <v>254</v>
      </c>
      <c r="B121">
        <v>114.7</v>
      </c>
      <c r="C121" s="2">
        <v>123456789</v>
      </c>
      <c r="D121" s="2">
        <v>123456789</v>
      </c>
    </row>
    <row r="122" spans="1:4" x14ac:dyDescent="0.45">
      <c r="A122" t="s">
        <v>255</v>
      </c>
      <c r="B122">
        <v>138.4</v>
      </c>
      <c r="C122" s="2">
        <v>123456789</v>
      </c>
      <c r="D122" s="2">
        <v>123456789</v>
      </c>
    </row>
    <row r="123" spans="1:4" x14ac:dyDescent="0.45">
      <c r="A123" t="s">
        <v>256</v>
      </c>
      <c r="B123">
        <v>73.099999999999994</v>
      </c>
      <c r="C123" s="2">
        <v>123456789</v>
      </c>
      <c r="D123" s="2">
        <v>123456789</v>
      </c>
    </row>
    <row r="124" spans="1:4" x14ac:dyDescent="0.45">
      <c r="A124" t="s">
        <v>257</v>
      </c>
      <c r="B124">
        <v>48.8</v>
      </c>
      <c r="C124" s="2">
        <v>123456789</v>
      </c>
      <c r="D124" s="2">
        <v>123456789</v>
      </c>
    </row>
    <row r="125" spans="1:4" x14ac:dyDescent="0.45">
      <c r="A125" t="s">
        <v>258</v>
      </c>
      <c r="B125">
        <v>23.8</v>
      </c>
      <c r="C125" s="2">
        <v>123456789</v>
      </c>
      <c r="D125" s="2">
        <v>123456789</v>
      </c>
    </row>
    <row r="126" spans="1:4" x14ac:dyDescent="0.45">
      <c r="A126" t="s">
        <v>259</v>
      </c>
      <c r="B126">
        <v>-3.9</v>
      </c>
      <c r="C126" s="2">
        <v>123456789</v>
      </c>
      <c r="D126" s="2">
        <v>123456789</v>
      </c>
    </row>
    <row r="127" spans="1:4" x14ac:dyDescent="0.45">
      <c r="A127" t="s">
        <v>260</v>
      </c>
      <c r="B127">
        <v>1.9</v>
      </c>
      <c r="C127" s="2">
        <v>123456789</v>
      </c>
      <c r="D127" s="2">
        <v>123456789</v>
      </c>
    </row>
    <row r="128" spans="1:4" x14ac:dyDescent="0.45">
      <c r="A128" t="s">
        <v>261</v>
      </c>
      <c r="B128">
        <v>-17.5</v>
      </c>
      <c r="C128" s="2">
        <v>123456789</v>
      </c>
      <c r="D128" s="2">
        <v>123456789</v>
      </c>
    </row>
    <row r="129" spans="1:4" x14ac:dyDescent="0.45">
      <c r="A129" t="s">
        <v>262</v>
      </c>
      <c r="B129">
        <v>-34.9</v>
      </c>
      <c r="C129" s="2">
        <v>123456789</v>
      </c>
      <c r="D129" s="2">
        <v>123456789</v>
      </c>
    </row>
    <row r="130" spans="1:4" x14ac:dyDescent="0.45">
      <c r="A130" t="s">
        <v>263</v>
      </c>
      <c r="B130">
        <v>-18.3</v>
      </c>
      <c r="C130" s="2">
        <v>123456789</v>
      </c>
      <c r="D130" s="2">
        <v>123456789</v>
      </c>
    </row>
    <row r="131" spans="1:4" x14ac:dyDescent="0.45">
      <c r="A131" t="s">
        <v>264</v>
      </c>
      <c r="B131">
        <v>-8.1</v>
      </c>
      <c r="C131" s="2">
        <v>123456789</v>
      </c>
      <c r="D131" s="2">
        <v>123456789</v>
      </c>
    </row>
    <row r="132" spans="1:4" x14ac:dyDescent="0.45">
      <c r="A132" t="s">
        <v>265</v>
      </c>
      <c r="B132">
        <v>6.4</v>
      </c>
      <c r="C132" s="2">
        <v>123456789</v>
      </c>
      <c r="D132" s="2">
        <v>123456789</v>
      </c>
    </row>
    <row r="133" spans="1:4" x14ac:dyDescent="0.45">
      <c r="A133" t="s">
        <v>266</v>
      </c>
      <c r="B133">
        <v>38.200000000000003</v>
      </c>
      <c r="C133" s="2">
        <v>123456789</v>
      </c>
      <c r="D133" s="2">
        <v>123456789</v>
      </c>
    </row>
    <row r="134" spans="1:4" x14ac:dyDescent="0.45">
      <c r="A134" t="s">
        <v>267</v>
      </c>
      <c r="B134">
        <v>49.1</v>
      </c>
      <c r="C134" s="2">
        <v>123456789</v>
      </c>
      <c r="D134" s="2">
        <v>123456789</v>
      </c>
    </row>
    <row r="135" spans="1:4" x14ac:dyDescent="0.45">
      <c r="A135" t="s">
        <v>268</v>
      </c>
      <c r="B135">
        <v>4.5</v>
      </c>
      <c r="C135" s="2">
        <v>123456789</v>
      </c>
      <c r="D135" s="2">
        <v>123456789</v>
      </c>
    </row>
    <row r="136" spans="1:4" x14ac:dyDescent="0.45">
      <c r="A136" t="s">
        <v>269</v>
      </c>
      <c r="B136">
        <v>5.6</v>
      </c>
      <c r="C136" s="2">
        <v>123456789</v>
      </c>
      <c r="D136" s="2">
        <v>123456789</v>
      </c>
    </row>
    <row r="137" spans="1:4" x14ac:dyDescent="0.45">
      <c r="A137" t="s">
        <v>270</v>
      </c>
      <c r="B137">
        <v>9.9</v>
      </c>
      <c r="C137" s="2">
        <v>123456789</v>
      </c>
      <c r="D137" s="2">
        <v>123456789</v>
      </c>
    </row>
    <row r="138" spans="1:4" x14ac:dyDescent="0.45">
      <c r="A138" t="s">
        <v>271</v>
      </c>
      <c r="B138">
        <v>1.3</v>
      </c>
      <c r="C138" s="2">
        <v>123456789</v>
      </c>
      <c r="D138" s="2">
        <v>123456789</v>
      </c>
    </row>
    <row r="139" spans="1:4" x14ac:dyDescent="0.45">
      <c r="A139" t="s">
        <v>272</v>
      </c>
      <c r="B139">
        <v>35.4</v>
      </c>
      <c r="C139" s="2">
        <v>123456789</v>
      </c>
      <c r="D139" s="2">
        <v>123456789</v>
      </c>
    </row>
    <row r="140" spans="1:4" x14ac:dyDescent="0.45">
      <c r="A140" t="s">
        <v>273</v>
      </c>
      <c r="B140">
        <v>45.5</v>
      </c>
      <c r="C140" s="2">
        <v>123456789</v>
      </c>
      <c r="D140" s="2">
        <v>123456789</v>
      </c>
    </row>
    <row r="141" spans="1:4" x14ac:dyDescent="0.45">
      <c r="A141" t="s">
        <v>274</v>
      </c>
      <c r="B141">
        <v>50.3</v>
      </c>
      <c r="C141" s="2">
        <v>123456789</v>
      </c>
      <c r="D141" s="2">
        <v>123456789</v>
      </c>
    </row>
    <row r="142" spans="1:4" x14ac:dyDescent="0.45">
      <c r="A142" t="s">
        <v>275</v>
      </c>
      <c r="B142">
        <v>49.4</v>
      </c>
      <c r="C142" s="2">
        <v>123456789</v>
      </c>
      <c r="D142" s="2">
        <v>123456789</v>
      </c>
    </row>
    <row r="143" spans="1:4" x14ac:dyDescent="0.45">
      <c r="A143" t="s">
        <v>276</v>
      </c>
      <c r="B143">
        <v>45.6</v>
      </c>
      <c r="C143" s="2">
        <v>123456789</v>
      </c>
      <c r="D143" s="2">
        <v>123456789</v>
      </c>
    </row>
    <row r="144" spans="1:4" x14ac:dyDescent="0.45">
      <c r="A144" t="s">
        <v>277</v>
      </c>
      <c r="B144">
        <v>48.5</v>
      </c>
      <c r="C144" s="2">
        <v>123456789</v>
      </c>
      <c r="D144" s="2">
        <v>123456789</v>
      </c>
    </row>
    <row r="145" spans="1:4" x14ac:dyDescent="0.45">
      <c r="A145" t="s">
        <v>278</v>
      </c>
      <c r="B145">
        <v>28.8</v>
      </c>
      <c r="C145" s="2">
        <v>123456789</v>
      </c>
      <c r="D145" s="2">
        <v>123456789</v>
      </c>
    </row>
    <row r="146" spans="1:4" x14ac:dyDescent="0.45">
      <c r="A146" t="s">
        <v>279</v>
      </c>
      <c r="B146">
        <v>29.5</v>
      </c>
      <c r="C146" s="2">
        <v>123456789</v>
      </c>
      <c r="D146" s="2">
        <v>123456789</v>
      </c>
    </row>
    <row r="147" spans="1:4" x14ac:dyDescent="0.45">
      <c r="A147" t="s">
        <v>280</v>
      </c>
      <c r="B147">
        <v>34.700000000000003</v>
      </c>
      <c r="C147" s="2">
        <v>123456789</v>
      </c>
      <c r="D147" s="2">
        <v>123456789</v>
      </c>
    </row>
    <row r="148" spans="1:4" x14ac:dyDescent="0.45">
      <c r="A148" t="s">
        <v>281</v>
      </c>
      <c r="B148">
        <v>13.3</v>
      </c>
      <c r="C148" s="2">
        <v>123456789</v>
      </c>
      <c r="D148" s="2">
        <v>123456789</v>
      </c>
    </row>
    <row r="149" spans="1:4" x14ac:dyDescent="0.45">
      <c r="A149" t="s">
        <v>282</v>
      </c>
      <c r="B149">
        <v>4.9000000000000004</v>
      </c>
      <c r="C149" s="2">
        <v>123456789</v>
      </c>
      <c r="D149" s="2">
        <v>123456789</v>
      </c>
    </row>
    <row r="150" spans="1:4" x14ac:dyDescent="0.45">
      <c r="A150" t="s">
        <v>283</v>
      </c>
      <c r="B150">
        <v>-6.5</v>
      </c>
      <c r="C150" s="2">
        <v>123456789</v>
      </c>
      <c r="D150" s="2">
        <v>123456789</v>
      </c>
    </row>
    <row r="151" spans="1:4" x14ac:dyDescent="0.45">
      <c r="A151" t="s">
        <v>284</v>
      </c>
      <c r="B151">
        <v>-1.4</v>
      </c>
      <c r="C151" s="2">
        <v>123456789</v>
      </c>
      <c r="D151" s="2">
        <v>123456789</v>
      </c>
    </row>
    <row r="152" spans="1:4" x14ac:dyDescent="0.45">
      <c r="A152" t="s">
        <v>285</v>
      </c>
      <c r="B152">
        <v>7.7</v>
      </c>
      <c r="C152" s="2">
        <v>123456789</v>
      </c>
      <c r="D152" s="2">
        <v>123456789</v>
      </c>
    </row>
    <row r="153" spans="1:4" x14ac:dyDescent="0.45">
      <c r="A153" t="s">
        <v>286</v>
      </c>
      <c r="B153">
        <v>48.4</v>
      </c>
      <c r="C153" s="2">
        <v>123456789</v>
      </c>
      <c r="D153" s="2">
        <v>123456789</v>
      </c>
    </row>
    <row r="154" spans="1:4" x14ac:dyDescent="0.45">
      <c r="A154" t="s">
        <v>287</v>
      </c>
      <c r="B154">
        <v>67.8</v>
      </c>
      <c r="C154" s="2">
        <v>123456789</v>
      </c>
      <c r="D154" s="2">
        <v>123456789</v>
      </c>
    </row>
    <row r="155" spans="1:4" x14ac:dyDescent="0.45">
      <c r="A155" t="s">
        <v>288</v>
      </c>
      <c r="B155">
        <v>77</v>
      </c>
      <c r="C155" s="2">
        <v>123456789</v>
      </c>
      <c r="D155" s="2">
        <v>123456789</v>
      </c>
    </row>
    <row r="156" spans="1:4" x14ac:dyDescent="0.45">
      <c r="A156" t="s">
        <v>289</v>
      </c>
      <c r="B156">
        <v>52.6</v>
      </c>
      <c r="C156" s="2">
        <v>123456789</v>
      </c>
      <c r="D156" s="2">
        <v>123456789</v>
      </c>
    </row>
    <row r="157" spans="1:4" x14ac:dyDescent="0.45">
      <c r="A157" t="s">
        <v>290</v>
      </c>
      <c r="B157">
        <v>-38.299999999999997</v>
      </c>
      <c r="C157" s="2">
        <v>123456789</v>
      </c>
      <c r="D157" s="2">
        <v>123456789</v>
      </c>
    </row>
    <row r="158" spans="1:4" x14ac:dyDescent="0.45">
      <c r="A158" t="s">
        <v>291</v>
      </c>
      <c r="B158">
        <v>-54.2</v>
      </c>
      <c r="C158" s="2">
        <v>123456789</v>
      </c>
      <c r="D158" s="2">
        <v>123456789</v>
      </c>
    </row>
    <row r="159" spans="1:4" x14ac:dyDescent="0.45">
      <c r="A159" t="s">
        <v>292</v>
      </c>
      <c r="B159">
        <v>-51.6</v>
      </c>
      <c r="C159" s="2">
        <v>123456789</v>
      </c>
      <c r="D159" s="2">
        <v>123456789</v>
      </c>
    </row>
    <row r="160" spans="1:4" x14ac:dyDescent="0.45">
      <c r="A160" t="s">
        <v>293</v>
      </c>
      <c r="B160">
        <v>-40.4</v>
      </c>
      <c r="C160" s="2">
        <v>123456789</v>
      </c>
      <c r="D160" s="2">
        <v>123456789</v>
      </c>
    </row>
    <row r="161" spans="1:4" x14ac:dyDescent="0.45">
      <c r="A161" t="s">
        <v>294</v>
      </c>
      <c r="B161">
        <v>36.5</v>
      </c>
      <c r="C161" s="2">
        <v>123456789</v>
      </c>
      <c r="D161" s="2">
        <v>123456789</v>
      </c>
    </row>
    <row r="162" spans="1:4" x14ac:dyDescent="0.45">
      <c r="A162" t="s">
        <v>295</v>
      </c>
      <c r="B162">
        <v>71.599999999999994</v>
      </c>
      <c r="C162" s="2">
        <v>123456789</v>
      </c>
      <c r="D162" s="2">
        <v>123456789</v>
      </c>
    </row>
    <row r="163" spans="1:4" x14ac:dyDescent="0.45">
      <c r="A163" t="s">
        <v>296</v>
      </c>
      <c r="B163">
        <v>33.799999999999997</v>
      </c>
      <c r="C163" s="2">
        <v>123456789</v>
      </c>
      <c r="D163" s="2">
        <v>123456789</v>
      </c>
    </row>
    <row r="164" spans="1:4" x14ac:dyDescent="0.45">
      <c r="A164" t="s">
        <v>297</v>
      </c>
      <c r="B164">
        <v>12.6</v>
      </c>
      <c r="C164" s="2">
        <v>123456789</v>
      </c>
      <c r="D164" s="2">
        <v>123456789</v>
      </c>
    </row>
    <row r="165" spans="1:4" x14ac:dyDescent="0.45">
      <c r="A165" t="s">
        <v>298</v>
      </c>
      <c r="B165">
        <v>15.9</v>
      </c>
      <c r="C165" s="2">
        <v>123456789</v>
      </c>
      <c r="D165" s="2">
        <v>123456789</v>
      </c>
    </row>
    <row r="166" spans="1:4" x14ac:dyDescent="0.45">
      <c r="A166" t="s">
        <v>299</v>
      </c>
      <c r="B166">
        <v>37.700000000000003</v>
      </c>
      <c r="C166" s="2">
        <v>123456789</v>
      </c>
      <c r="D166" s="2">
        <v>123456789</v>
      </c>
    </row>
    <row r="167" spans="1:4" x14ac:dyDescent="0.45">
      <c r="A167" t="s">
        <v>300</v>
      </c>
      <c r="B167">
        <v>49.5</v>
      </c>
      <c r="C167" s="2">
        <v>123456789</v>
      </c>
      <c r="D167" s="2">
        <v>123456789</v>
      </c>
    </row>
    <row r="168" spans="1:4" x14ac:dyDescent="0.45">
      <c r="A168" t="s">
        <v>301</v>
      </c>
      <c r="B168">
        <v>47.5</v>
      </c>
      <c r="C168" s="2">
        <v>123456789</v>
      </c>
      <c r="D168" s="2">
        <v>123456789</v>
      </c>
    </row>
    <row r="169" spans="1:4" x14ac:dyDescent="0.45">
      <c r="A169" t="s">
        <v>302</v>
      </c>
      <c r="B169">
        <v>26.5</v>
      </c>
      <c r="C169" s="2">
        <v>123456789</v>
      </c>
      <c r="D169" s="2">
        <v>123456789</v>
      </c>
    </row>
    <row r="170" spans="1:4" x14ac:dyDescent="0.45">
      <c r="A170" t="s">
        <v>303</v>
      </c>
      <c r="B170">
        <v>12.9</v>
      </c>
      <c r="C170" s="2">
        <v>123456789</v>
      </c>
      <c r="D170" s="2">
        <v>123456789</v>
      </c>
    </row>
    <row r="171" spans="1:4" x14ac:dyDescent="0.45">
      <c r="A171" t="s">
        <v>304</v>
      </c>
      <c r="B171">
        <v>-7.6</v>
      </c>
      <c r="C171" s="2">
        <v>123456789</v>
      </c>
      <c r="D171" s="2">
        <v>123456789</v>
      </c>
    </row>
    <row r="172" spans="1:4" x14ac:dyDescent="0.45">
      <c r="A172" t="s">
        <v>305</v>
      </c>
      <c r="B172">
        <v>-3.3</v>
      </c>
      <c r="C172" s="2">
        <v>123456789</v>
      </c>
      <c r="D172" s="2">
        <v>123456789</v>
      </c>
    </row>
    <row r="173" spans="1:4" x14ac:dyDescent="0.45">
      <c r="A173" t="s">
        <v>306</v>
      </c>
      <c r="B173">
        <v>0.6</v>
      </c>
      <c r="C173" s="2">
        <v>123456789</v>
      </c>
      <c r="D173" s="2">
        <v>123456789</v>
      </c>
    </row>
    <row r="174" spans="1:4" x14ac:dyDescent="0.45">
      <c r="A174" t="s">
        <v>307</v>
      </c>
      <c r="B174">
        <v>-5.0999999999999996</v>
      </c>
      <c r="C174" s="2">
        <v>123456789</v>
      </c>
      <c r="D174" s="2">
        <v>123456789</v>
      </c>
    </row>
    <row r="175" spans="1:4" x14ac:dyDescent="0.45">
      <c r="A175" t="s">
        <v>308</v>
      </c>
      <c r="B175">
        <v>-5.4</v>
      </c>
      <c r="C175" s="2">
        <v>123456789</v>
      </c>
      <c r="D175" s="2">
        <v>123456789</v>
      </c>
    </row>
    <row r="176" spans="1:4" x14ac:dyDescent="0.45">
      <c r="A176" t="s">
        <v>309</v>
      </c>
      <c r="B176">
        <v>0.6</v>
      </c>
      <c r="C176" s="2">
        <v>123456789</v>
      </c>
      <c r="D176" s="2">
        <v>123456789</v>
      </c>
    </row>
    <row r="177" spans="1:4" x14ac:dyDescent="0.45">
      <c r="A177" t="s">
        <v>310</v>
      </c>
      <c r="B177">
        <v>-0.8</v>
      </c>
      <c r="C177" s="2">
        <v>123456789</v>
      </c>
      <c r="D177" s="2">
        <v>123456789</v>
      </c>
    </row>
    <row r="178" spans="1:4" x14ac:dyDescent="0.45">
      <c r="A178" t="s">
        <v>311</v>
      </c>
      <c r="B178">
        <v>-3.8</v>
      </c>
      <c r="C178" s="2">
        <v>123456789</v>
      </c>
      <c r="D178" s="2">
        <v>123456789</v>
      </c>
    </row>
    <row r="179" spans="1:4" x14ac:dyDescent="0.45">
      <c r="A179" t="s">
        <v>312</v>
      </c>
      <c r="B179">
        <v>6.9</v>
      </c>
      <c r="C179" s="2">
        <v>123456789</v>
      </c>
      <c r="D179" s="2">
        <v>123456789</v>
      </c>
    </row>
    <row r="180" spans="1:4" x14ac:dyDescent="0.45">
      <c r="A180" t="s">
        <v>313</v>
      </c>
      <c r="B180">
        <v>-7.7</v>
      </c>
      <c r="C180" s="2">
        <v>123456789</v>
      </c>
      <c r="D180" s="2">
        <v>123456789</v>
      </c>
    </row>
    <row r="181" spans="1:4" x14ac:dyDescent="0.45">
      <c r="A181" t="s">
        <v>314</v>
      </c>
      <c r="B181">
        <v>-30</v>
      </c>
      <c r="C181" s="2">
        <v>123456789</v>
      </c>
      <c r="D181" s="2">
        <v>123456789</v>
      </c>
    </row>
    <row r="182" spans="1:4" x14ac:dyDescent="0.45">
      <c r="A182" t="s">
        <v>315</v>
      </c>
      <c r="B182">
        <v>-50.2</v>
      </c>
      <c r="C182" s="2">
        <v>123456789</v>
      </c>
      <c r="D182" s="2">
        <v>123456789</v>
      </c>
    </row>
    <row r="183" spans="1:4" x14ac:dyDescent="0.45">
      <c r="A183" t="s">
        <v>316</v>
      </c>
      <c r="B183">
        <v>-43.8</v>
      </c>
      <c r="C183" s="2">
        <v>123456789</v>
      </c>
      <c r="D183" s="2">
        <v>123456789</v>
      </c>
    </row>
    <row r="184" spans="1:4" x14ac:dyDescent="0.45">
      <c r="A184" t="s">
        <v>317</v>
      </c>
      <c r="B184">
        <v>-50.7</v>
      </c>
      <c r="C184" s="2">
        <v>123456789</v>
      </c>
      <c r="D184" s="2">
        <v>123456789</v>
      </c>
    </row>
    <row r="185" spans="1:4" x14ac:dyDescent="0.45">
      <c r="A185" t="s">
        <v>318</v>
      </c>
      <c r="B185">
        <v>-43</v>
      </c>
      <c r="C185" s="2">
        <v>123456789</v>
      </c>
      <c r="D185" s="2">
        <v>123456789</v>
      </c>
    </row>
    <row r="186" spans="1:4" x14ac:dyDescent="0.45">
      <c r="A186" t="s">
        <v>319</v>
      </c>
      <c r="B186">
        <v>-37.5</v>
      </c>
      <c r="C186" s="2">
        <v>123456789</v>
      </c>
      <c r="D186" s="2">
        <v>123456789</v>
      </c>
    </row>
    <row r="187" spans="1:4" x14ac:dyDescent="0.45">
      <c r="A187" t="s">
        <v>320</v>
      </c>
      <c r="B187">
        <v>-26.2</v>
      </c>
      <c r="C187" s="2">
        <v>123456789</v>
      </c>
      <c r="D187" s="2">
        <v>123456789</v>
      </c>
    </row>
    <row r="188" spans="1:4" x14ac:dyDescent="0.45">
      <c r="A188" t="s">
        <v>321</v>
      </c>
      <c r="B188">
        <v>-8.9</v>
      </c>
      <c r="C188" s="2">
        <v>123456789</v>
      </c>
      <c r="D188" s="2">
        <v>123456789</v>
      </c>
    </row>
    <row r="189" spans="1:4" x14ac:dyDescent="0.45">
      <c r="A189" t="s">
        <v>322</v>
      </c>
      <c r="B189">
        <v>12.9</v>
      </c>
      <c r="C189" s="2">
        <v>123456789</v>
      </c>
      <c r="D189" s="2">
        <v>123456789</v>
      </c>
    </row>
    <row r="190" spans="1:4" x14ac:dyDescent="0.45">
      <c r="A190" t="s">
        <v>323</v>
      </c>
      <c r="B190">
        <v>59.3</v>
      </c>
      <c r="C190" s="2">
        <v>123456789</v>
      </c>
      <c r="D190" s="2">
        <v>123456789</v>
      </c>
    </row>
    <row r="191" spans="1:4" x14ac:dyDescent="0.45">
      <c r="A191" t="s">
        <v>324</v>
      </c>
      <c r="B191">
        <v>9.1</v>
      </c>
      <c r="C191" s="2">
        <v>123456789</v>
      </c>
      <c r="D191" s="2">
        <v>123456789</v>
      </c>
    </row>
    <row r="192" spans="1:4" x14ac:dyDescent="0.45">
      <c r="A192" t="s">
        <v>325</v>
      </c>
      <c r="B192">
        <v>13.8</v>
      </c>
      <c r="C192" s="2">
        <v>123456789</v>
      </c>
      <c r="D192" s="2">
        <v>123456789</v>
      </c>
    </row>
    <row r="193" spans="1:4" x14ac:dyDescent="0.45">
      <c r="A193" t="s">
        <v>326</v>
      </c>
      <c r="B193">
        <v>25.1</v>
      </c>
      <c r="C193" s="2">
        <v>123456789</v>
      </c>
      <c r="D193" s="2">
        <v>123456789</v>
      </c>
    </row>
    <row r="194" spans="1:4" x14ac:dyDescent="0.45">
      <c r="A194" t="s">
        <v>327</v>
      </c>
      <c r="B194">
        <v>24.5</v>
      </c>
      <c r="C194" s="2">
        <v>123456789</v>
      </c>
      <c r="D194" s="2">
        <v>123456789</v>
      </c>
    </row>
    <row r="195" spans="1:4" x14ac:dyDescent="0.45">
      <c r="A195" t="s">
        <v>328</v>
      </c>
      <c r="B195">
        <v>50</v>
      </c>
      <c r="C195" s="2">
        <v>123456789</v>
      </c>
      <c r="D195" s="2">
        <v>123456789</v>
      </c>
    </row>
    <row r="196" spans="1:4" x14ac:dyDescent="0.45">
      <c r="A196" t="s">
        <v>329</v>
      </c>
      <c r="B196">
        <v>44.4</v>
      </c>
      <c r="C196" s="2">
        <v>123456789</v>
      </c>
      <c r="D196" s="2">
        <v>123456789</v>
      </c>
    </row>
    <row r="197" spans="1:4" x14ac:dyDescent="0.45">
      <c r="A197" t="s">
        <v>330</v>
      </c>
      <c r="B197">
        <v>10</v>
      </c>
      <c r="C197" s="2">
        <v>123456789</v>
      </c>
      <c r="D197" s="2">
        <v>123456789</v>
      </c>
    </row>
    <row r="198" spans="1:4" x14ac:dyDescent="0.45">
      <c r="A198" t="s">
        <v>331</v>
      </c>
      <c r="B198">
        <v>-5.4</v>
      </c>
      <c r="C198" s="2">
        <v>123456789</v>
      </c>
      <c r="D198" s="2">
        <v>123456789</v>
      </c>
    </row>
    <row r="199" spans="1:4" x14ac:dyDescent="0.45">
      <c r="A199" t="s">
        <v>332</v>
      </c>
      <c r="B199">
        <v>-7.5</v>
      </c>
      <c r="C199" s="2">
        <v>123456789</v>
      </c>
      <c r="D199" s="2">
        <v>123456789</v>
      </c>
    </row>
    <row r="200" spans="1:4" x14ac:dyDescent="0.45">
      <c r="A200" t="s">
        <v>333</v>
      </c>
      <c r="B200">
        <v>-17.7</v>
      </c>
      <c r="C200" s="2">
        <v>123456789</v>
      </c>
      <c r="D200" s="2">
        <v>123456789</v>
      </c>
    </row>
    <row r="201" spans="1:4" x14ac:dyDescent="0.45">
      <c r="A201" t="s">
        <v>334</v>
      </c>
      <c r="B201">
        <v>-6.4</v>
      </c>
      <c r="C201" s="2">
        <v>123456789</v>
      </c>
      <c r="D201" s="2">
        <v>123456789</v>
      </c>
    </row>
    <row r="202" spans="1:4" x14ac:dyDescent="0.45">
      <c r="A202" t="s">
        <v>335</v>
      </c>
      <c r="B202">
        <v>-20.2</v>
      </c>
      <c r="C202" s="2">
        <v>123456789</v>
      </c>
      <c r="D202" s="2">
        <v>123456789</v>
      </c>
    </row>
    <row r="203" spans="1:4" x14ac:dyDescent="0.45">
      <c r="A203" t="s">
        <v>336</v>
      </c>
      <c r="B203">
        <v>-57.4</v>
      </c>
      <c r="C203" s="2">
        <v>123456789</v>
      </c>
      <c r="D203" s="2">
        <v>123456789</v>
      </c>
    </row>
    <row r="204" spans="1:4" x14ac:dyDescent="0.45">
      <c r="A204" t="s">
        <v>337</v>
      </c>
      <c r="B204">
        <v>-30.6</v>
      </c>
      <c r="C204" s="2">
        <v>123456789</v>
      </c>
      <c r="D204" s="2">
        <v>123456789</v>
      </c>
    </row>
    <row r="205" spans="1:4" x14ac:dyDescent="0.45">
      <c r="A205" t="s">
        <v>338</v>
      </c>
      <c r="B205">
        <v>-30.2</v>
      </c>
      <c r="C205" s="2">
        <v>123456789</v>
      </c>
      <c r="D205" s="2">
        <v>123456789</v>
      </c>
    </row>
    <row r="206" spans="1:4" x14ac:dyDescent="0.45">
      <c r="A206" t="s">
        <v>339</v>
      </c>
      <c r="B206">
        <v>20.6</v>
      </c>
      <c r="C206" s="2">
        <v>123456789</v>
      </c>
      <c r="D206" s="2">
        <v>123456789</v>
      </c>
    </row>
    <row r="207" spans="1:4" x14ac:dyDescent="0.45">
      <c r="A207" t="s">
        <v>340</v>
      </c>
      <c r="B207">
        <v>134.6</v>
      </c>
      <c r="C207" s="2">
        <v>123456789</v>
      </c>
      <c r="D207" s="2">
        <v>123456789</v>
      </c>
    </row>
    <row r="208" spans="1:4" x14ac:dyDescent="0.45">
      <c r="A208" t="s">
        <v>341</v>
      </c>
      <c r="B208">
        <v>71</v>
      </c>
      <c r="C208" s="2">
        <v>123456789</v>
      </c>
      <c r="D208" s="2">
        <v>123456789</v>
      </c>
    </row>
    <row r="209" spans="1:4" x14ac:dyDescent="0.45">
      <c r="A209" t="s">
        <v>342</v>
      </c>
      <c r="B209">
        <v>79.7</v>
      </c>
      <c r="C209" s="2">
        <v>123456789</v>
      </c>
      <c r="D209" s="2">
        <v>123456789</v>
      </c>
    </row>
    <row r="210" spans="1:4" x14ac:dyDescent="0.45">
      <c r="A210" t="s">
        <v>343</v>
      </c>
      <c r="B210">
        <v>64.900000000000006</v>
      </c>
      <c r="C210" s="2">
        <v>123456789</v>
      </c>
      <c r="D210" s="2">
        <v>123456789</v>
      </c>
    </row>
    <row r="211" spans="1:4" x14ac:dyDescent="0.45">
      <c r="A211" t="s">
        <v>344</v>
      </c>
      <c r="B211">
        <v>65</v>
      </c>
      <c r="C211" s="2">
        <v>123456789</v>
      </c>
      <c r="D211" s="2">
        <v>123456789</v>
      </c>
    </row>
    <row r="212" spans="1:4" x14ac:dyDescent="0.45">
      <c r="A212" t="s">
        <v>345</v>
      </c>
      <c r="B212">
        <v>37.1</v>
      </c>
      <c r="C212" s="2">
        <v>123456789</v>
      </c>
      <c r="D212" s="2">
        <v>123456789</v>
      </c>
    </row>
    <row r="213" spans="1:4" x14ac:dyDescent="0.45">
      <c r="A213" t="s">
        <v>346</v>
      </c>
      <c r="B213">
        <v>11.3</v>
      </c>
      <c r="C213" s="2">
        <v>123456789</v>
      </c>
      <c r="D213" s="2">
        <v>123456789</v>
      </c>
    </row>
    <row r="214" spans="1:4" x14ac:dyDescent="0.45">
      <c r="A214" t="s">
        <v>347</v>
      </c>
      <c r="B214">
        <v>-19.100000000000001</v>
      </c>
      <c r="C214" s="2">
        <v>123456789</v>
      </c>
      <c r="D214" s="2">
        <v>123456789</v>
      </c>
    </row>
    <row r="215" spans="1:4" x14ac:dyDescent="0.45">
      <c r="A215" t="s">
        <v>348</v>
      </c>
      <c r="B215">
        <v>-31</v>
      </c>
      <c r="C215" s="2">
        <v>123456789</v>
      </c>
      <c r="D215" s="2">
        <v>123456789</v>
      </c>
    </row>
    <row r="216" spans="1:4" x14ac:dyDescent="0.45">
      <c r="A216" t="s">
        <v>349</v>
      </c>
      <c r="B216">
        <v>-14</v>
      </c>
      <c r="C216" s="2">
        <v>123456789</v>
      </c>
      <c r="D216" s="2">
        <v>123456789</v>
      </c>
    </row>
    <row r="217" spans="1:4" x14ac:dyDescent="0.45">
      <c r="A217" t="s">
        <v>350</v>
      </c>
      <c r="B217">
        <v>-5.5</v>
      </c>
      <c r="C217" s="2">
        <v>123456789</v>
      </c>
      <c r="D217" s="2">
        <v>123456789</v>
      </c>
    </row>
    <row r="218" spans="1:4" x14ac:dyDescent="0.45">
      <c r="A218" t="s">
        <v>351</v>
      </c>
      <c r="B218">
        <v>2.2999999999999998</v>
      </c>
      <c r="C218" s="2">
        <v>123456789</v>
      </c>
      <c r="D218" s="2">
        <v>123456789</v>
      </c>
    </row>
    <row r="219" spans="1:4" x14ac:dyDescent="0.45">
      <c r="A219" t="s">
        <v>352</v>
      </c>
      <c r="B219">
        <v>8.1</v>
      </c>
      <c r="C219" s="2">
        <v>123456789</v>
      </c>
      <c r="D219" s="2">
        <v>123456789</v>
      </c>
    </row>
    <row r="220" spans="1:4" x14ac:dyDescent="0.45">
      <c r="A220" t="s">
        <v>353</v>
      </c>
      <c r="B220">
        <v>-7.9</v>
      </c>
      <c r="C220" s="2">
        <v>123456789</v>
      </c>
      <c r="D220" s="2">
        <v>123456789</v>
      </c>
    </row>
    <row r="221" spans="1:4" x14ac:dyDescent="0.45">
      <c r="A221" t="s">
        <v>354</v>
      </c>
      <c r="B221">
        <v>-10.9</v>
      </c>
      <c r="C221" s="2">
        <v>123456789</v>
      </c>
      <c r="D221" s="2">
        <v>123456789</v>
      </c>
    </row>
    <row r="222" spans="1:4" x14ac:dyDescent="0.45">
      <c r="A222" t="s">
        <v>355</v>
      </c>
      <c r="B222">
        <v>-8.6999999999999993</v>
      </c>
      <c r="C222" s="2">
        <v>123456789</v>
      </c>
      <c r="D222" s="2">
        <v>123456789</v>
      </c>
    </row>
    <row r="223" spans="1:4" x14ac:dyDescent="0.45">
      <c r="A223" t="s">
        <v>356</v>
      </c>
      <c r="B223">
        <v>-19.7</v>
      </c>
      <c r="C223" s="2">
        <v>123456789</v>
      </c>
      <c r="D223" s="2">
        <v>123456789</v>
      </c>
    </row>
    <row r="224" spans="1:4" x14ac:dyDescent="0.45">
      <c r="A224" t="s">
        <v>357</v>
      </c>
      <c r="B224">
        <v>-13.6</v>
      </c>
      <c r="C224" s="2">
        <v>123456789</v>
      </c>
      <c r="D224" s="2">
        <v>123456789</v>
      </c>
    </row>
    <row r="225" spans="1:4" x14ac:dyDescent="0.45">
      <c r="A225" t="s">
        <v>438</v>
      </c>
      <c r="B225">
        <v>-13.6</v>
      </c>
      <c r="C225" s="2">
        <v>123456789</v>
      </c>
      <c r="D225" s="2">
        <v>123456789</v>
      </c>
    </row>
    <row r="226" spans="1:4" x14ac:dyDescent="0.45">
      <c r="A226" t="s">
        <v>441</v>
      </c>
      <c r="B226">
        <v>-13.6</v>
      </c>
      <c r="C226" s="2">
        <v>123456789</v>
      </c>
      <c r="D226" s="2">
        <v>123456789</v>
      </c>
    </row>
  </sheetData>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A67BF-CE6D-48A7-BEAA-545E44E4B6E3}">
  <sheetPr>
    <tabColor theme="9" tint="0.79998168889431442"/>
  </sheetPr>
  <dimension ref="A1:D226"/>
  <sheetViews>
    <sheetView topLeftCell="A219" workbookViewId="0">
      <selection activeCell="D231" sqref="D231"/>
    </sheetView>
  </sheetViews>
  <sheetFormatPr defaultRowHeight="14.25" x14ac:dyDescent="0.45"/>
  <cols>
    <col min="2" max="2" width="9.265625" bestFit="1" customWidth="1"/>
    <col min="3" max="4" width="10" bestFit="1" customWidth="1"/>
  </cols>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v>1.7794753671031094</v>
      </c>
      <c r="C10" s="2">
        <v>123456789</v>
      </c>
      <c r="D10" s="2">
        <v>123456789</v>
      </c>
    </row>
    <row r="11" spans="1:4" x14ac:dyDescent="0.45">
      <c r="A11" t="s">
        <v>144</v>
      </c>
      <c r="B11">
        <v>1.7794753671031094</v>
      </c>
      <c r="C11" s="2">
        <v>123456789</v>
      </c>
      <c r="D11" s="2">
        <v>123456789</v>
      </c>
    </row>
    <row r="12" spans="1:4" x14ac:dyDescent="0.45">
      <c r="A12" t="s">
        <v>145</v>
      </c>
      <c r="B12">
        <v>1.8800106985778613</v>
      </c>
      <c r="C12" s="2">
        <v>123456789</v>
      </c>
      <c r="D12" s="2">
        <v>123456789</v>
      </c>
    </row>
    <row r="13" spans="1:4" x14ac:dyDescent="0.45">
      <c r="A13" t="s">
        <v>146</v>
      </c>
      <c r="B13">
        <v>1.8800106985778613</v>
      </c>
      <c r="C13" s="2">
        <v>123456789</v>
      </c>
      <c r="D13" s="2">
        <v>123456789</v>
      </c>
    </row>
    <row r="14" spans="1:4" x14ac:dyDescent="0.45">
      <c r="A14" t="s">
        <v>147</v>
      </c>
      <c r="B14">
        <v>2.0911348946748403</v>
      </c>
      <c r="C14" s="2">
        <v>123456789</v>
      </c>
      <c r="D14" s="2">
        <v>123456789</v>
      </c>
    </row>
    <row r="15" spans="1:4" x14ac:dyDescent="0.45">
      <c r="A15" t="s">
        <v>148</v>
      </c>
      <c r="B15">
        <v>2.3625802896566706</v>
      </c>
      <c r="C15" s="2">
        <v>123456789</v>
      </c>
      <c r="D15" s="2">
        <v>123456789</v>
      </c>
    </row>
    <row r="16" spans="1:4" x14ac:dyDescent="0.45">
      <c r="A16" t="s">
        <v>149</v>
      </c>
      <c r="B16">
        <v>2.7144539498183029</v>
      </c>
      <c r="C16" s="2">
        <v>123456789</v>
      </c>
      <c r="D16" s="2">
        <v>123456789</v>
      </c>
    </row>
    <row r="17" spans="1:4" x14ac:dyDescent="0.45">
      <c r="A17" t="s">
        <v>150</v>
      </c>
      <c r="B17">
        <v>4.1219485904648288</v>
      </c>
      <c r="C17" s="2">
        <v>123456789</v>
      </c>
      <c r="D17" s="2">
        <v>123456789</v>
      </c>
    </row>
    <row r="18" spans="1:4" x14ac:dyDescent="0.45">
      <c r="A18" t="s">
        <v>151</v>
      </c>
      <c r="B18">
        <v>13.069593091717751</v>
      </c>
      <c r="C18" s="2">
        <v>123456789</v>
      </c>
      <c r="D18" s="2">
        <v>123456789</v>
      </c>
    </row>
    <row r="19" spans="1:4" x14ac:dyDescent="0.45">
      <c r="A19" t="s">
        <v>152</v>
      </c>
      <c r="B19">
        <v>10.656743602275188</v>
      </c>
      <c r="C19" s="2">
        <v>123456789</v>
      </c>
      <c r="D19" s="2">
        <v>123456789</v>
      </c>
    </row>
    <row r="20" spans="1:4" x14ac:dyDescent="0.45">
      <c r="A20" t="s">
        <v>153</v>
      </c>
      <c r="B20">
        <v>10.053533147475193</v>
      </c>
      <c r="C20" s="2">
        <v>123456789</v>
      </c>
      <c r="D20" s="2">
        <v>123456789</v>
      </c>
    </row>
    <row r="21" spans="1:4" x14ac:dyDescent="0.45">
      <c r="A21" t="s">
        <v>154</v>
      </c>
      <c r="B21">
        <v>10.355138374875191</v>
      </c>
      <c r="C21" s="2">
        <v>123456789</v>
      </c>
      <c r="D21" s="2">
        <v>123456789</v>
      </c>
    </row>
    <row r="22" spans="1:4" x14ac:dyDescent="0.45">
      <c r="A22" t="s">
        <v>155</v>
      </c>
      <c r="B22">
        <v>10.475781616367556</v>
      </c>
      <c r="C22" s="2">
        <v>123456789</v>
      </c>
      <c r="D22" s="2">
        <v>123456789</v>
      </c>
    </row>
    <row r="23" spans="1:4" x14ac:dyDescent="0.45">
      <c r="A23" t="s">
        <v>156</v>
      </c>
      <c r="B23">
        <v>10.475781616367556</v>
      </c>
      <c r="C23" s="2">
        <v>123456789</v>
      </c>
      <c r="D23" s="2">
        <v>123456789</v>
      </c>
    </row>
    <row r="24" spans="1:4" x14ac:dyDescent="0.45">
      <c r="A24" t="s">
        <v>157</v>
      </c>
      <c r="B24">
        <v>10.485835379630352</v>
      </c>
      <c r="C24" s="2">
        <v>123456789</v>
      </c>
      <c r="D24" s="2">
        <v>123456789</v>
      </c>
    </row>
    <row r="25" spans="1:4" x14ac:dyDescent="0.45">
      <c r="A25" t="s">
        <v>158</v>
      </c>
      <c r="B25">
        <v>10.515995710613282</v>
      </c>
      <c r="C25" s="2">
        <v>123456789</v>
      </c>
      <c r="D25" s="2">
        <v>123456789</v>
      </c>
    </row>
    <row r="26" spans="1:4" x14ac:dyDescent="0.45">
      <c r="A26" t="s">
        <v>159</v>
      </c>
      <c r="B26">
        <v>11.571616882849213</v>
      </c>
      <c r="C26" s="2">
        <v>123456789</v>
      </c>
      <c r="D26" s="2">
        <v>123456789</v>
      </c>
    </row>
    <row r="27" spans="1:4" x14ac:dyDescent="0.45">
      <c r="A27" t="s">
        <v>160</v>
      </c>
      <c r="B27">
        <v>11.571616882849213</v>
      </c>
      <c r="C27" s="2">
        <v>123456789</v>
      </c>
      <c r="D27" s="2">
        <v>123456789</v>
      </c>
    </row>
    <row r="28" spans="1:4" x14ac:dyDescent="0.45">
      <c r="A28" t="s">
        <v>161</v>
      </c>
      <c r="B28">
        <v>11.662098834583356</v>
      </c>
      <c r="C28" s="2">
        <v>123456789</v>
      </c>
      <c r="D28" s="2">
        <v>123456789</v>
      </c>
    </row>
    <row r="29" spans="1:4" x14ac:dyDescent="0.45">
      <c r="A29" t="s">
        <v>162</v>
      </c>
      <c r="B29">
        <v>11.963704061983348</v>
      </c>
      <c r="C29" s="2">
        <v>123456789</v>
      </c>
      <c r="D29" s="2">
        <v>123456789</v>
      </c>
    </row>
    <row r="30" spans="1:4" x14ac:dyDescent="0.45">
      <c r="A30" t="s">
        <v>163</v>
      </c>
      <c r="B30">
        <v>12.566916434343989</v>
      </c>
      <c r="C30" s="2">
        <v>123456789</v>
      </c>
      <c r="D30" s="2">
        <v>123456789</v>
      </c>
    </row>
    <row r="31" spans="1:4" x14ac:dyDescent="0.45">
      <c r="A31" t="s">
        <v>164</v>
      </c>
      <c r="B31">
        <v>12.516648576855577</v>
      </c>
      <c r="C31" s="2">
        <v>123456789</v>
      </c>
      <c r="D31" s="2">
        <v>123456789</v>
      </c>
    </row>
    <row r="32" spans="1:4" x14ac:dyDescent="0.45">
      <c r="A32" t="s">
        <v>165</v>
      </c>
      <c r="B32">
        <v>12.697612480313797</v>
      </c>
      <c r="C32" s="2">
        <v>123456789</v>
      </c>
      <c r="D32" s="2">
        <v>123456789</v>
      </c>
    </row>
    <row r="33" spans="1:4" x14ac:dyDescent="0.45">
      <c r="A33" t="s">
        <v>166</v>
      </c>
      <c r="B33">
        <v>12.747880337812264</v>
      </c>
      <c r="C33" s="2">
        <v>123456789</v>
      </c>
      <c r="D33" s="2">
        <v>123456789</v>
      </c>
    </row>
    <row r="34" spans="1:4" x14ac:dyDescent="0.45">
      <c r="A34" t="s">
        <v>167</v>
      </c>
      <c r="B34">
        <v>12.727772811296727</v>
      </c>
      <c r="C34" s="2">
        <v>123456789</v>
      </c>
      <c r="D34" s="2">
        <v>123456789</v>
      </c>
    </row>
    <row r="35" spans="1:4" x14ac:dyDescent="0.45">
      <c r="A35" t="s">
        <v>168</v>
      </c>
      <c r="B35">
        <v>12.771338159960033</v>
      </c>
      <c r="C35" s="2">
        <v>123456789</v>
      </c>
      <c r="D35" s="2">
        <v>123456789</v>
      </c>
    </row>
    <row r="36" spans="1:4" x14ac:dyDescent="0.45">
      <c r="A36" t="s">
        <v>169</v>
      </c>
      <c r="B36">
        <v>12.855117922440721</v>
      </c>
      <c r="C36" s="2">
        <v>123456789</v>
      </c>
      <c r="D36" s="2">
        <v>123456789</v>
      </c>
    </row>
    <row r="37" spans="1:4" x14ac:dyDescent="0.45">
      <c r="A37" t="s">
        <v>170</v>
      </c>
      <c r="B37">
        <v>13.589025701590996</v>
      </c>
      <c r="C37" s="2">
        <v>123456789</v>
      </c>
      <c r="D37" s="2">
        <v>123456789</v>
      </c>
    </row>
    <row r="38" spans="1:4" x14ac:dyDescent="0.45">
      <c r="A38" t="s">
        <v>171</v>
      </c>
      <c r="B38">
        <v>21.514561191271653</v>
      </c>
      <c r="C38" s="2">
        <v>123456789</v>
      </c>
      <c r="D38" s="2">
        <v>123456789</v>
      </c>
    </row>
    <row r="39" spans="1:4" x14ac:dyDescent="0.45">
      <c r="A39" t="s">
        <v>172</v>
      </c>
      <c r="B39">
        <v>31.132440852177456</v>
      </c>
      <c r="C39" s="2">
        <v>123456789</v>
      </c>
      <c r="D39" s="2">
        <v>123456789</v>
      </c>
    </row>
    <row r="40" spans="1:4" x14ac:dyDescent="0.45">
      <c r="A40" t="s">
        <v>173</v>
      </c>
      <c r="B40">
        <v>35.941381002223793</v>
      </c>
      <c r="C40" s="2">
        <v>123456789</v>
      </c>
      <c r="D40" s="2">
        <v>123456789</v>
      </c>
    </row>
    <row r="41" spans="1:4" x14ac:dyDescent="0.45">
      <c r="A41" t="s">
        <v>174</v>
      </c>
      <c r="B41">
        <v>40.549250361483253</v>
      </c>
      <c r="C41" s="2">
        <v>123456789</v>
      </c>
      <c r="D41" s="2">
        <v>123456789</v>
      </c>
    </row>
    <row r="42" spans="1:4" x14ac:dyDescent="0.45">
      <c r="A42" t="s">
        <v>175</v>
      </c>
      <c r="B42">
        <v>39.124999832257593</v>
      </c>
      <c r="C42" s="2">
        <v>123456789</v>
      </c>
      <c r="D42" s="2">
        <v>123456789</v>
      </c>
    </row>
    <row r="43" spans="1:4" x14ac:dyDescent="0.45">
      <c r="A43" t="s">
        <v>176</v>
      </c>
      <c r="B43">
        <v>38.421253023283839</v>
      </c>
      <c r="C43" s="2">
        <v>123456789</v>
      </c>
      <c r="D43" s="2">
        <v>123456789</v>
      </c>
    </row>
    <row r="44" spans="1:4" x14ac:dyDescent="0.45">
      <c r="A44" t="s">
        <v>177</v>
      </c>
      <c r="B44">
        <v>34.986295864563154</v>
      </c>
      <c r="C44" s="2">
        <v>123456789</v>
      </c>
      <c r="D44" s="2">
        <v>123456789</v>
      </c>
    </row>
    <row r="45" spans="1:4" x14ac:dyDescent="0.45">
      <c r="A45" t="s">
        <v>178</v>
      </c>
      <c r="B45">
        <v>39.845503552509498</v>
      </c>
      <c r="C45" s="2">
        <v>123456789</v>
      </c>
      <c r="D45" s="2">
        <v>123456789</v>
      </c>
    </row>
    <row r="46" spans="1:4" x14ac:dyDescent="0.45">
      <c r="A46" t="s">
        <v>179</v>
      </c>
      <c r="B46">
        <v>39.3260699838576</v>
      </c>
      <c r="C46" s="2">
        <v>123456789</v>
      </c>
      <c r="D46" s="2">
        <v>123456789</v>
      </c>
    </row>
    <row r="47" spans="1:4" x14ac:dyDescent="0.45">
      <c r="A47" t="s">
        <v>180</v>
      </c>
      <c r="B47">
        <v>35.398489291832362</v>
      </c>
      <c r="C47" s="2">
        <v>123456789</v>
      </c>
      <c r="D47" s="2">
        <v>123456789</v>
      </c>
    </row>
    <row r="48" spans="1:4" x14ac:dyDescent="0.45">
      <c r="A48" t="s">
        <v>181</v>
      </c>
      <c r="B48">
        <v>35.780524625267702</v>
      </c>
      <c r="C48" s="2">
        <v>123456789</v>
      </c>
      <c r="D48" s="2">
        <v>123456789</v>
      </c>
    </row>
    <row r="49" spans="1:4" x14ac:dyDescent="0.45">
      <c r="A49" t="s">
        <v>182</v>
      </c>
      <c r="B49">
        <v>36.986948608136998</v>
      </c>
      <c r="C49" s="2">
        <v>123456789</v>
      </c>
      <c r="D49" s="2">
        <v>123456789</v>
      </c>
    </row>
    <row r="50" spans="1:4" x14ac:dyDescent="0.45">
      <c r="A50" t="s">
        <v>183</v>
      </c>
      <c r="B50">
        <v>32.432698072805103</v>
      </c>
      <c r="C50" s="2">
        <v>123456789</v>
      </c>
      <c r="D50" s="2">
        <v>123456789</v>
      </c>
    </row>
    <row r="51" spans="1:4" x14ac:dyDescent="0.45">
      <c r="A51" t="s">
        <v>184</v>
      </c>
      <c r="B51">
        <v>34.483618843683097</v>
      </c>
      <c r="C51" s="2">
        <v>123456789</v>
      </c>
      <c r="D51" s="2">
        <v>123456789</v>
      </c>
    </row>
    <row r="52" spans="1:4" x14ac:dyDescent="0.45">
      <c r="A52" t="s">
        <v>185</v>
      </c>
      <c r="B52">
        <v>33.779871520342603</v>
      </c>
      <c r="C52" s="2">
        <v>123456789</v>
      </c>
      <c r="D52" s="2">
        <v>123456789</v>
      </c>
    </row>
    <row r="53" spans="1:4" x14ac:dyDescent="0.45">
      <c r="A53" t="s">
        <v>186</v>
      </c>
      <c r="B53">
        <v>33.699443254818</v>
      </c>
      <c r="C53" s="2">
        <v>123456789</v>
      </c>
      <c r="D53" s="2">
        <v>123456789</v>
      </c>
    </row>
    <row r="54" spans="1:4" x14ac:dyDescent="0.45">
      <c r="A54" t="s">
        <v>187</v>
      </c>
      <c r="B54">
        <v>29.537280513918599</v>
      </c>
      <c r="C54" s="2">
        <v>123456789</v>
      </c>
      <c r="D54" s="2">
        <v>123456789</v>
      </c>
    </row>
    <row r="55" spans="1:4" x14ac:dyDescent="0.45">
      <c r="A55" t="s">
        <v>188</v>
      </c>
      <c r="B55">
        <v>29.9997430406852</v>
      </c>
      <c r="C55" s="2">
        <v>123456789</v>
      </c>
      <c r="D55" s="2">
        <v>123456789</v>
      </c>
    </row>
    <row r="56" spans="1:4" x14ac:dyDescent="0.45">
      <c r="A56" t="s">
        <v>189</v>
      </c>
      <c r="B56">
        <v>30.774848484848501</v>
      </c>
      <c r="C56" s="2">
        <v>123456789</v>
      </c>
      <c r="D56" s="2">
        <v>123456789</v>
      </c>
    </row>
    <row r="57" spans="1:4" x14ac:dyDescent="0.45">
      <c r="A57" t="s">
        <v>190</v>
      </c>
      <c r="B57">
        <v>29.136153846153899</v>
      </c>
      <c r="C57" s="2">
        <v>123456789</v>
      </c>
      <c r="D57" s="2">
        <v>123456789</v>
      </c>
    </row>
    <row r="58" spans="1:4" x14ac:dyDescent="0.45">
      <c r="A58" t="s">
        <v>191</v>
      </c>
      <c r="B58">
        <v>29.752903225806399</v>
      </c>
      <c r="C58" s="2">
        <v>123456789</v>
      </c>
      <c r="D58" s="2">
        <v>123456789</v>
      </c>
    </row>
    <row r="59" spans="1:4" x14ac:dyDescent="0.45">
      <c r="A59" t="s">
        <v>192</v>
      </c>
      <c r="B59">
        <v>29.592833333333299</v>
      </c>
      <c r="C59" s="2">
        <v>123456789</v>
      </c>
      <c r="D59" s="2">
        <v>123456789</v>
      </c>
    </row>
    <row r="60" spans="1:4" x14ac:dyDescent="0.45">
      <c r="A60" t="s">
        <v>193</v>
      </c>
      <c r="B60">
        <v>28.076071428571399</v>
      </c>
      <c r="C60" s="2">
        <v>123456789</v>
      </c>
      <c r="D60" s="2">
        <v>123456789</v>
      </c>
    </row>
    <row r="61" spans="1:4" x14ac:dyDescent="0.45">
      <c r="A61" t="s">
        <v>194</v>
      </c>
      <c r="B61">
        <v>27.5847169811321</v>
      </c>
      <c r="C61" s="2">
        <v>123456789</v>
      </c>
      <c r="D61" s="2">
        <v>123456789</v>
      </c>
    </row>
    <row r="62" spans="1:4" x14ac:dyDescent="0.45">
      <c r="A62" t="s">
        <v>195</v>
      </c>
      <c r="B62">
        <v>27.743620689655199</v>
      </c>
      <c r="C62" s="2">
        <v>123456789</v>
      </c>
      <c r="D62" s="2">
        <v>123456789</v>
      </c>
    </row>
    <row r="63" spans="1:4" x14ac:dyDescent="0.45">
      <c r="A63" t="s">
        <v>196</v>
      </c>
      <c r="B63">
        <v>27.043076923076899</v>
      </c>
      <c r="C63" s="2">
        <v>123456789</v>
      </c>
      <c r="D63" s="2">
        <v>123456789</v>
      </c>
    </row>
    <row r="64" spans="1:4" x14ac:dyDescent="0.45">
      <c r="A64" t="s">
        <v>197</v>
      </c>
      <c r="B64">
        <v>27.277903225806501</v>
      </c>
      <c r="C64" s="2">
        <v>123456789</v>
      </c>
      <c r="D64" s="2">
        <v>123456789</v>
      </c>
    </row>
    <row r="65" spans="1:4" x14ac:dyDescent="0.45">
      <c r="A65" t="s">
        <v>198</v>
      </c>
      <c r="B65">
        <v>28.329344262295098</v>
      </c>
      <c r="C65" s="2">
        <v>123456789</v>
      </c>
      <c r="D65" s="2">
        <v>123456789</v>
      </c>
    </row>
    <row r="66" spans="1:4" x14ac:dyDescent="0.45">
      <c r="A66" t="s">
        <v>199</v>
      </c>
      <c r="B66">
        <v>17.8603174603175</v>
      </c>
      <c r="C66" s="2">
        <v>123456789</v>
      </c>
      <c r="D66" s="2">
        <v>123456789</v>
      </c>
    </row>
    <row r="67" spans="1:4" x14ac:dyDescent="0.45">
      <c r="A67" t="s">
        <v>200</v>
      </c>
      <c r="B67">
        <v>12.8243076923077</v>
      </c>
      <c r="C67" s="2">
        <v>123456789</v>
      </c>
      <c r="D67" s="2">
        <v>123456789</v>
      </c>
    </row>
    <row r="68" spans="1:4" x14ac:dyDescent="0.45">
      <c r="A68" t="s">
        <v>201</v>
      </c>
      <c r="B68">
        <v>12.3574242424242</v>
      </c>
      <c r="C68" s="2">
        <v>123456789</v>
      </c>
      <c r="D68" s="2">
        <v>123456789</v>
      </c>
    </row>
    <row r="69" spans="1:4" x14ac:dyDescent="0.45">
      <c r="A69" t="s">
        <v>202</v>
      </c>
      <c r="B69">
        <v>14.7622413793103</v>
      </c>
      <c r="C69" s="2">
        <v>123456789</v>
      </c>
      <c r="D69" s="2">
        <v>123456789</v>
      </c>
    </row>
    <row r="70" spans="1:4" x14ac:dyDescent="0.45">
      <c r="A70" t="s">
        <v>203</v>
      </c>
      <c r="B70">
        <v>17.9128813559322</v>
      </c>
      <c r="C70" s="2">
        <v>123456789</v>
      </c>
      <c r="D70" s="2">
        <v>123456789</v>
      </c>
    </row>
    <row r="71" spans="1:4" x14ac:dyDescent="0.45">
      <c r="A71" t="s">
        <v>204</v>
      </c>
      <c r="B71">
        <v>18.6869841269841</v>
      </c>
      <c r="C71" s="2">
        <v>123456789</v>
      </c>
      <c r="D71" s="2">
        <v>123456789</v>
      </c>
    </row>
    <row r="72" spans="1:4" x14ac:dyDescent="0.45">
      <c r="A72" s="4" t="s">
        <v>205</v>
      </c>
      <c r="B72" s="4">
        <v>19.05</v>
      </c>
      <c r="C72" s="12">
        <v>123456789</v>
      </c>
      <c r="D72" s="12">
        <v>123456789</v>
      </c>
    </row>
    <row r="73" spans="1:4" x14ac:dyDescent="0.45">
      <c r="A73" t="s">
        <v>206</v>
      </c>
      <c r="B73">
        <v>17.86</v>
      </c>
      <c r="C73" s="2">
        <v>123456789</v>
      </c>
      <c r="D73" s="2">
        <v>123456789</v>
      </c>
    </row>
    <row r="74" spans="1:4" x14ac:dyDescent="0.45">
      <c r="A74" t="s">
        <v>207</v>
      </c>
      <c r="B74">
        <v>15.74</v>
      </c>
      <c r="C74" s="2">
        <v>123456789</v>
      </c>
      <c r="D74" s="2">
        <v>123456789</v>
      </c>
    </row>
    <row r="75" spans="1:4" x14ac:dyDescent="0.45">
      <c r="A75" t="s">
        <v>208</v>
      </c>
      <c r="B75">
        <v>16.149999999999999</v>
      </c>
      <c r="C75" s="2">
        <v>123456789</v>
      </c>
      <c r="D75" s="2">
        <v>123456789</v>
      </c>
    </row>
    <row r="76" spans="1:4" x14ac:dyDescent="0.45">
      <c r="A76" t="s">
        <v>209</v>
      </c>
      <c r="B76">
        <v>14.33</v>
      </c>
      <c r="C76" s="2">
        <v>123456789</v>
      </c>
      <c r="D76" s="2">
        <v>123456789</v>
      </c>
    </row>
    <row r="77" spans="1:4" x14ac:dyDescent="0.45">
      <c r="A77" t="s">
        <v>210</v>
      </c>
      <c r="B77">
        <v>13.58</v>
      </c>
      <c r="C77" s="2">
        <v>123456789</v>
      </c>
      <c r="D77" s="2">
        <v>123456789</v>
      </c>
    </row>
    <row r="78" spans="1:4" x14ac:dyDescent="0.45">
      <c r="A78" t="s">
        <v>211</v>
      </c>
      <c r="B78">
        <v>17.59</v>
      </c>
      <c r="C78" s="2">
        <v>123456789</v>
      </c>
      <c r="D78" s="2">
        <v>123456789</v>
      </c>
    </row>
    <row r="79" spans="1:4" x14ac:dyDescent="0.45">
      <c r="A79" t="s">
        <v>212</v>
      </c>
      <c r="B79">
        <v>18.87</v>
      </c>
      <c r="C79" s="2">
        <v>123456789</v>
      </c>
      <c r="D79" s="2">
        <v>123456789</v>
      </c>
    </row>
    <row r="80" spans="1:4" x14ac:dyDescent="0.45">
      <c r="A80" t="s">
        <v>213</v>
      </c>
      <c r="B80">
        <v>17.39</v>
      </c>
      <c r="C80" s="2">
        <v>123456789</v>
      </c>
      <c r="D80" s="2">
        <v>123456789</v>
      </c>
    </row>
    <row r="81" spans="1:4" x14ac:dyDescent="0.45">
      <c r="A81" t="s">
        <v>214</v>
      </c>
      <c r="B81">
        <v>19.16</v>
      </c>
      <c r="C81" s="2">
        <v>123456789</v>
      </c>
      <c r="D81" s="2">
        <v>123456789</v>
      </c>
    </row>
    <row r="82" spans="1:4" x14ac:dyDescent="0.45">
      <c r="A82" t="s">
        <v>215</v>
      </c>
      <c r="B82">
        <v>19.82</v>
      </c>
      <c r="C82" s="2">
        <v>123456789</v>
      </c>
      <c r="D82" s="2">
        <v>123456789</v>
      </c>
    </row>
    <row r="83" spans="1:4" x14ac:dyDescent="0.45">
      <c r="A83" t="s">
        <v>216</v>
      </c>
      <c r="B83">
        <v>16.02</v>
      </c>
      <c r="C83" s="2">
        <v>123456789</v>
      </c>
      <c r="D83" s="2">
        <v>123456789</v>
      </c>
    </row>
    <row r="84" spans="1:4" x14ac:dyDescent="0.45">
      <c r="A84" t="s">
        <v>217</v>
      </c>
      <c r="B84">
        <v>26.41</v>
      </c>
      <c r="C84" s="2">
        <v>123456789</v>
      </c>
      <c r="D84" s="2">
        <v>123456789</v>
      </c>
    </row>
    <row r="85" spans="1:4" x14ac:dyDescent="0.45">
      <c r="A85" t="s">
        <v>218</v>
      </c>
      <c r="B85">
        <v>32.450000000000003</v>
      </c>
      <c r="C85" s="2">
        <v>123456789</v>
      </c>
      <c r="D85" s="2">
        <v>123456789</v>
      </c>
    </row>
    <row r="86" spans="1:4" x14ac:dyDescent="0.45">
      <c r="A86" t="s">
        <v>219</v>
      </c>
      <c r="B86">
        <v>20.73</v>
      </c>
      <c r="C86" s="2">
        <v>123456789</v>
      </c>
      <c r="D86" s="2">
        <v>123456789</v>
      </c>
    </row>
    <row r="87" spans="1:4" x14ac:dyDescent="0.45">
      <c r="A87" t="s">
        <v>220</v>
      </c>
      <c r="B87">
        <v>18.850000000000001</v>
      </c>
      <c r="C87" s="2">
        <v>123456789</v>
      </c>
      <c r="D87" s="2">
        <v>123456789</v>
      </c>
    </row>
    <row r="88" spans="1:4" x14ac:dyDescent="0.45">
      <c r="A88" t="s">
        <v>221</v>
      </c>
      <c r="B88">
        <v>19.89</v>
      </c>
      <c r="C88" s="2">
        <v>123456789</v>
      </c>
      <c r="D88" s="2">
        <v>123456789</v>
      </c>
    </row>
    <row r="89" spans="1:4" x14ac:dyDescent="0.45">
      <c r="A89" t="s">
        <v>222</v>
      </c>
      <c r="B89">
        <v>20.58</v>
      </c>
      <c r="C89" s="2">
        <v>123456789</v>
      </c>
      <c r="D89" s="2">
        <v>123456789</v>
      </c>
    </row>
    <row r="90" spans="1:4" x14ac:dyDescent="0.45">
      <c r="A90" t="s">
        <v>223</v>
      </c>
      <c r="B90">
        <v>17.95</v>
      </c>
      <c r="C90" s="2">
        <v>123456789</v>
      </c>
      <c r="D90" s="2">
        <v>123456789</v>
      </c>
    </row>
    <row r="91" spans="1:4" x14ac:dyDescent="0.45">
      <c r="A91" t="s">
        <v>224</v>
      </c>
      <c r="B91">
        <v>19.989999999999998</v>
      </c>
      <c r="C91" s="2">
        <v>123456789</v>
      </c>
      <c r="D91" s="2">
        <v>123456789</v>
      </c>
    </row>
    <row r="92" spans="1:4" x14ac:dyDescent="0.45">
      <c r="A92" t="s">
        <v>225</v>
      </c>
      <c r="B92">
        <v>20.079999999999998</v>
      </c>
      <c r="C92" s="2">
        <v>123456789</v>
      </c>
      <c r="D92" s="2">
        <v>123456789</v>
      </c>
    </row>
    <row r="93" spans="1:4" x14ac:dyDescent="0.45">
      <c r="A93" t="s">
        <v>226</v>
      </c>
      <c r="B93">
        <v>19.2</v>
      </c>
      <c r="C93" s="2">
        <v>123456789</v>
      </c>
      <c r="D93" s="2">
        <v>123456789</v>
      </c>
    </row>
    <row r="94" spans="1:4" x14ac:dyDescent="0.45">
      <c r="A94" t="s">
        <v>227</v>
      </c>
      <c r="B94">
        <v>18.22</v>
      </c>
      <c r="C94" s="2">
        <v>123456789</v>
      </c>
      <c r="D94" s="2">
        <v>123456789</v>
      </c>
    </row>
    <row r="95" spans="1:4" x14ac:dyDescent="0.45">
      <c r="A95" t="s">
        <v>228</v>
      </c>
      <c r="B95">
        <v>18.28</v>
      </c>
      <c r="C95" s="2">
        <v>123456789</v>
      </c>
      <c r="D95" s="2">
        <v>123456789</v>
      </c>
    </row>
    <row r="96" spans="1:4" x14ac:dyDescent="0.45">
      <c r="A96" t="s">
        <v>229</v>
      </c>
      <c r="B96">
        <v>16.5</v>
      </c>
      <c r="C96" s="2">
        <v>123456789</v>
      </c>
      <c r="D96" s="2">
        <v>123456789</v>
      </c>
    </row>
    <row r="97" spans="1:4" x14ac:dyDescent="0.45">
      <c r="A97" t="s">
        <v>230</v>
      </c>
      <c r="B97">
        <v>15.18</v>
      </c>
      <c r="C97" s="2">
        <v>123456789</v>
      </c>
      <c r="D97" s="2">
        <v>123456789</v>
      </c>
    </row>
    <row r="98" spans="1:4" x14ac:dyDescent="0.45">
      <c r="A98" t="s">
        <v>231</v>
      </c>
      <c r="B98">
        <v>13.97</v>
      </c>
      <c r="C98" s="2">
        <v>123456789</v>
      </c>
      <c r="D98" s="2">
        <v>123456789</v>
      </c>
    </row>
    <row r="99" spans="1:4" x14ac:dyDescent="0.45">
      <c r="A99" t="s">
        <v>232</v>
      </c>
      <c r="B99">
        <v>16.059999999999999</v>
      </c>
      <c r="C99" s="2">
        <v>123456789</v>
      </c>
      <c r="D99" s="2">
        <v>123456789</v>
      </c>
    </row>
    <row r="100" spans="1:4" x14ac:dyDescent="0.45">
      <c r="A100" t="s">
        <v>233</v>
      </c>
      <c r="B100">
        <v>16.8</v>
      </c>
      <c r="C100" s="2">
        <v>123456789</v>
      </c>
      <c r="D100" s="2">
        <v>123456789</v>
      </c>
    </row>
    <row r="101" spans="1:4" x14ac:dyDescent="0.45">
      <c r="A101" t="s">
        <v>234</v>
      </c>
      <c r="B101">
        <v>16.54</v>
      </c>
      <c r="C101" s="2">
        <v>123456789</v>
      </c>
      <c r="D101" s="2">
        <v>123456789</v>
      </c>
    </row>
    <row r="102" spans="1:4" x14ac:dyDescent="0.45">
      <c r="A102" t="s">
        <v>235</v>
      </c>
      <c r="B102">
        <v>16.89</v>
      </c>
      <c r="C102" s="2">
        <v>123456789</v>
      </c>
      <c r="D102" s="2">
        <v>123456789</v>
      </c>
    </row>
    <row r="103" spans="1:4" x14ac:dyDescent="0.45">
      <c r="A103" t="s">
        <v>236</v>
      </c>
      <c r="B103">
        <v>18.100000000000001</v>
      </c>
      <c r="C103" s="2">
        <v>123456789</v>
      </c>
      <c r="D103" s="2">
        <v>123456789</v>
      </c>
    </row>
    <row r="104" spans="1:4" x14ac:dyDescent="0.45">
      <c r="A104" t="s">
        <v>237</v>
      </c>
      <c r="B104">
        <v>16.22</v>
      </c>
      <c r="C104" s="2">
        <v>123456789</v>
      </c>
      <c r="D104" s="2">
        <v>123456789</v>
      </c>
    </row>
    <row r="105" spans="1:4" x14ac:dyDescent="0.45">
      <c r="A105" t="s">
        <v>238</v>
      </c>
      <c r="B105">
        <v>16.97</v>
      </c>
      <c r="C105" s="2">
        <v>123456789</v>
      </c>
      <c r="D105" s="2">
        <v>123456789</v>
      </c>
    </row>
    <row r="106" spans="1:4" x14ac:dyDescent="0.45">
      <c r="A106" t="s">
        <v>239</v>
      </c>
      <c r="B106">
        <v>18.57</v>
      </c>
      <c r="C106" s="2">
        <v>123456789</v>
      </c>
      <c r="D106" s="2">
        <v>123456789</v>
      </c>
    </row>
    <row r="107" spans="1:4" x14ac:dyDescent="0.45">
      <c r="A107" t="s">
        <v>240</v>
      </c>
      <c r="B107">
        <v>19.5</v>
      </c>
      <c r="C107" s="2">
        <v>123456789</v>
      </c>
      <c r="D107" s="2">
        <v>123456789</v>
      </c>
    </row>
    <row r="108" spans="1:4" x14ac:dyDescent="0.45">
      <c r="A108" t="s">
        <v>241</v>
      </c>
      <c r="B108">
        <v>20.9</v>
      </c>
      <c r="C108" s="2">
        <v>123456789</v>
      </c>
      <c r="D108" s="2">
        <v>123456789</v>
      </c>
    </row>
    <row r="109" spans="1:4" x14ac:dyDescent="0.45">
      <c r="A109" t="s">
        <v>242</v>
      </c>
      <c r="B109">
        <v>23.57</v>
      </c>
      <c r="C109" s="2">
        <v>123456789</v>
      </c>
      <c r="D109" s="2">
        <v>123456789</v>
      </c>
    </row>
    <row r="110" spans="1:4" x14ac:dyDescent="0.45">
      <c r="A110" t="s">
        <v>243</v>
      </c>
      <c r="B110">
        <v>21.17</v>
      </c>
      <c r="C110" s="2">
        <v>123456789</v>
      </c>
      <c r="D110" s="2">
        <v>123456789</v>
      </c>
    </row>
    <row r="111" spans="1:4" x14ac:dyDescent="0.45">
      <c r="A111" t="s">
        <v>244</v>
      </c>
      <c r="B111">
        <v>18.05</v>
      </c>
      <c r="C111" s="2">
        <v>123456789</v>
      </c>
      <c r="D111" s="2">
        <v>123456789</v>
      </c>
    </row>
    <row r="112" spans="1:4" x14ac:dyDescent="0.45">
      <c r="A112" t="s">
        <v>245</v>
      </c>
      <c r="B112">
        <v>18.510000000000002</v>
      </c>
      <c r="C112" s="2">
        <v>123456789</v>
      </c>
      <c r="D112" s="2">
        <v>123456789</v>
      </c>
    </row>
    <row r="113" spans="1:4" x14ac:dyDescent="0.45">
      <c r="A113" t="s">
        <v>246</v>
      </c>
      <c r="B113">
        <v>18.739999999999998</v>
      </c>
      <c r="C113" s="2">
        <v>123456789</v>
      </c>
      <c r="D113" s="2">
        <v>123456789</v>
      </c>
    </row>
    <row r="114" spans="1:4" x14ac:dyDescent="0.45">
      <c r="A114" t="s">
        <v>247</v>
      </c>
      <c r="B114">
        <v>14.12</v>
      </c>
      <c r="C114" s="2">
        <v>123456789</v>
      </c>
      <c r="D114" s="2">
        <v>123456789</v>
      </c>
    </row>
    <row r="115" spans="1:4" x14ac:dyDescent="0.45">
      <c r="A115" t="s">
        <v>248</v>
      </c>
      <c r="B115">
        <v>13.37</v>
      </c>
      <c r="C115" s="2">
        <v>123456789</v>
      </c>
      <c r="D115" s="2">
        <v>123456789</v>
      </c>
    </row>
    <row r="116" spans="1:4" x14ac:dyDescent="0.45">
      <c r="A116" t="s">
        <v>249</v>
      </c>
      <c r="B116">
        <v>12.44</v>
      </c>
      <c r="C116" s="2">
        <v>123456789</v>
      </c>
      <c r="D116" s="2">
        <v>123456789</v>
      </c>
    </row>
    <row r="117" spans="1:4" x14ac:dyDescent="0.45">
      <c r="A117" t="s">
        <v>250</v>
      </c>
      <c r="B117">
        <v>11.19</v>
      </c>
      <c r="C117" s="2">
        <v>123456789</v>
      </c>
      <c r="D117" s="2">
        <v>123456789</v>
      </c>
    </row>
    <row r="118" spans="1:4" x14ac:dyDescent="0.45">
      <c r="A118" t="s">
        <v>251</v>
      </c>
      <c r="B118">
        <v>11.3</v>
      </c>
      <c r="C118" s="2">
        <v>123456789</v>
      </c>
      <c r="D118" s="2">
        <v>123456789</v>
      </c>
    </row>
    <row r="119" spans="1:4" x14ac:dyDescent="0.45">
      <c r="A119" t="s">
        <v>252</v>
      </c>
      <c r="B119">
        <v>15.46</v>
      </c>
      <c r="C119" s="2">
        <v>123456789</v>
      </c>
      <c r="D119" s="2">
        <v>123456789</v>
      </c>
    </row>
    <row r="120" spans="1:4" x14ac:dyDescent="0.45">
      <c r="A120" t="s">
        <v>253</v>
      </c>
      <c r="B120">
        <v>20.61</v>
      </c>
      <c r="C120" s="2">
        <v>123456789</v>
      </c>
      <c r="D120" s="2">
        <v>123456789</v>
      </c>
    </row>
    <row r="121" spans="1:4" x14ac:dyDescent="0.45">
      <c r="A121" t="s">
        <v>254</v>
      </c>
      <c r="B121">
        <v>24.02</v>
      </c>
      <c r="C121" s="2">
        <v>123456789</v>
      </c>
      <c r="D121" s="2">
        <v>123456789</v>
      </c>
    </row>
    <row r="122" spans="1:4" x14ac:dyDescent="0.45">
      <c r="A122" t="s">
        <v>255</v>
      </c>
      <c r="B122">
        <v>26.93</v>
      </c>
      <c r="C122" s="2">
        <v>123456789</v>
      </c>
      <c r="D122" s="2">
        <v>123456789</v>
      </c>
    </row>
    <row r="123" spans="1:4" x14ac:dyDescent="0.45">
      <c r="A123" t="s">
        <v>256</v>
      </c>
      <c r="B123">
        <v>26.77</v>
      </c>
      <c r="C123" s="2">
        <v>123456789</v>
      </c>
      <c r="D123" s="2">
        <v>123456789</v>
      </c>
    </row>
    <row r="124" spans="1:4" x14ac:dyDescent="0.45">
      <c r="A124" t="s">
        <v>257</v>
      </c>
      <c r="B124">
        <v>30.67</v>
      </c>
      <c r="C124" s="2">
        <v>123456789</v>
      </c>
      <c r="D124" s="2">
        <v>123456789</v>
      </c>
    </row>
    <row r="125" spans="1:4" x14ac:dyDescent="0.45">
      <c r="A125" t="s">
        <v>258</v>
      </c>
      <c r="B125">
        <v>29.72</v>
      </c>
      <c r="C125" s="2">
        <v>123456789</v>
      </c>
      <c r="D125" s="2">
        <v>123456789</v>
      </c>
    </row>
    <row r="126" spans="1:4" x14ac:dyDescent="0.45">
      <c r="A126" t="s">
        <v>259</v>
      </c>
      <c r="B126">
        <v>25.87</v>
      </c>
      <c r="C126" s="2">
        <v>123456789</v>
      </c>
      <c r="D126" s="2">
        <v>123456789</v>
      </c>
    </row>
    <row r="127" spans="1:4" x14ac:dyDescent="0.45">
      <c r="A127" t="s">
        <v>260</v>
      </c>
      <c r="B127">
        <v>27.27</v>
      </c>
      <c r="C127" s="2">
        <v>123456789</v>
      </c>
      <c r="D127" s="2">
        <v>123456789</v>
      </c>
    </row>
    <row r="128" spans="1:4" x14ac:dyDescent="0.45">
      <c r="A128" t="s">
        <v>261</v>
      </c>
      <c r="B128">
        <v>25.3</v>
      </c>
      <c r="C128" s="2">
        <v>123456789</v>
      </c>
      <c r="D128" s="2">
        <v>123456789</v>
      </c>
    </row>
    <row r="129" spans="1:4" x14ac:dyDescent="0.45">
      <c r="A129" t="s">
        <v>262</v>
      </c>
      <c r="B129">
        <v>19.350000000000001</v>
      </c>
      <c r="C129" s="2">
        <v>123456789</v>
      </c>
      <c r="D129" s="2">
        <v>123456789</v>
      </c>
    </row>
    <row r="130" spans="1:4" x14ac:dyDescent="0.45">
      <c r="A130" t="s">
        <v>263</v>
      </c>
      <c r="B130">
        <v>21.13</v>
      </c>
      <c r="C130" s="2">
        <v>123456789</v>
      </c>
      <c r="D130" s="2">
        <v>123456789</v>
      </c>
    </row>
    <row r="131" spans="1:4" x14ac:dyDescent="0.45">
      <c r="A131" t="s">
        <v>264</v>
      </c>
      <c r="B131">
        <v>25.05</v>
      </c>
      <c r="C131" s="2">
        <v>123456789</v>
      </c>
      <c r="D131" s="2">
        <v>123456789</v>
      </c>
    </row>
    <row r="132" spans="1:4" x14ac:dyDescent="0.45">
      <c r="A132" t="s">
        <v>265</v>
      </c>
      <c r="B132">
        <v>26.93</v>
      </c>
      <c r="C132" s="2">
        <v>123456789</v>
      </c>
      <c r="D132" s="2">
        <v>123456789</v>
      </c>
    </row>
    <row r="133" spans="1:4" x14ac:dyDescent="0.45">
      <c r="A133" t="s">
        <v>266</v>
      </c>
      <c r="B133">
        <v>26.74</v>
      </c>
      <c r="C133" s="2">
        <v>123456789</v>
      </c>
      <c r="D133" s="2">
        <v>123456789</v>
      </c>
    </row>
    <row r="134" spans="1:4" x14ac:dyDescent="0.45">
      <c r="A134" t="s">
        <v>267</v>
      </c>
      <c r="B134">
        <v>31.52</v>
      </c>
      <c r="C134" s="2">
        <v>123456789</v>
      </c>
      <c r="D134" s="2">
        <v>123456789</v>
      </c>
    </row>
    <row r="135" spans="1:4" x14ac:dyDescent="0.45">
      <c r="A135" t="s">
        <v>268</v>
      </c>
      <c r="B135">
        <v>26.17</v>
      </c>
      <c r="C135" s="2">
        <v>123456789</v>
      </c>
      <c r="D135" s="2">
        <v>123456789</v>
      </c>
    </row>
    <row r="136" spans="1:4" x14ac:dyDescent="0.45">
      <c r="A136" t="s">
        <v>269</v>
      </c>
      <c r="B136">
        <v>28.45</v>
      </c>
      <c r="C136" s="2">
        <v>123456789</v>
      </c>
      <c r="D136" s="2">
        <v>123456789</v>
      </c>
    </row>
    <row r="137" spans="1:4" x14ac:dyDescent="0.45">
      <c r="A137" t="s">
        <v>270</v>
      </c>
      <c r="B137">
        <v>29.39</v>
      </c>
      <c r="C137" s="2">
        <v>123456789</v>
      </c>
      <c r="D137" s="2">
        <v>123456789</v>
      </c>
    </row>
    <row r="138" spans="1:4" x14ac:dyDescent="0.45">
      <c r="A138" t="s">
        <v>271</v>
      </c>
      <c r="B138">
        <v>31.92</v>
      </c>
      <c r="C138" s="2">
        <v>123456789</v>
      </c>
      <c r="D138" s="2">
        <v>123456789</v>
      </c>
    </row>
    <row r="139" spans="1:4" x14ac:dyDescent="0.45">
      <c r="A139" t="s">
        <v>272</v>
      </c>
      <c r="B139">
        <v>35.450000000000003</v>
      </c>
      <c r="C139" s="2">
        <v>123456789</v>
      </c>
      <c r="D139" s="2">
        <v>123456789</v>
      </c>
    </row>
    <row r="140" spans="1:4" x14ac:dyDescent="0.45">
      <c r="A140" t="s">
        <v>273</v>
      </c>
      <c r="B140">
        <v>41.39</v>
      </c>
      <c r="C140" s="2">
        <v>123456789</v>
      </c>
      <c r="D140" s="2">
        <v>123456789</v>
      </c>
    </row>
    <row r="141" spans="1:4" x14ac:dyDescent="0.45">
      <c r="A141" t="s">
        <v>274</v>
      </c>
      <c r="B141">
        <v>44.16</v>
      </c>
      <c r="C141" s="2">
        <v>123456789</v>
      </c>
      <c r="D141" s="2">
        <v>123456789</v>
      </c>
    </row>
    <row r="142" spans="1:4" x14ac:dyDescent="0.45">
      <c r="A142" t="s">
        <v>275</v>
      </c>
      <c r="B142">
        <v>47.7</v>
      </c>
      <c r="C142" s="2">
        <v>123456789</v>
      </c>
      <c r="D142" s="2">
        <v>123456789</v>
      </c>
    </row>
    <row r="143" spans="1:4" x14ac:dyDescent="0.45">
      <c r="A143" t="s">
        <v>276</v>
      </c>
      <c r="B143">
        <v>51.63</v>
      </c>
      <c r="C143" s="2">
        <v>123456789</v>
      </c>
      <c r="D143" s="2">
        <v>123456789</v>
      </c>
    </row>
    <row r="144" spans="1:4" x14ac:dyDescent="0.45">
      <c r="A144" t="s">
        <v>277</v>
      </c>
      <c r="B144">
        <v>61.47</v>
      </c>
      <c r="C144" s="2">
        <v>123456789</v>
      </c>
      <c r="D144" s="2">
        <v>123456789</v>
      </c>
    </row>
    <row r="145" spans="1:4" x14ac:dyDescent="0.45">
      <c r="A145" t="s">
        <v>278</v>
      </c>
      <c r="B145">
        <v>56.88</v>
      </c>
      <c r="C145" s="2">
        <v>123456789</v>
      </c>
      <c r="D145" s="2">
        <v>123456789</v>
      </c>
    </row>
    <row r="146" spans="1:4" x14ac:dyDescent="0.45">
      <c r="A146" t="s">
        <v>279</v>
      </c>
      <c r="B146">
        <v>61.75</v>
      </c>
      <c r="C146" s="2">
        <v>123456789</v>
      </c>
      <c r="D146" s="2">
        <v>123456789</v>
      </c>
    </row>
    <row r="147" spans="1:4" x14ac:dyDescent="0.45">
      <c r="A147" t="s">
        <v>280</v>
      </c>
      <c r="B147">
        <v>69.53</v>
      </c>
      <c r="C147" s="2">
        <v>123456789</v>
      </c>
      <c r="D147" s="2">
        <v>123456789</v>
      </c>
    </row>
    <row r="148" spans="1:4" x14ac:dyDescent="0.45">
      <c r="A148" t="s">
        <v>281</v>
      </c>
      <c r="B148">
        <v>69.62</v>
      </c>
      <c r="C148" s="2">
        <v>123456789</v>
      </c>
      <c r="D148" s="2">
        <v>123456789</v>
      </c>
    </row>
    <row r="149" spans="1:4" x14ac:dyDescent="0.45">
      <c r="A149" t="s">
        <v>282</v>
      </c>
      <c r="B149">
        <v>59.68</v>
      </c>
      <c r="C149" s="2">
        <v>123456789</v>
      </c>
      <c r="D149" s="2">
        <v>123456789</v>
      </c>
    </row>
    <row r="150" spans="1:4" x14ac:dyDescent="0.45">
      <c r="A150" t="s">
        <v>283</v>
      </c>
      <c r="B150">
        <v>57.76</v>
      </c>
      <c r="C150" s="2">
        <v>123456789</v>
      </c>
      <c r="D150" s="2">
        <v>123456789</v>
      </c>
    </row>
    <row r="151" spans="1:4" x14ac:dyDescent="0.45">
      <c r="A151" t="s">
        <v>284</v>
      </c>
      <c r="B151">
        <v>68.58</v>
      </c>
      <c r="C151" s="2">
        <v>123456789</v>
      </c>
      <c r="D151" s="2">
        <v>123456789</v>
      </c>
    </row>
    <row r="152" spans="1:4" x14ac:dyDescent="0.45">
      <c r="A152" t="s">
        <v>285</v>
      </c>
      <c r="B152">
        <v>74.95</v>
      </c>
      <c r="C152" s="2">
        <v>123456789</v>
      </c>
      <c r="D152" s="2">
        <v>123456789</v>
      </c>
    </row>
    <row r="153" spans="1:4" x14ac:dyDescent="0.45">
      <c r="A153" t="s">
        <v>286</v>
      </c>
      <c r="B153">
        <v>88.56</v>
      </c>
      <c r="C153" s="2">
        <v>123456789</v>
      </c>
      <c r="D153" s="2">
        <v>123456789</v>
      </c>
    </row>
    <row r="154" spans="1:4" x14ac:dyDescent="0.45">
      <c r="A154" t="s">
        <v>287</v>
      </c>
      <c r="B154">
        <v>96.94</v>
      </c>
      <c r="C154" s="2">
        <v>123456789</v>
      </c>
      <c r="D154" s="2">
        <v>123456789</v>
      </c>
    </row>
    <row r="155" spans="1:4" x14ac:dyDescent="0.45">
      <c r="A155" t="s">
        <v>288</v>
      </c>
      <c r="B155">
        <v>121.4</v>
      </c>
      <c r="C155" s="2">
        <v>123456789</v>
      </c>
      <c r="D155" s="2">
        <v>123456789</v>
      </c>
    </row>
    <row r="156" spans="1:4" x14ac:dyDescent="0.45">
      <c r="A156" t="s">
        <v>289</v>
      </c>
      <c r="B156">
        <v>114.4</v>
      </c>
      <c r="C156" s="2">
        <v>123456789</v>
      </c>
      <c r="D156" s="2">
        <v>123456789</v>
      </c>
    </row>
    <row r="157" spans="1:4" x14ac:dyDescent="0.45">
      <c r="A157" t="s">
        <v>290</v>
      </c>
      <c r="B157">
        <v>54.66</v>
      </c>
      <c r="C157" s="2">
        <v>123456789</v>
      </c>
      <c r="D157" s="2">
        <v>123456789</v>
      </c>
    </row>
    <row r="158" spans="1:4" x14ac:dyDescent="0.45">
      <c r="A158" t="s">
        <v>291</v>
      </c>
      <c r="B158">
        <v>44.43</v>
      </c>
      <c r="C158" s="2">
        <v>123456789</v>
      </c>
      <c r="D158" s="2">
        <v>123456789</v>
      </c>
    </row>
    <row r="159" spans="1:4" x14ac:dyDescent="0.45">
      <c r="A159" t="s">
        <v>292</v>
      </c>
      <c r="B159">
        <v>58.7</v>
      </c>
      <c r="C159" s="2">
        <v>123456789</v>
      </c>
      <c r="D159" s="2">
        <v>123456789</v>
      </c>
    </row>
    <row r="160" spans="1:4" x14ac:dyDescent="0.45">
      <c r="A160" t="s">
        <v>293</v>
      </c>
      <c r="B160">
        <v>68.2</v>
      </c>
      <c r="C160" s="2">
        <v>123456789</v>
      </c>
      <c r="D160" s="2">
        <v>123456789</v>
      </c>
    </row>
    <row r="161" spans="1:4" x14ac:dyDescent="0.45">
      <c r="A161" t="s">
        <v>294</v>
      </c>
      <c r="B161">
        <v>74.63</v>
      </c>
      <c r="C161" s="2">
        <v>123456789</v>
      </c>
      <c r="D161" s="2">
        <v>123456789</v>
      </c>
    </row>
    <row r="162" spans="1:4" x14ac:dyDescent="0.45">
      <c r="A162" t="s">
        <v>295</v>
      </c>
      <c r="B162">
        <v>76.25</v>
      </c>
      <c r="C162" s="2">
        <v>123456789</v>
      </c>
      <c r="D162" s="2">
        <v>123456789</v>
      </c>
    </row>
    <row r="163" spans="1:4" x14ac:dyDescent="0.45">
      <c r="A163" t="s">
        <v>296</v>
      </c>
      <c r="B163">
        <v>78.510000000000005</v>
      </c>
      <c r="C163" s="2">
        <v>123456789</v>
      </c>
      <c r="D163" s="2">
        <v>123456789</v>
      </c>
    </row>
    <row r="164" spans="1:4" x14ac:dyDescent="0.45">
      <c r="A164" t="s">
        <v>297</v>
      </c>
      <c r="B164">
        <v>76.819999999999993</v>
      </c>
      <c r="C164" s="2">
        <v>123456789</v>
      </c>
      <c r="D164" s="2">
        <v>123456789</v>
      </c>
    </row>
    <row r="165" spans="1:4" x14ac:dyDescent="0.45">
      <c r="A165" t="s">
        <v>298</v>
      </c>
      <c r="B165">
        <v>86.47</v>
      </c>
      <c r="C165" s="2">
        <v>123456789</v>
      </c>
      <c r="D165" s="2">
        <v>123456789</v>
      </c>
    </row>
    <row r="166" spans="1:4" x14ac:dyDescent="0.45">
      <c r="A166" t="s">
        <v>299</v>
      </c>
      <c r="B166">
        <v>104.96</v>
      </c>
      <c r="C166" s="2">
        <v>123456789</v>
      </c>
      <c r="D166" s="2">
        <v>123456789</v>
      </c>
    </row>
    <row r="167" spans="1:4" x14ac:dyDescent="0.45">
      <c r="A167" t="s">
        <v>300</v>
      </c>
      <c r="B167">
        <v>117.36</v>
      </c>
      <c r="C167" s="2">
        <v>123456789</v>
      </c>
      <c r="D167" s="2">
        <v>123456789</v>
      </c>
    </row>
    <row r="168" spans="1:4" x14ac:dyDescent="0.45">
      <c r="A168" t="s">
        <v>301</v>
      </c>
      <c r="B168">
        <v>113.34</v>
      </c>
      <c r="C168" s="2">
        <v>123456789</v>
      </c>
      <c r="D168" s="2">
        <v>123456789</v>
      </c>
    </row>
    <row r="169" spans="1:4" x14ac:dyDescent="0.45">
      <c r="A169" t="s">
        <v>302</v>
      </c>
      <c r="B169">
        <v>109.4</v>
      </c>
      <c r="C169" s="2">
        <v>123456789</v>
      </c>
      <c r="D169" s="2">
        <v>123456789</v>
      </c>
    </row>
    <row r="170" spans="1:4" x14ac:dyDescent="0.45">
      <c r="A170" t="s">
        <v>303</v>
      </c>
      <c r="B170">
        <v>118.49</v>
      </c>
      <c r="C170" s="2">
        <v>123456789</v>
      </c>
      <c r="D170" s="2">
        <v>123456789</v>
      </c>
    </row>
    <row r="171" spans="1:4" x14ac:dyDescent="0.45">
      <c r="A171" t="s">
        <v>304</v>
      </c>
      <c r="B171">
        <v>108.42</v>
      </c>
      <c r="C171" s="2">
        <v>123456789</v>
      </c>
      <c r="D171" s="2">
        <v>123456789</v>
      </c>
    </row>
    <row r="172" spans="1:4" x14ac:dyDescent="0.45">
      <c r="A172" t="s">
        <v>305</v>
      </c>
      <c r="B172">
        <v>109.61</v>
      </c>
      <c r="C172" s="2">
        <v>123456789</v>
      </c>
      <c r="D172" s="2">
        <v>123456789</v>
      </c>
    </row>
    <row r="173" spans="1:4" x14ac:dyDescent="0.45">
      <c r="A173" t="s">
        <v>306</v>
      </c>
      <c r="B173">
        <v>110.09</v>
      </c>
      <c r="C173" s="2">
        <v>123456789</v>
      </c>
      <c r="D173" s="2">
        <v>123456789</v>
      </c>
    </row>
    <row r="174" spans="1:4" x14ac:dyDescent="0.45">
      <c r="A174" t="s">
        <v>307</v>
      </c>
      <c r="B174">
        <v>112.49</v>
      </c>
      <c r="C174" s="2">
        <v>123456789</v>
      </c>
      <c r="D174" s="2">
        <v>123456789</v>
      </c>
    </row>
    <row r="175" spans="1:4" x14ac:dyDescent="0.45">
      <c r="A175" t="s">
        <v>308</v>
      </c>
      <c r="B175">
        <v>102.58</v>
      </c>
      <c r="C175" s="2">
        <v>123456789</v>
      </c>
      <c r="D175" s="2">
        <v>123456789</v>
      </c>
    </row>
    <row r="176" spans="1:4" x14ac:dyDescent="0.45">
      <c r="A176" t="s">
        <v>309</v>
      </c>
      <c r="B176">
        <v>110.27</v>
      </c>
      <c r="C176" s="2">
        <v>123456789</v>
      </c>
      <c r="D176" s="2">
        <v>123456789</v>
      </c>
    </row>
    <row r="177" spans="1:4" x14ac:dyDescent="0.45">
      <c r="A177" t="s">
        <v>310</v>
      </c>
      <c r="B177">
        <v>109.21</v>
      </c>
      <c r="C177" s="2">
        <v>123456789</v>
      </c>
      <c r="D177" s="2">
        <v>123456789</v>
      </c>
    </row>
    <row r="178" spans="1:4" x14ac:dyDescent="0.45">
      <c r="A178" t="s">
        <v>311</v>
      </c>
      <c r="B178">
        <v>108.17</v>
      </c>
      <c r="C178" s="2">
        <v>123456789</v>
      </c>
      <c r="D178" s="2">
        <v>123456789</v>
      </c>
    </row>
    <row r="179" spans="1:4" x14ac:dyDescent="0.45">
      <c r="A179" t="s">
        <v>312</v>
      </c>
      <c r="B179">
        <v>109.7</v>
      </c>
      <c r="C179" s="2">
        <v>123456789</v>
      </c>
      <c r="D179" s="2">
        <v>123456789</v>
      </c>
    </row>
    <row r="180" spans="1:4" x14ac:dyDescent="0.45">
      <c r="A180" t="s">
        <v>313</v>
      </c>
      <c r="B180">
        <v>101.82</v>
      </c>
      <c r="C180" s="2">
        <v>123456789</v>
      </c>
      <c r="D180" s="2">
        <v>123456789</v>
      </c>
    </row>
    <row r="181" spans="1:4" x14ac:dyDescent="0.45">
      <c r="A181" t="s">
        <v>314</v>
      </c>
      <c r="B181">
        <v>76.400000000000006</v>
      </c>
      <c r="C181" s="2">
        <v>123456789</v>
      </c>
      <c r="D181" s="2">
        <v>123456789</v>
      </c>
    </row>
    <row r="182" spans="1:4" x14ac:dyDescent="0.45">
      <c r="A182" t="s">
        <v>315</v>
      </c>
      <c r="B182">
        <v>53.92</v>
      </c>
      <c r="C182" s="2">
        <v>123456789</v>
      </c>
      <c r="D182" s="2">
        <v>123456789</v>
      </c>
    </row>
    <row r="183" spans="1:4" x14ac:dyDescent="0.45">
      <c r="A183" t="s">
        <v>316</v>
      </c>
      <c r="B183">
        <v>61.69</v>
      </c>
      <c r="C183" s="2">
        <v>123456789</v>
      </c>
      <c r="D183" s="2">
        <v>123456789</v>
      </c>
    </row>
    <row r="184" spans="1:4" x14ac:dyDescent="0.45">
      <c r="A184" t="s">
        <v>317</v>
      </c>
      <c r="B184">
        <v>50.23</v>
      </c>
      <c r="C184" s="2">
        <v>123456789</v>
      </c>
      <c r="D184" s="2">
        <v>123456789</v>
      </c>
    </row>
    <row r="185" spans="1:4" x14ac:dyDescent="0.45">
      <c r="A185" t="s">
        <v>318</v>
      </c>
      <c r="B185">
        <v>43.57</v>
      </c>
      <c r="C185" s="2">
        <v>123456789</v>
      </c>
      <c r="D185" s="2">
        <v>123456789</v>
      </c>
    </row>
    <row r="186" spans="1:4" x14ac:dyDescent="0.45">
      <c r="A186" t="s">
        <v>319</v>
      </c>
      <c r="B186">
        <v>33.700000000000003</v>
      </c>
      <c r="C186" s="2">
        <v>123456789</v>
      </c>
      <c r="D186" s="2">
        <v>123456789</v>
      </c>
    </row>
    <row r="187" spans="1:4" x14ac:dyDescent="0.45">
      <c r="A187" t="s">
        <v>320</v>
      </c>
      <c r="B187">
        <v>45.52</v>
      </c>
      <c r="C187" s="2">
        <v>123456789</v>
      </c>
      <c r="D187" s="2">
        <v>123456789</v>
      </c>
    </row>
    <row r="188" spans="1:4" x14ac:dyDescent="0.45">
      <c r="A188" t="s">
        <v>321</v>
      </c>
      <c r="B188">
        <v>45.79</v>
      </c>
      <c r="C188" s="2">
        <v>123456789</v>
      </c>
      <c r="D188" s="2">
        <v>123456789</v>
      </c>
    </row>
    <row r="189" spans="1:4" x14ac:dyDescent="0.45">
      <c r="A189" t="s">
        <v>322</v>
      </c>
      <c r="B189">
        <v>49.19</v>
      </c>
      <c r="C189" s="2">
        <v>123456789</v>
      </c>
      <c r="D189" s="2">
        <v>123456789</v>
      </c>
    </row>
    <row r="190" spans="1:4" x14ac:dyDescent="0.45">
      <c r="A190" t="s">
        <v>323</v>
      </c>
      <c r="B190">
        <v>53.68</v>
      </c>
      <c r="C190" s="2">
        <v>123456789</v>
      </c>
      <c r="D190" s="2">
        <v>123456789</v>
      </c>
    </row>
    <row r="191" spans="1:4" x14ac:dyDescent="0.45">
      <c r="A191" t="s">
        <v>324</v>
      </c>
      <c r="B191">
        <v>49.67</v>
      </c>
      <c r="C191" s="2">
        <v>123456789</v>
      </c>
      <c r="D191" s="2">
        <v>123456789</v>
      </c>
    </row>
    <row r="192" spans="1:4" x14ac:dyDescent="0.45">
      <c r="A192" t="s">
        <v>325</v>
      </c>
      <c r="B192">
        <v>52.11</v>
      </c>
      <c r="C192" s="2">
        <v>123456789</v>
      </c>
      <c r="D192" s="2">
        <v>123456789</v>
      </c>
    </row>
    <row r="193" spans="1:4" x14ac:dyDescent="0.45">
      <c r="A193" t="s">
        <v>326</v>
      </c>
      <c r="B193">
        <v>61.53</v>
      </c>
      <c r="C193" s="2">
        <v>123456789</v>
      </c>
      <c r="D193" s="2">
        <v>123456789</v>
      </c>
    </row>
    <row r="194" spans="1:4" x14ac:dyDescent="0.45">
      <c r="A194" t="s">
        <v>327</v>
      </c>
      <c r="B194">
        <v>66.81</v>
      </c>
      <c r="C194" s="2">
        <v>123456789</v>
      </c>
      <c r="D194" s="2">
        <v>123456789</v>
      </c>
    </row>
    <row r="195" spans="1:4" x14ac:dyDescent="0.45">
      <c r="A195" t="s">
        <v>328</v>
      </c>
      <c r="B195">
        <v>74.5</v>
      </c>
      <c r="C195" s="2">
        <v>123456789</v>
      </c>
      <c r="D195" s="2">
        <v>123456789</v>
      </c>
    </row>
    <row r="196" spans="1:4" x14ac:dyDescent="0.45">
      <c r="A196" t="s">
        <v>329</v>
      </c>
      <c r="B196">
        <v>75.22</v>
      </c>
      <c r="C196" s="2">
        <v>123456789</v>
      </c>
      <c r="D196" s="2">
        <v>123456789</v>
      </c>
    </row>
    <row r="197" spans="1:4" x14ac:dyDescent="0.45">
      <c r="A197" t="s">
        <v>330</v>
      </c>
      <c r="B197">
        <v>67.709999999999994</v>
      </c>
      <c r="C197" s="2">
        <v>123456789</v>
      </c>
      <c r="D197" s="2">
        <v>123456789</v>
      </c>
    </row>
    <row r="198" spans="1:4" x14ac:dyDescent="0.45">
      <c r="A198" t="s">
        <v>331</v>
      </c>
      <c r="B198">
        <v>63.17</v>
      </c>
      <c r="C198" s="2">
        <v>123456789</v>
      </c>
      <c r="D198" s="2">
        <v>123456789</v>
      </c>
    </row>
    <row r="199" spans="1:4" x14ac:dyDescent="0.45">
      <c r="A199" t="s">
        <v>332</v>
      </c>
      <c r="B199">
        <v>68.92</v>
      </c>
      <c r="C199" s="2">
        <v>123456789</v>
      </c>
      <c r="D199" s="2">
        <v>123456789</v>
      </c>
    </row>
    <row r="200" spans="1:4" x14ac:dyDescent="0.45">
      <c r="A200" t="s">
        <v>333</v>
      </c>
      <c r="B200">
        <v>61.93</v>
      </c>
      <c r="C200" s="2">
        <v>123456789</v>
      </c>
      <c r="D200" s="2">
        <v>123456789</v>
      </c>
    </row>
    <row r="201" spans="1:4" x14ac:dyDescent="0.45">
      <c r="A201" t="s">
        <v>334</v>
      </c>
      <c r="B201">
        <v>63.41</v>
      </c>
      <c r="C201" s="2">
        <v>123456789</v>
      </c>
      <c r="D201" s="2">
        <v>123456789</v>
      </c>
    </row>
    <row r="202" spans="1:4" x14ac:dyDescent="0.45">
      <c r="A202" t="s">
        <v>335</v>
      </c>
      <c r="B202">
        <v>50.44</v>
      </c>
      <c r="C202" s="2">
        <v>123456789</v>
      </c>
      <c r="D202" s="2">
        <v>123456789</v>
      </c>
    </row>
    <row r="203" spans="1:4" x14ac:dyDescent="0.45">
      <c r="A203" t="s">
        <v>336</v>
      </c>
      <c r="B203">
        <v>29.34</v>
      </c>
      <c r="C203" s="2">
        <v>123456789</v>
      </c>
      <c r="D203" s="2">
        <v>123456789</v>
      </c>
    </row>
    <row r="204" spans="1:4" x14ac:dyDescent="0.45">
      <c r="A204" t="s">
        <v>337</v>
      </c>
      <c r="B204">
        <v>42.96</v>
      </c>
      <c r="C204" s="2">
        <v>123456789</v>
      </c>
      <c r="D204" s="2">
        <v>123456789</v>
      </c>
    </row>
    <row r="205" spans="1:4" x14ac:dyDescent="0.45">
      <c r="A205" t="s">
        <v>338</v>
      </c>
      <c r="B205">
        <v>44.29</v>
      </c>
      <c r="C205" s="2">
        <v>123456789</v>
      </c>
      <c r="D205" s="2">
        <v>123456789</v>
      </c>
    </row>
    <row r="206" spans="1:4" x14ac:dyDescent="0.45">
      <c r="A206" t="s">
        <v>339</v>
      </c>
      <c r="B206">
        <v>60.82</v>
      </c>
      <c r="C206" s="2">
        <v>123456789</v>
      </c>
      <c r="D206" s="2">
        <v>123456789</v>
      </c>
    </row>
    <row r="207" spans="1:4" x14ac:dyDescent="0.45">
      <c r="A207" t="s">
        <v>340</v>
      </c>
      <c r="B207">
        <v>68.83</v>
      </c>
      <c r="C207" s="2">
        <v>123456789</v>
      </c>
      <c r="D207" s="2">
        <v>123456789</v>
      </c>
    </row>
    <row r="208" spans="1:4" x14ac:dyDescent="0.45">
      <c r="A208" t="s">
        <v>341</v>
      </c>
      <c r="B208">
        <v>73.47</v>
      </c>
      <c r="C208" s="2">
        <v>123456789</v>
      </c>
      <c r="D208" s="2">
        <v>123456789</v>
      </c>
    </row>
    <row r="209" spans="1:4" x14ac:dyDescent="0.45">
      <c r="A209" t="s">
        <v>342</v>
      </c>
      <c r="B209">
        <v>79.59</v>
      </c>
      <c r="C209" s="2">
        <v>123456789</v>
      </c>
      <c r="D209" s="2">
        <v>123456789</v>
      </c>
    </row>
    <row r="210" spans="1:4" x14ac:dyDescent="0.45">
      <c r="A210" t="s">
        <v>343</v>
      </c>
      <c r="B210">
        <v>100.3</v>
      </c>
      <c r="C210" s="2">
        <v>123456789</v>
      </c>
      <c r="D210" s="2">
        <v>123456789</v>
      </c>
    </row>
    <row r="211" spans="1:4" x14ac:dyDescent="0.45">
      <c r="A211" t="s">
        <v>344</v>
      </c>
      <c r="B211">
        <v>113.54</v>
      </c>
      <c r="C211" s="2">
        <v>123456789</v>
      </c>
      <c r="D211" s="2">
        <v>123456789</v>
      </c>
    </row>
    <row r="212" spans="1:4" x14ac:dyDescent="0.45">
      <c r="A212" t="s">
        <v>345</v>
      </c>
      <c r="B212">
        <v>100.71</v>
      </c>
      <c r="C212" s="2">
        <v>123456789</v>
      </c>
      <c r="D212" s="2">
        <v>123456789</v>
      </c>
    </row>
    <row r="213" spans="1:4" x14ac:dyDescent="0.45">
      <c r="A213" t="s">
        <v>346</v>
      </c>
      <c r="B213">
        <v>88.56</v>
      </c>
      <c r="C213" s="2">
        <v>123456789</v>
      </c>
      <c r="D213" s="2">
        <v>123456789</v>
      </c>
    </row>
    <row r="214" spans="1:4" x14ac:dyDescent="0.45">
      <c r="A214" t="s">
        <v>347</v>
      </c>
      <c r="B214">
        <v>81.17</v>
      </c>
      <c r="C214" s="2">
        <v>123456789</v>
      </c>
      <c r="D214" s="2">
        <v>123456789</v>
      </c>
    </row>
    <row r="215" spans="1:4" x14ac:dyDescent="0.45">
      <c r="A215" t="s">
        <v>348</v>
      </c>
      <c r="B215">
        <v>78.319999999999993</v>
      </c>
      <c r="C215" s="2">
        <v>123456789</v>
      </c>
      <c r="D215" s="2">
        <v>123456789</v>
      </c>
    </row>
    <row r="216" spans="1:4" x14ac:dyDescent="0.45">
      <c r="A216" t="s">
        <v>349</v>
      </c>
      <c r="B216">
        <v>86.66</v>
      </c>
      <c r="C216" s="2">
        <v>123456789</v>
      </c>
      <c r="D216" s="2">
        <v>123456789</v>
      </c>
    </row>
    <row r="217" spans="1:4" x14ac:dyDescent="0.45">
      <c r="A217" t="s">
        <v>350</v>
      </c>
      <c r="B217">
        <v>83.72</v>
      </c>
      <c r="C217" s="2">
        <v>123456789</v>
      </c>
      <c r="D217" s="2">
        <v>123456789</v>
      </c>
    </row>
    <row r="218" spans="1:4" x14ac:dyDescent="0.45">
      <c r="A218" t="s">
        <v>351</v>
      </c>
      <c r="B218">
        <v>83</v>
      </c>
      <c r="C218" s="2">
        <v>123456789</v>
      </c>
      <c r="D218" s="2">
        <v>123456789</v>
      </c>
    </row>
    <row r="219" spans="1:4" x14ac:dyDescent="0.45">
      <c r="A219" t="s">
        <v>352</v>
      </c>
      <c r="B219">
        <v>84.65</v>
      </c>
      <c r="C219" s="2">
        <v>123456789</v>
      </c>
      <c r="D219" s="2">
        <v>123456789</v>
      </c>
    </row>
    <row r="220" spans="1:4" x14ac:dyDescent="0.45">
      <c r="A220" t="s">
        <v>353</v>
      </c>
      <c r="B220">
        <v>79.84</v>
      </c>
      <c r="C220" s="2">
        <v>123456789</v>
      </c>
      <c r="D220" s="2">
        <v>123456789</v>
      </c>
    </row>
    <row r="221" spans="1:4" x14ac:dyDescent="0.45">
      <c r="A221" t="s">
        <v>354</v>
      </c>
      <c r="B221">
        <v>74.61</v>
      </c>
      <c r="C221" s="2">
        <v>123456789</v>
      </c>
      <c r="D221" s="2">
        <v>123456789</v>
      </c>
    </row>
    <row r="222" spans="1:4" x14ac:dyDescent="0.45">
      <c r="A222" t="s">
        <v>355</v>
      </c>
      <c r="B222">
        <v>75.81</v>
      </c>
      <c r="C222" s="2">
        <v>123456789</v>
      </c>
      <c r="D222" s="2">
        <v>123456789</v>
      </c>
    </row>
    <row r="223" spans="1:4" x14ac:dyDescent="0.45">
      <c r="A223" t="s">
        <v>356</v>
      </c>
      <c r="B223">
        <v>68.010000000000005</v>
      </c>
      <c r="C223" s="2">
        <v>123456789</v>
      </c>
      <c r="D223" s="2">
        <v>123456789</v>
      </c>
    </row>
    <row r="224" spans="1:4" x14ac:dyDescent="0.45">
      <c r="A224" t="s">
        <v>357</v>
      </c>
      <c r="B224">
        <v>68.959999999999994</v>
      </c>
      <c r="C224" s="2">
        <v>123456789</v>
      </c>
      <c r="D224" s="2">
        <v>123456789</v>
      </c>
    </row>
    <row r="225" spans="1:4" x14ac:dyDescent="0.45">
      <c r="A225" t="s">
        <v>438</v>
      </c>
      <c r="B225">
        <v>68.959999999999994</v>
      </c>
      <c r="C225" s="2">
        <v>123456789</v>
      </c>
      <c r="D225" s="2">
        <v>123456789</v>
      </c>
    </row>
    <row r="226" spans="1:4" x14ac:dyDescent="0.45">
      <c r="A226" t="s">
        <v>441</v>
      </c>
      <c r="B226">
        <v>68.959999999999994</v>
      </c>
      <c r="C226" s="2">
        <v>123456789</v>
      </c>
      <c r="D226" s="2">
        <v>123456789</v>
      </c>
    </row>
  </sheetData>
  <phoneticPr fontId="3"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E44D-EF59-4380-BC85-878FA2791AEE}">
  <sheetPr>
    <tabColor theme="9" tint="0.79998168889431442"/>
  </sheetPr>
  <dimension ref="A1:D226"/>
  <sheetViews>
    <sheetView topLeftCell="A211" workbookViewId="0">
      <selection activeCell="D229" sqref="D229"/>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f>(oil!B14/oil!B10-1)*100</f>
        <v>17.514124293785294</v>
      </c>
      <c r="C14" s="2">
        <v>123456789</v>
      </c>
      <c r="D14" s="2">
        <v>123456789</v>
      </c>
    </row>
    <row r="15" spans="1:4" x14ac:dyDescent="0.45">
      <c r="A15" t="s">
        <v>148</v>
      </c>
      <c r="B15">
        <f>(oil!B15/oil!B11-1)*100</f>
        <v>32.768361581920892</v>
      </c>
      <c r="C15" s="2">
        <v>123456789</v>
      </c>
      <c r="D15" s="2">
        <v>123456789</v>
      </c>
    </row>
    <row r="16" spans="1:4" x14ac:dyDescent="0.45">
      <c r="A16" t="s">
        <v>149</v>
      </c>
      <c r="B16">
        <f>(oil!B16/oil!B12-1)*100</f>
        <v>44.385026737967934</v>
      </c>
      <c r="C16" s="2">
        <v>123456789</v>
      </c>
      <c r="D16" s="2">
        <v>123456789</v>
      </c>
    </row>
    <row r="17" spans="1:4" x14ac:dyDescent="0.45">
      <c r="A17" t="s">
        <v>150</v>
      </c>
      <c r="B17">
        <f>(oil!B17/oil!B13-1)*100</f>
        <v>119.25133689839566</v>
      </c>
      <c r="C17" s="2">
        <v>123456789</v>
      </c>
      <c r="D17" s="2">
        <v>123456789</v>
      </c>
    </row>
    <row r="18" spans="1:4" x14ac:dyDescent="0.45">
      <c r="A18" t="s">
        <v>151</v>
      </c>
      <c r="B18">
        <f>(oil!B18/oil!B14-1)*100</f>
        <v>525</v>
      </c>
      <c r="C18" s="2">
        <v>123456789</v>
      </c>
      <c r="D18" s="2">
        <v>123456789</v>
      </c>
    </row>
    <row r="19" spans="1:4" x14ac:dyDescent="0.45">
      <c r="A19" t="s">
        <v>152</v>
      </c>
      <c r="B19">
        <f>(oil!B19/oil!B15-1)*100</f>
        <v>351.06376485617011</v>
      </c>
      <c r="C19" s="2">
        <v>123456789</v>
      </c>
      <c r="D19" s="2">
        <v>123456789</v>
      </c>
    </row>
    <row r="20" spans="1:4" x14ac:dyDescent="0.45">
      <c r="A20" t="s">
        <v>153</v>
      </c>
      <c r="B20">
        <f>(oil!B20/oil!B16-1)*100</f>
        <v>270.37037037037021</v>
      </c>
      <c r="C20" s="2">
        <v>123456789</v>
      </c>
      <c r="D20" s="2">
        <v>123456789</v>
      </c>
    </row>
    <row r="21" spans="1:4" x14ac:dyDescent="0.45">
      <c r="A21" t="s">
        <v>154</v>
      </c>
      <c r="B21">
        <f>(oil!B21/oil!B17-1)*100</f>
        <v>151.21949358682926</v>
      </c>
      <c r="C21" s="2">
        <v>123456789</v>
      </c>
      <c r="D21" s="2">
        <v>123456789</v>
      </c>
    </row>
    <row r="22" spans="1:4" x14ac:dyDescent="0.45">
      <c r="A22" t="s">
        <v>155</v>
      </c>
      <c r="B22">
        <f>(oil!B22/oil!B18-1)*100</f>
        <v>-19.846153259307687</v>
      </c>
      <c r="C22" s="2">
        <v>123456789</v>
      </c>
      <c r="D22" s="2">
        <v>123456789</v>
      </c>
    </row>
    <row r="23" spans="1:4" x14ac:dyDescent="0.45">
      <c r="A23" t="s">
        <v>156</v>
      </c>
      <c r="B23">
        <f>(oil!B23/oil!B19-1)*100</f>
        <v>-1.6980983371786995</v>
      </c>
      <c r="C23" s="2">
        <v>123456789</v>
      </c>
      <c r="D23" s="2">
        <v>123456789</v>
      </c>
    </row>
    <row r="24" spans="1:4" x14ac:dyDescent="0.45">
      <c r="A24" t="s">
        <v>157</v>
      </c>
      <c r="B24">
        <f>(oil!B24/oil!B20-1)*100</f>
        <v>4.3000030518000054</v>
      </c>
      <c r="C24" s="2">
        <v>123456789</v>
      </c>
      <c r="D24" s="2">
        <v>123456789</v>
      </c>
    </row>
    <row r="25" spans="1:4" x14ac:dyDescent="0.45">
      <c r="A25" t="s">
        <v>158</v>
      </c>
      <c r="B25">
        <f>(oil!B25/oil!B21-1)*100</f>
        <v>1.5534059508889086</v>
      </c>
      <c r="C25" s="2">
        <v>123456789</v>
      </c>
      <c r="D25" s="2">
        <v>123456789</v>
      </c>
    </row>
    <row r="26" spans="1:4" x14ac:dyDescent="0.45">
      <c r="A26" t="s">
        <v>159</v>
      </c>
      <c r="B26">
        <f>(oil!B26/oil!B22-1)*100</f>
        <v>10.460653978978552</v>
      </c>
      <c r="C26" s="2">
        <v>123456789</v>
      </c>
      <c r="D26" s="2">
        <v>123456789</v>
      </c>
    </row>
    <row r="27" spans="1:4" x14ac:dyDescent="0.45">
      <c r="A27" t="s">
        <v>160</v>
      </c>
      <c r="B27">
        <f>(oil!B27/oil!B23-1)*100</f>
        <v>10.460653978978552</v>
      </c>
      <c r="C27" s="2">
        <v>123456789</v>
      </c>
      <c r="D27" s="2">
        <v>123456789</v>
      </c>
    </row>
    <row r="28" spans="1:4" x14ac:dyDescent="0.45">
      <c r="A28" t="s">
        <v>161</v>
      </c>
      <c r="B28">
        <f>(oil!B28/oil!B24-1)*100</f>
        <v>11.217641822205193</v>
      </c>
      <c r="C28" s="2">
        <v>123456789</v>
      </c>
      <c r="D28" s="2">
        <v>123456789</v>
      </c>
    </row>
    <row r="29" spans="1:4" x14ac:dyDescent="0.45">
      <c r="A29" t="s">
        <v>162</v>
      </c>
      <c r="B29">
        <f>(oil!B29/oil!B25-1)*100</f>
        <v>13.766726339655744</v>
      </c>
      <c r="C29" s="2">
        <v>123456789</v>
      </c>
      <c r="D29" s="2">
        <v>123456789</v>
      </c>
    </row>
    <row r="30" spans="1:4" x14ac:dyDescent="0.45">
      <c r="A30" t="s">
        <v>163</v>
      </c>
      <c r="B30">
        <f>(oil!B30/oil!B26-1)*100</f>
        <v>8.6012141740533501</v>
      </c>
      <c r="C30" s="2">
        <v>123456789</v>
      </c>
      <c r="D30" s="2">
        <v>123456789</v>
      </c>
    </row>
    <row r="31" spans="1:4" x14ac:dyDescent="0.45">
      <c r="A31" t="s">
        <v>164</v>
      </c>
      <c r="B31">
        <f>(oil!B31/oil!B27-1)*100</f>
        <v>8.1668076602763762</v>
      </c>
      <c r="C31" s="2">
        <v>123456789</v>
      </c>
      <c r="D31" s="2">
        <v>123456789</v>
      </c>
    </row>
    <row r="32" spans="1:4" x14ac:dyDescent="0.45">
      <c r="A32" t="s">
        <v>165</v>
      </c>
      <c r="B32">
        <f>(oil!B32/oil!B28-1)*100</f>
        <v>8.8793077508456655</v>
      </c>
      <c r="C32" s="2">
        <v>123456789</v>
      </c>
      <c r="D32" s="2">
        <v>123456789</v>
      </c>
    </row>
    <row r="33" spans="1:4" x14ac:dyDescent="0.45">
      <c r="A33" t="s">
        <v>166</v>
      </c>
      <c r="B33">
        <f>(oil!B33/oil!B29-1)*100</f>
        <v>6.5546278290246729</v>
      </c>
      <c r="C33" s="2">
        <v>123456789</v>
      </c>
      <c r="D33" s="2">
        <v>123456789</v>
      </c>
    </row>
    <row r="34" spans="1:4" x14ac:dyDescent="0.45">
      <c r="A34" t="s">
        <v>167</v>
      </c>
      <c r="B34">
        <f>(oil!B34/oil!B30-1)*100</f>
        <v>1.2799987792799783</v>
      </c>
      <c r="C34" s="2">
        <v>123456789</v>
      </c>
      <c r="D34" s="2">
        <v>123456789</v>
      </c>
    </row>
    <row r="35" spans="1:4" x14ac:dyDescent="0.45">
      <c r="A35" t="s">
        <v>168</v>
      </c>
      <c r="B35">
        <f>(oil!B35/oil!B31-1)*100</f>
        <v>2.034806534197986</v>
      </c>
      <c r="C35" s="2">
        <v>123456789</v>
      </c>
      <c r="D35" s="2">
        <v>123456789</v>
      </c>
    </row>
    <row r="36" spans="1:4" x14ac:dyDescent="0.45">
      <c r="A36" t="s">
        <v>169</v>
      </c>
      <c r="B36">
        <f>(oil!B36/oil!B32-1)*100</f>
        <v>1.2404335253664245</v>
      </c>
      <c r="C36" s="2">
        <v>123456789</v>
      </c>
      <c r="D36" s="2">
        <v>123456789</v>
      </c>
    </row>
    <row r="37" spans="1:4" x14ac:dyDescent="0.45">
      <c r="A37" t="s">
        <v>170</v>
      </c>
      <c r="B37">
        <f>(oil!B37/oil!B33-1)*100</f>
        <v>6.598315496292817</v>
      </c>
      <c r="C37" s="2">
        <v>123456789</v>
      </c>
      <c r="D37" s="2">
        <v>123456789</v>
      </c>
    </row>
    <row r="38" spans="1:4" x14ac:dyDescent="0.45">
      <c r="A38" t="s">
        <v>171</v>
      </c>
      <c r="B38">
        <f>(oil!B38/oil!B34-1)*100</f>
        <v>69.03633895928813</v>
      </c>
      <c r="C38" s="2">
        <v>123456789</v>
      </c>
      <c r="D38" s="2">
        <v>123456789</v>
      </c>
    </row>
    <row r="39" spans="1:4" x14ac:dyDescent="0.45">
      <c r="A39" t="s">
        <v>172</v>
      </c>
      <c r="B39">
        <f>(oil!B39/oil!B35-1)*100</f>
        <v>143.76804107953311</v>
      </c>
      <c r="C39" s="2">
        <v>123456789</v>
      </c>
      <c r="D39" s="2">
        <v>123456789</v>
      </c>
    </row>
    <row r="40" spans="1:4" x14ac:dyDescent="0.45">
      <c r="A40" t="s">
        <v>173</v>
      </c>
      <c r="B40">
        <f>(oil!B40/oil!B36-1)*100</f>
        <v>179.58810816882672</v>
      </c>
      <c r="C40" s="2">
        <v>123456789</v>
      </c>
      <c r="D40" s="2">
        <v>123456789</v>
      </c>
    </row>
    <row r="41" spans="1:4" x14ac:dyDescent="0.45">
      <c r="A41" t="s">
        <v>174</v>
      </c>
      <c r="B41">
        <f>(oil!B41/oil!B37-1)*100</f>
        <v>198.39703928689875</v>
      </c>
      <c r="C41" s="2">
        <v>123456789</v>
      </c>
      <c r="D41" s="2">
        <v>123456789</v>
      </c>
    </row>
    <row r="42" spans="1:4" x14ac:dyDescent="0.45">
      <c r="A42" t="s">
        <v>175</v>
      </c>
      <c r="B42">
        <f>(oil!B42/oil!B38-1)*100</f>
        <v>81.853580393405394</v>
      </c>
      <c r="C42" s="2">
        <v>123456789</v>
      </c>
      <c r="D42" s="2">
        <v>123456789</v>
      </c>
    </row>
    <row r="43" spans="1:4" x14ac:dyDescent="0.45">
      <c r="A43" t="s">
        <v>176</v>
      </c>
      <c r="B43">
        <f>(oil!B43/oil!B39-1)*100</f>
        <v>23.412273408676821</v>
      </c>
      <c r="C43" s="2">
        <v>123456789</v>
      </c>
      <c r="D43" s="2">
        <v>123456789</v>
      </c>
    </row>
    <row r="44" spans="1:4" x14ac:dyDescent="0.45">
      <c r="A44" t="s">
        <v>177</v>
      </c>
      <c r="B44">
        <f>(oil!B44/oil!B40-1)*100</f>
        <v>-2.6573412346107217</v>
      </c>
      <c r="C44" s="2">
        <v>123456789</v>
      </c>
      <c r="D44" s="2">
        <v>123456789</v>
      </c>
    </row>
    <row r="45" spans="1:4" x14ac:dyDescent="0.45">
      <c r="A45" t="s">
        <v>178</v>
      </c>
      <c r="B45">
        <f>(oil!B45/oil!B41-1)*100</f>
        <v>-1.7355359290247896</v>
      </c>
      <c r="C45" s="2">
        <v>123456789</v>
      </c>
      <c r="D45" s="2">
        <v>123456789</v>
      </c>
    </row>
    <row r="46" spans="1:4" x14ac:dyDescent="0.45">
      <c r="A46" t="s">
        <v>179</v>
      </c>
      <c r="B46">
        <f>(oil!B46/oil!B42-1)*100</f>
        <v>0.51391732258674327</v>
      </c>
      <c r="C46" s="2">
        <v>123456789</v>
      </c>
      <c r="D46" s="2">
        <v>123456789</v>
      </c>
    </row>
    <row r="47" spans="1:4" x14ac:dyDescent="0.45">
      <c r="A47" t="s">
        <v>180</v>
      </c>
      <c r="B47">
        <f>(oil!B47/oil!B43-1)*100</f>
        <v>-7.8674262123092031</v>
      </c>
      <c r="C47" s="2">
        <v>123456789</v>
      </c>
      <c r="D47" s="2">
        <v>123456789</v>
      </c>
    </row>
    <row r="48" spans="1:4" x14ac:dyDescent="0.45">
      <c r="A48" t="s">
        <v>181</v>
      </c>
      <c r="B48">
        <f>(oil!B48/oil!B44-1)*100</f>
        <v>2.2701138862459835</v>
      </c>
      <c r="C48" s="2">
        <v>123456789</v>
      </c>
      <c r="D48" s="2">
        <v>123456789</v>
      </c>
    </row>
    <row r="49" spans="1:4" x14ac:dyDescent="0.45">
      <c r="A49" t="s">
        <v>182</v>
      </c>
      <c r="B49">
        <f>(oil!B49/oil!B45-1)*100</f>
        <v>-7.1740966721763666</v>
      </c>
      <c r="C49" s="2">
        <v>123456789</v>
      </c>
      <c r="D49" s="2">
        <v>123456789</v>
      </c>
    </row>
    <row r="50" spans="1:4" x14ac:dyDescent="0.45">
      <c r="A50" t="s">
        <v>183</v>
      </c>
      <c r="B50">
        <f>(oil!B50/oil!B46-1)*100</f>
        <v>-17.528758693360558</v>
      </c>
      <c r="C50" s="2">
        <v>123456789</v>
      </c>
      <c r="D50" s="2">
        <v>123456789</v>
      </c>
    </row>
    <row r="51" spans="1:4" x14ac:dyDescent="0.45">
      <c r="A51" t="s">
        <v>184</v>
      </c>
      <c r="B51">
        <f>(oil!B51/oil!B47-1)*100</f>
        <v>-2.584490091107805</v>
      </c>
      <c r="C51" s="2">
        <v>123456789</v>
      </c>
      <c r="D51" s="2">
        <v>123456789</v>
      </c>
    </row>
    <row r="52" spans="1:4" x14ac:dyDescent="0.45">
      <c r="A52" t="s">
        <v>185</v>
      </c>
      <c r="B52">
        <f>(oil!B52/oil!B48-1)*100</f>
        <v>-5.5914582747964126</v>
      </c>
      <c r="C52" s="2">
        <v>123456789</v>
      </c>
      <c r="D52" s="2">
        <v>123456789</v>
      </c>
    </row>
    <row r="53" spans="1:4" x14ac:dyDescent="0.45">
      <c r="A53" t="s">
        <v>186</v>
      </c>
      <c r="B53">
        <f>(oil!B53/oil!B49-1)*100</f>
        <v>-8.8882848600161601</v>
      </c>
      <c r="C53" s="2">
        <v>123456789</v>
      </c>
      <c r="D53" s="2">
        <v>123456789</v>
      </c>
    </row>
    <row r="54" spans="1:4" x14ac:dyDescent="0.45">
      <c r="A54" t="s">
        <v>187</v>
      </c>
      <c r="B54">
        <f>(oil!B54/oil!B50-1)*100</f>
        <v>-8.927464352138859</v>
      </c>
      <c r="C54" s="2">
        <v>123456789</v>
      </c>
      <c r="D54" s="2">
        <v>123456789</v>
      </c>
    </row>
    <row r="55" spans="1:4" x14ac:dyDescent="0.45">
      <c r="A55" t="s">
        <v>188</v>
      </c>
      <c r="B55">
        <f>(oil!B55/oil!B51-1)*100</f>
        <v>-13.002915451895147</v>
      </c>
      <c r="C55" s="2">
        <v>123456789</v>
      </c>
      <c r="D55" s="2">
        <v>123456789</v>
      </c>
    </row>
    <row r="56" spans="1:4" x14ac:dyDescent="0.45">
      <c r="A56" t="s">
        <v>189</v>
      </c>
      <c r="B56">
        <f>(oil!B56/oil!B52-1)*100</f>
        <v>-8.8958983567609007</v>
      </c>
      <c r="C56" s="2">
        <v>123456789</v>
      </c>
      <c r="D56" s="2">
        <v>123456789</v>
      </c>
    </row>
    <row r="57" spans="1:4" x14ac:dyDescent="0.45">
      <c r="A57" t="s">
        <v>190</v>
      </c>
      <c r="B57">
        <f>(oil!B57/oil!B53-1)*100</f>
        <v>-13.54114183477405</v>
      </c>
      <c r="C57" s="2">
        <v>123456789</v>
      </c>
      <c r="D57" s="2">
        <v>123456789</v>
      </c>
    </row>
    <row r="58" spans="1:4" x14ac:dyDescent="0.45">
      <c r="A58" t="s">
        <v>191</v>
      </c>
      <c r="B58">
        <f>(oil!B58/oil!B54-1)*100</f>
        <v>0.73000190991243663</v>
      </c>
      <c r="C58" s="2">
        <v>123456789</v>
      </c>
      <c r="D58" s="2">
        <v>123456789</v>
      </c>
    </row>
    <row r="59" spans="1:4" x14ac:dyDescent="0.45">
      <c r="A59" t="s">
        <v>192</v>
      </c>
      <c r="B59">
        <f>(oil!B59/oil!B55-1)*100</f>
        <v>-1.3563773089657949</v>
      </c>
      <c r="C59" s="2">
        <v>123456789</v>
      </c>
      <c r="D59" s="2">
        <v>123456789</v>
      </c>
    </row>
    <row r="60" spans="1:4" x14ac:dyDescent="0.45">
      <c r="A60" t="s">
        <v>193</v>
      </c>
      <c r="B60">
        <f>(oil!B60/oil!B56-1)*100</f>
        <v>-8.7694243486066252</v>
      </c>
      <c r="C60" s="2">
        <v>123456789</v>
      </c>
      <c r="D60" s="2">
        <v>123456789</v>
      </c>
    </row>
    <row r="61" spans="1:4" x14ac:dyDescent="0.45">
      <c r="A61" t="s">
        <v>194</v>
      </c>
      <c r="B61">
        <f>(oil!B61/oil!B57-1)*100</f>
        <v>-5.3247826504959068</v>
      </c>
      <c r="C61" s="2">
        <v>123456789</v>
      </c>
      <c r="D61" s="2">
        <v>123456789</v>
      </c>
    </row>
    <row r="62" spans="1:4" x14ac:dyDescent="0.45">
      <c r="A62" t="s">
        <v>195</v>
      </c>
      <c r="B62">
        <f>(oil!B62/oil!B58-1)*100</f>
        <v>-6.7532318473325859</v>
      </c>
      <c r="C62" s="2">
        <v>123456789</v>
      </c>
      <c r="D62" s="2">
        <v>123456789</v>
      </c>
    </row>
    <row r="63" spans="1:4" x14ac:dyDescent="0.45">
      <c r="A63" t="s">
        <v>196</v>
      </c>
      <c r="B63">
        <f>(oil!B63/oil!B59-1)*100</f>
        <v>-8.6161280386233265</v>
      </c>
      <c r="C63" s="2">
        <v>123456789</v>
      </c>
      <c r="D63" s="2">
        <v>123456789</v>
      </c>
    </row>
    <row r="64" spans="1:4" x14ac:dyDescent="0.45">
      <c r="A64" t="s">
        <v>197</v>
      </c>
      <c r="B64">
        <f>(oil!B64/oil!B60-1)*100</f>
        <v>-2.8428770912466317</v>
      </c>
      <c r="C64" s="2">
        <v>123456789</v>
      </c>
      <c r="D64" s="2">
        <v>123456789</v>
      </c>
    </row>
    <row r="65" spans="1:4" x14ac:dyDescent="0.45">
      <c r="A65" t="s">
        <v>198</v>
      </c>
      <c r="B65">
        <f>(oil!B65/oil!B61-1)*100</f>
        <v>2.6994196883452615</v>
      </c>
      <c r="C65" s="2">
        <v>123456789</v>
      </c>
      <c r="D65" s="2">
        <v>123456789</v>
      </c>
    </row>
    <row r="66" spans="1:4" x14ac:dyDescent="0.45">
      <c r="A66" t="s">
        <v>199</v>
      </c>
      <c r="B66">
        <f>(oil!B66/oil!B62-1)*100</f>
        <v>-35.623696488262965</v>
      </c>
      <c r="C66" s="2">
        <v>123456789</v>
      </c>
      <c r="D66" s="2">
        <v>123456789</v>
      </c>
    </row>
    <row r="67" spans="1:4" x14ac:dyDescent="0.45">
      <c r="A67" t="s">
        <v>200</v>
      </c>
      <c r="B67">
        <f>(oil!B67/oil!B63-1)*100</f>
        <v>-52.57822277847302</v>
      </c>
      <c r="C67" s="2">
        <v>123456789</v>
      </c>
      <c r="D67" s="2">
        <v>123456789</v>
      </c>
    </row>
    <row r="68" spans="1:4" x14ac:dyDescent="0.45">
      <c r="A68" t="s">
        <v>201</v>
      </c>
      <c r="B68">
        <f>(oil!B68/oil!B64-1)*100</f>
        <v>-54.698042074094054</v>
      </c>
      <c r="C68" s="2">
        <v>123456789</v>
      </c>
      <c r="D68" s="2">
        <v>123456789</v>
      </c>
    </row>
    <row r="69" spans="1:4" x14ac:dyDescent="0.45">
      <c r="A69" t="s">
        <v>202</v>
      </c>
      <c r="B69">
        <f>(oil!B69/oil!B65-1)*100</f>
        <v>-47.890635086255472</v>
      </c>
      <c r="C69" s="2">
        <v>123456789</v>
      </c>
      <c r="D69" s="2">
        <v>123456789</v>
      </c>
    </row>
    <row r="70" spans="1:4" x14ac:dyDescent="0.45">
      <c r="A70" t="s">
        <v>203</v>
      </c>
      <c r="B70">
        <f>(oil!B70/oil!B66-1)*100</f>
        <v>0.29430549446551879</v>
      </c>
      <c r="C70" s="2">
        <v>123456789</v>
      </c>
      <c r="D70" s="2">
        <v>123456789</v>
      </c>
    </row>
    <row r="71" spans="1:4" x14ac:dyDescent="0.45">
      <c r="A71" t="s">
        <v>204</v>
      </c>
      <c r="B71">
        <f>(oil!B71/oil!B67-1)*100</f>
        <v>45.715344448519126</v>
      </c>
      <c r="C71" s="2">
        <v>123456789</v>
      </c>
      <c r="D71" s="2">
        <v>123456789</v>
      </c>
    </row>
    <row r="72" spans="1:4" x14ac:dyDescent="0.45">
      <c r="A72" t="s">
        <v>205</v>
      </c>
      <c r="B72">
        <f>(oil!B72/oil!B68-1)*100</f>
        <v>54.158339361689613</v>
      </c>
      <c r="C72" s="2">
        <v>123456789</v>
      </c>
      <c r="D72" s="2">
        <v>123456789</v>
      </c>
    </row>
    <row r="73" spans="1:4" x14ac:dyDescent="0.45">
      <c r="A73" t="s">
        <v>206</v>
      </c>
      <c r="B73">
        <f>(oil!B73/oil!B69-1)*100</f>
        <v>20.984337954474142</v>
      </c>
      <c r="C73" s="2">
        <v>123456789</v>
      </c>
      <c r="D73" s="2">
        <v>123456789</v>
      </c>
    </row>
    <row r="74" spans="1:4" x14ac:dyDescent="0.45">
      <c r="A74" t="s">
        <v>207</v>
      </c>
      <c r="B74">
        <f>(oil!B74/oil!B70-1)*100</f>
        <v>-12.13027269458583</v>
      </c>
      <c r="C74" s="2">
        <v>123456789</v>
      </c>
      <c r="D74" s="2">
        <v>123456789</v>
      </c>
    </row>
    <row r="75" spans="1:4" x14ac:dyDescent="0.45">
      <c r="A75" t="s">
        <v>208</v>
      </c>
      <c r="B75">
        <f>(oil!B75/oil!B71-1)*100</f>
        <v>-13.576209567817221</v>
      </c>
      <c r="C75" s="2">
        <v>123456789</v>
      </c>
      <c r="D75" s="2">
        <v>123456789</v>
      </c>
    </row>
    <row r="76" spans="1:4" x14ac:dyDescent="0.45">
      <c r="A76" t="s">
        <v>209</v>
      </c>
      <c r="B76">
        <f>(oil!B76/oil!B72-1)*100</f>
        <v>-24.776902887139109</v>
      </c>
      <c r="C76" s="2">
        <v>123456789</v>
      </c>
      <c r="D76" s="2">
        <v>123456789</v>
      </c>
    </row>
    <row r="77" spans="1:4" x14ac:dyDescent="0.45">
      <c r="A77" t="s">
        <v>210</v>
      </c>
      <c r="B77">
        <f>(oil!B77/oil!B73-1)*100</f>
        <v>-23.964165733482645</v>
      </c>
      <c r="C77" s="2">
        <v>123456789</v>
      </c>
      <c r="D77" s="2">
        <v>123456789</v>
      </c>
    </row>
    <row r="78" spans="1:4" x14ac:dyDescent="0.45">
      <c r="A78" t="s">
        <v>211</v>
      </c>
      <c r="B78">
        <f>(oil!B78/oil!B74-1)*100</f>
        <v>11.753494282083853</v>
      </c>
      <c r="C78" s="2">
        <v>123456789</v>
      </c>
      <c r="D78" s="2">
        <v>123456789</v>
      </c>
    </row>
    <row r="79" spans="1:4" x14ac:dyDescent="0.45">
      <c r="A79" t="s">
        <v>212</v>
      </c>
      <c r="B79">
        <f>(oil!B79/oil!B75-1)*100</f>
        <v>16.842105263157904</v>
      </c>
      <c r="C79" s="2">
        <v>123456789</v>
      </c>
      <c r="D79" s="2">
        <v>123456789</v>
      </c>
    </row>
    <row r="80" spans="1:4" x14ac:dyDescent="0.45">
      <c r="A80" t="s">
        <v>213</v>
      </c>
      <c r="B80">
        <f>(oil!B80/oil!B76-1)*100</f>
        <v>21.353803210048849</v>
      </c>
      <c r="C80" s="2">
        <v>123456789</v>
      </c>
      <c r="D80" s="2">
        <v>123456789</v>
      </c>
    </row>
    <row r="81" spans="1:4" x14ac:dyDescent="0.45">
      <c r="A81" t="s">
        <v>214</v>
      </c>
      <c r="B81">
        <f>(oil!B81/oil!B77-1)*100</f>
        <v>41.089837997054502</v>
      </c>
      <c r="C81" s="2">
        <v>123456789</v>
      </c>
      <c r="D81" s="2">
        <v>123456789</v>
      </c>
    </row>
    <row r="82" spans="1:4" x14ac:dyDescent="0.45">
      <c r="A82" t="s">
        <v>215</v>
      </c>
      <c r="B82">
        <f>(oil!B82/oil!B78-1)*100</f>
        <v>12.677657760090955</v>
      </c>
      <c r="C82" s="2">
        <v>123456789</v>
      </c>
      <c r="D82" s="2">
        <v>123456789</v>
      </c>
    </row>
    <row r="83" spans="1:4" x14ac:dyDescent="0.45">
      <c r="A83" t="s">
        <v>216</v>
      </c>
      <c r="B83">
        <f>(oil!B83/oil!B79-1)*100</f>
        <v>-15.103338632750408</v>
      </c>
      <c r="C83" s="2">
        <v>123456789</v>
      </c>
      <c r="D83" s="2">
        <v>123456789</v>
      </c>
    </row>
    <row r="84" spans="1:4" x14ac:dyDescent="0.45">
      <c r="A84" t="s">
        <v>217</v>
      </c>
      <c r="B84">
        <f>(oil!B84/oil!B80-1)*100</f>
        <v>51.868890166762505</v>
      </c>
      <c r="C84" s="2">
        <v>123456789</v>
      </c>
      <c r="D84" s="2">
        <v>123456789</v>
      </c>
    </row>
    <row r="85" spans="1:4" x14ac:dyDescent="0.45">
      <c r="A85" t="s">
        <v>218</v>
      </c>
      <c r="B85">
        <f>(oil!B85/oil!B81-1)*100</f>
        <v>69.363256784968712</v>
      </c>
      <c r="C85" s="2">
        <v>123456789</v>
      </c>
      <c r="D85" s="2">
        <v>123456789</v>
      </c>
    </row>
    <row r="86" spans="1:4" x14ac:dyDescent="0.45">
      <c r="A86" t="s">
        <v>219</v>
      </c>
      <c r="B86">
        <f>(oil!B86/oil!B82-1)*100</f>
        <v>4.5913218970736747</v>
      </c>
      <c r="C86" s="2">
        <v>123456789</v>
      </c>
      <c r="D86" s="2">
        <v>123456789</v>
      </c>
    </row>
    <row r="87" spans="1:4" x14ac:dyDescent="0.45">
      <c r="A87" t="s">
        <v>220</v>
      </c>
      <c r="B87">
        <f>(oil!B87/oil!B83-1)*100</f>
        <v>17.665418227215991</v>
      </c>
      <c r="C87" s="2">
        <v>123456789</v>
      </c>
      <c r="D87" s="2">
        <v>123456789</v>
      </c>
    </row>
    <row r="88" spans="1:4" x14ac:dyDescent="0.45">
      <c r="A88" t="s">
        <v>221</v>
      </c>
      <c r="B88">
        <f>(oil!B88/oil!B84-1)*100</f>
        <v>-24.687618326391515</v>
      </c>
      <c r="C88" s="2">
        <v>123456789</v>
      </c>
      <c r="D88" s="2">
        <v>123456789</v>
      </c>
    </row>
    <row r="89" spans="1:4" x14ac:dyDescent="0.45">
      <c r="A89" t="s">
        <v>222</v>
      </c>
      <c r="B89">
        <f>(oil!B89/oil!B85-1)*100</f>
        <v>-36.579352850539301</v>
      </c>
      <c r="C89" s="2">
        <v>123456789</v>
      </c>
      <c r="D89" s="2">
        <v>123456789</v>
      </c>
    </row>
    <row r="90" spans="1:4" x14ac:dyDescent="0.45">
      <c r="A90" t="s">
        <v>223</v>
      </c>
      <c r="B90">
        <f>(oil!B90/oil!B86-1)*100</f>
        <v>-13.410516160154373</v>
      </c>
      <c r="C90" s="2">
        <v>123456789</v>
      </c>
      <c r="D90" s="2">
        <v>123456789</v>
      </c>
    </row>
    <row r="91" spans="1:4" x14ac:dyDescent="0.45">
      <c r="A91" t="s">
        <v>224</v>
      </c>
      <c r="B91">
        <f>(oil!B91/oil!B87-1)*100</f>
        <v>6.0477453580901619</v>
      </c>
      <c r="C91" s="2">
        <v>123456789</v>
      </c>
      <c r="D91" s="2">
        <v>123456789</v>
      </c>
    </row>
    <row r="92" spans="1:4" x14ac:dyDescent="0.45">
      <c r="A92" t="s">
        <v>225</v>
      </c>
      <c r="B92">
        <f>(oil!B92/oil!B88-1)*100</f>
        <v>0.95525389643036362</v>
      </c>
      <c r="C92" s="2">
        <v>123456789</v>
      </c>
      <c r="D92" s="2">
        <v>123456789</v>
      </c>
    </row>
    <row r="93" spans="1:4" x14ac:dyDescent="0.45">
      <c r="A93" t="s">
        <v>226</v>
      </c>
      <c r="B93">
        <f>(oil!B93/oil!B89-1)*100</f>
        <v>-6.7055393586005767</v>
      </c>
      <c r="C93" s="2">
        <v>123456789</v>
      </c>
      <c r="D93" s="2">
        <v>123456789</v>
      </c>
    </row>
    <row r="94" spans="1:4" x14ac:dyDescent="0.45">
      <c r="A94" t="s">
        <v>227</v>
      </c>
      <c r="B94">
        <f>(oil!B94/oil!B90-1)*100</f>
        <v>1.5041782729805053</v>
      </c>
      <c r="C94" s="2">
        <v>123456789</v>
      </c>
      <c r="D94" s="2">
        <v>123456789</v>
      </c>
    </row>
    <row r="95" spans="1:4" x14ac:dyDescent="0.45">
      <c r="A95" t="s">
        <v>228</v>
      </c>
      <c r="B95">
        <f>(oil!B95/oil!B91-1)*100</f>
        <v>-8.5542771385692777</v>
      </c>
      <c r="C95" s="2">
        <v>123456789</v>
      </c>
      <c r="D95" s="2">
        <v>123456789</v>
      </c>
    </row>
    <row r="96" spans="1:4" x14ac:dyDescent="0.45">
      <c r="A96" t="s">
        <v>229</v>
      </c>
      <c r="B96">
        <f>(oil!B96/oil!B92-1)*100</f>
        <v>-17.828685258964139</v>
      </c>
      <c r="C96" s="2">
        <v>123456789</v>
      </c>
      <c r="D96" s="2">
        <v>123456789</v>
      </c>
    </row>
    <row r="97" spans="1:4" x14ac:dyDescent="0.45">
      <c r="A97" t="s">
        <v>230</v>
      </c>
      <c r="B97">
        <f>(oil!B97/oil!B93-1)*100</f>
        <v>-20.937499999999996</v>
      </c>
      <c r="C97" s="2">
        <v>123456789</v>
      </c>
      <c r="D97" s="2">
        <v>123456789</v>
      </c>
    </row>
    <row r="98" spans="1:4" x14ac:dyDescent="0.45">
      <c r="A98" t="s">
        <v>231</v>
      </c>
      <c r="B98">
        <f>(oil!B98/oil!B94-1)*100</f>
        <v>-23.326015367727759</v>
      </c>
      <c r="C98" s="2">
        <v>123456789</v>
      </c>
      <c r="D98" s="2">
        <v>123456789</v>
      </c>
    </row>
    <row r="99" spans="1:4" x14ac:dyDescent="0.45">
      <c r="A99" t="s">
        <v>232</v>
      </c>
      <c r="B99">
        <f>(oil!B99/oil!B95-1)*100</f>
        <v>-12.144420131291046</v>
      </c>
      <c r="C99" s="2">
        <v>123456789</v>
      </c>
      <c r="D99" s="2">
        <v>123456789</v>
      </c>
    </row>
    <row r="100" spans="1:4" x14ac:dyDescent="0.45">
      <c r="A100" t="s">
        <v>233</v>
      </c>
      <c r="B100">
        <f>(oil!B100/oil!B96-1)*100</f>
        <v>1.8181818181818299</v>
      </c>
      <c r="C100" s="2">
        <v>123456789</v>
      </c>
      <c r="D100" s="2">
        <v>123456789</v>
      </c>
    </row>
    <row r="101" spans="1:4" x14ac:dyDescent="0.45">
      <c r="A101" t="s">
        <v>234</v>
      </c>
      <c r="B101">
        <f>(oil!B101/oil!B97-1)*100</f>
        <v>8.9591567852437493</v>
      </c>
      <c r="C101" s="2">
        <v>123456789</v>
      </c>
      <c r="D101" s="2">
        <v>123456789</v>
      </c>
    </row>
    <row r="102" spans="1:4" x14ac:dyDescent="0.45">
      <c r="A102" t="s">
        <v>235</v>
      </c>
      <c r="B102">
        <f>(oil!B102/oil!B98-1)*100</f>
        <v>20.901932712956327</v>
      </c>
      <c r="C102" s="2">
        <v>123456789</v>
      </c>
      <c r="D102" s="2">
        <v>123456789</v>
      </c>
    </row>
    <row r="103" spans="1:4" x14ac:dyDescent="0.45">
      <c r="A103" t="s">
        <v>236</v>
      </c>
      <c r="B103">
        <f>(oil!B103/oil!B99-1)*100</f>
        <v>12.702366127023691</v>
      </c>
      <c r="C103" s="2">
        <v>123456789</v>
      </c>
      <c r="D103" s="2">
        <v>123456789</v>
      </c>
    </row>
    <row r="104" spans="1:4" x14ac:dyDescent="0.45">
      <c r="A104" t="s">
        <v>237</v>
      </c>
      <c r="B104">
        <f>(oil!B104/oil!B100-1)*100</f>
        <v>-3.4523809523809623</v>
      </c>
      <c r="C104" s="2">
        <v>123456789</v>
      </c>
      <c r="D104" s="2">
        <v>123456789</v>
      </c>
    </row>
    <row r="105" spans="1:4" x14ac:dyDescent="0.45">
      <c r="A105" t="s">
        <v>238</v>
      </c>
      <c r="B105">
        <f>(oil!B105/oil!B101-1)*100</f>
        <v>2.5997581620314403</v>
      </c>
      <c r="C105" s="2">
        <v>123456789</v>
      </c>
      <c r="D105" s="2">
        <v>123456789</v>
      </c>
    </row>
    <row r="106" spans="1:4" x14ac:dyDescent="0.45">
      <c r="A106" t="s">
        <v>239</v>
      </c>
      <c r="B106">
        <f>(oil!B106/oil!B102-1)*100</f>
        <v>9.946714031971581</v>
      </c>
      <c r="C106" s="2">
        <v>123456789</v>
      </c>
      <c r="D106" s="2">
        <v>123456789</v>
      </c>
    </row>
    <row r="107" spans="1:4" x14ac:dyDescent="0.45">
      <c r="A107" t="s">
        <v>240</v>
      </c>
      <c r="B107">
        <f>(oil!B107/oil!B103-1)*100</f>
        <v>7.7348066298342566</v>
      </c>
      <c r="C107" s="2">
        <v>123456789</v>
      </c>
      <c r="D107" s="2">
        <v>123456789</v>
      </c>
    </row>
    <row r="108" spans="1:4" x14ac:dyDescent="0.45">
      <c r="A108" t="s">
        <v>241</v>
      </c>
      <c r="B108">
        <f>(oil!B108/oil!B104-1)*100</f>
        <v>28.853267570900123</v>
      </c>
      <c r="C108" s="2">
        <v>123456789</v>
      </c>
      <c r="D108" s="2">
        <v>123456789</v>
      </c>
    </row>
    <row r="109" spans="1:4" x14ac:dyDescent="0.45">
      <c r="A109" t="s">
        <v>242</v>
      </c>
      <c r="B109">
        <f>(oil!B109/oil!B105-1)*100</f>
        <v>38.892162639952879</v>
      </c>
      <c r="C109" s="2">
        <v>123456789</v>
      </c>
      <c r="D109" s="2">
        <v>123456789</v>
      </c>
    </row>
    <row r="110" spans="1:4" x14ac:dyDescent="0.45">
      <c r="A110" t="s">
        <v>243</v>
      </c>
      <c r="B110">
        <f>(oil!B110/oil!B106-1)*100</f>
        <v>14.001077005923545</v>
      </c>
      <c r="C110" s="2">
        <v>123456789</v>
      </c>
      <c r="D110" s="2">
        <v>123456789</v>
      </c>
    </row>
    <row r="111" spans="1:4" x14ac:dyDescent="0.45">
      <c r="A111" t="s">
        <v>244</v>
      </c>
      <c r="B111">
        <f>(oil!B111/oil!B107-1)*100</f>
        <v>-7.4358974358974317</v>
      </c>
      <c r="C111" s="2">
        <v>123456789</v>
      </c>
      <c r="D111" s="2">
        <v>123456789</v>
      </c>
    </row>
    <row r="112" spans="1:4" x14ac:dyDescent="0.45">
      <c r="A112" t="s">
        <v>245</v>
      </c>
      <c r="B112">
        <f>(oil!B112/oil!B108-1)*100</f>
        <v>-11.435406698564577</v>
      </c>
      <c r="C112" s="2">
        <v>123456789</v>
      </c>
      <c r="D112" s="2">
        <v>123456789</v>
      </c>
    </row>
    <row r="113" spans="1:4" x14ac:dyDescent="0.45">
      <c r="A113" t="s">
        <v>246</v>
      </c>
      <c r="B113">
        <f>(oil!B113/oil!B109-1)*100</f>
        <v>-20.492151039456942</v>
      </c>
      <c r="C113" s="2">
        <v>123456789</v>
      </c>
      <c r="D113" s="2">
        <v>123456789</v>
      </c>
    </row>
    <row r="114" spans="1:4" x14ac:dyDescent="0.45">
      <c r="A114" t="s">
        <v>247</v>
      </c>
      <c r="B114">
        <f>(oil!B114/oil!B110-1)*100</f>
        <v>-33.301842229570155</v>
      </c>
      <c r="C114" s="2">
        <v>123456789</v>
      </c>
      <c r="D114" s="2">
        <v>123456789</v>
      </c>
    </row>
    <row r="115" spans="1:4" x14ac:dyDescent="0.45">
      <c r="A115" t="s">
        <v>248</v>
      </c>
      <c r="B115">
        <f>(oil!B115/oil!B111-1)*100</f>
        <v>-25.927977839335192</v>
      </c>
      <c r="C115" s="2">
        <v>123456789</v>
      </c>
      <c r="D115" s="2">
        <v>123456789</v>
      </c>
    </row>
    <row r="116" spans="1:4" x14ac:dyDescent="0.45">
      <c r="A116" t="s">
        <v>249</v>
      </c>
      <c r="B116">
        <f>(oil!B116/oil!B112-1)*100</f>
        <v>-32.793084819016762</v>
      </c>
      <c r="C116" s="2">
        <v>123456789</v>
      </c>
      <c r="D116" s="2">
        <v>123456789</v>
      </c>
    </row>
    <row r="117" spans="1:4" x14ac:dyDescent="0.45">
      <c r="A117" t="s">
        <v>250</v>
      </c>
      <c r="B117">
        <f>(oil!B117/oil!B113-1)*100</f>
        <v>-40.288153681963713</v>
      </c>
      <c r="C117" s="2">
        <v>123456789</v>
      </c>
      <c r="D117" s="2">
        <v>123456789</v>
      </c>
    </row>
    <row r="118" spans="1:4" x14ac:dyDescent="0.45">
      <c r="A118" t="s">
        <v>251</v>
      </c>
      <c r="B118">
        <f>(oil!B118/oil!B114-1)*100</f>
        <v>-19.971671388101974</v>
      </c>
      <c r="C118" s="2">
        <v>123456789</v>
      </c>
      <c r="D118" s="2">
        <v>123456789</v>
      </c>
    </row>
    <row r="119" spans="1:4" x14ac:dyDescent="0.45">
      <c r="A119" t="s">
        <v>252</v>
      </c>
      <c r="B119">
        <f>(oil!B119/oil!B115-1)*100</f>
        <v>15.63201196709052</v>
      </c>
      <c r="C119" s="2">
        <v>123456789</v>
      </c>
      <c r="D119" s="2">
        <v>123456789</v>
      </c>
    </row>
    <row r="120" spans="1:4" x14ac:dyDescent="0.45">
      <c r="A120" t="s">
        <v>253</v>
      </c>
      <c r="B120">
        <f>(oil!B120/oil!B116-1)*100</f>
        <v>65.675241157556272</v>
      </c>
      <c r="C120" s="2">
        <v>123456789</v>
      </c>
      <c r="D120" s="2">
        <v>123456789</v>
      </c>
    </row>
    <row r="121" spans="1:4" x14ac:dyDescent="0.45">
      <c r="A121" t="s">
        <v>254</v>
      </c>
      <c r="B121">
        <f>(oil!B121/oil!B117-1)*100</f>
        <v>114.65594280607685</v>
      </c>
      <c r="C121" s="2">
        <v>123456789</v>
      </c>
      <c r="D121" s="2">
        <v>123456789</v>
      </c>
    </row>
    <row r="122" spans="1:4" x14ac:dyDescent="0.45">
      <c r="A122" t="s">
        <v>255</v>
      </c>
      <c r="B122">
        <f>(oil!B122/oil!B118-1)*100</f>
        <v>138.31858407079642</v>
      </c>
      <c r="C122" s="2">
        <v>123456789</v>
      </c>
      <c r="D122" s="2">
        <v>123456789</v>
      </c>
    </row>
    <row r="123" spans="1:4" x14ac:dyDescent="0.45">
      <c r="A123" t="s">
        <v>256</v>
      </c>
      <c r="B123">
        <f>(oil!B123/oil!B119-1)*100</f>
        <v>73.156532988357043</v>
      </c>
      <c r="C123" s="2">
        <v>123456789</v>
      </c>
      <c r="D123" s="2">
        <v>123456789</v>
      </c>
    </row>
    <row r="124" spans="1:4" x14ac:dyDescent="0.45">
      <c r="A124" t="s">
        <v>257</v>
      </c>
      <c r="B124">
        <f>(oil!B124/oil!B120-1)*100</f>
        <v>48.811256671518692</v>
      </c>
      <c r="C124" s="2">
        <v>123456789</v>
      </c>
      <c r="D124" s="2">
        <v>123456789</v>
      </c>
    </row>
    <row r="125" spans="1:4" x14ac:dyDescent="0.45">
      <c r="A125" t="s">
        <v>258</v>
      </c>
      <c r="B125">
        <f>(oil!B125/oil!B121-1)*100</f>
        <v>23.730224812656118</v>
      </c>
      <c r="C125" s="2">
        <v>123456789</v>
      </c>
      <c r="D125" s="2">
        <v>123456789</v>
      </c>
    </row>
    <row r="126" spans="1:4" x14ac:dyDescent="0.45">
      <c r="A126" t="s">
        <v>259</v>
      </c>
      <c r="B126">
        <f>(oil!B126/oil!B122-1)*100</f>
        <v>-3.9361307092461884</v>
      </c>
      <c r="C126" s="2">
        <v>123456789</v>
      </c>
      <c r="D126" s="2">
        <v>123456789</v>
      </c>
    </row>
    <row r="127" spans="1:4" x14ac:dyDescent="0.45">
      <c r="A127" t="s">
        <v>260</v>
      </c>
      <c r="B127">
        <f>(oil!B127/oil!B123-1)*100</f>
        <v>1.8677624206201004</v>
      </c>
      <c r="C127" s="2">
        <v>123456789</v>
      </c>
      <c r="D127" s="2">
        <v>123456789</v>
      </c>
    </row>
    <row r="128" spans="1:4" x14ac:dyDescent="0.45">
      <c r="A128" t="s">
        <v>261</v>
      </c>
      <c r="B128">
        <f>(oil!B128/oil!B124-1)*100</f>
        <v>-17.508966416693838</v>
      </c>
      <c r="C128" s="2">
        <v>123456789</v>
      </c>
      <c r="D128" s="2">
        <v>123456789</v>
      </c>
    </row>
    <row r="129" spans="1:4" x14ac:dyDescent="0.45">
      <c r="A129" t="s">
        <v>262</v>
      </c>
      <c r="B129">
        <f>(oil!B129/oil!B125-1)*100</f>
        <v>-34.892328398384919</v>
      </c>
      <c r="C129" s="2">
        <v>123456789</v>
      </c>
      <c r="D129" s="2">
        <v>123456789</v>
      </c>
    </row>
    <row r="130" spans="1:4" x14ac:dyDescent="0.45">
      <c r="A130" t="s">
        <v>263</v>
      </c>
      <c r="B130">
        <f>(oil!B130/oil!B126-1)*100</f>
        <v>-18.322381136451494</v>
      </c>
      <c r="C130" s="2">
        <v>123456789</v>
      </c>
      <c r="D130" s="2">
        <v>123456789</v>
      </c>
    </row>
    <row r="131" spans="1:4" x14ac:dyDescent="0.45">
      <c r="A131" t="s">
        <v>264</v>
      </c>
      <c r="B131">
        <f>(oil!B131/oil!B127-1)*100</f>
        <v>-8.1408140814081325</v>
      </c>
      <c r="C131" s="2">
        <v>123456789</v>
      </c>
      <c r="D131" s="2">
        <v>123456789</v>
      </c>
    </row>
    <row r="132" spans="1:4" x14ac:dyDescent="0.45">
      <c r="A132" t="s">
        <v>265</v>
      </c>
      <c r="B132">
        <f>(oil!B132/oil!B128-1)*100</f>
        <v>6.4426877470355581</v>
      </c>
      <c r="C132" s="2">
        <v>123456789</v>
      </c>
      <c r="D132" s="2">
        <v>123456789</v>
      </c>
    </row>
    <row r="133" spans="1:4" x14ac:dyDescent="0.45">
      <c r="A133" t="s">
        <v>266</v>
      </c>
      <c r="B133">
        <f>(oil!B133/oil!B129-1)*100</f>
        <v>38.191214470284216</v>
      </c>
      <c r="C133" s="2">
        <v>123456789</v>
      </c>
      <c r="D133" s="2">
        <v>123456789</v>
      </c>
    </row>
    <row r="134" spans="1:4" x14ac:dyDescent="0.45">
      <c r="A134" t="s">
        <v>267</v>
      </c>
      <c r="B134">
        <f>(oil!B134/oil!B130-1)*100</f>
        <v>49.171793658305731</v>
      </c>
      <c r="C134" s="2">
        <v>123456789</v>
      </c>
      <c r="D134" s="2">
        <v>123456789</v>
      </c>
    </row>
    <row r="135" spans="1:4" x14ac:dyDescent="0.45">
      <c r="A135" t="s">
        <v>268</v>
      </c>
      <c r="B135">
        <f>(oil!B135/oil!B131-1)*100</f>
        <v>4.471057884231544</v>
      </c>
      <c r="C135" s="2">
        <v>123456789</v>
      </c>
      <c r="D135" s="2">
        <v>123456789</v>
      </c>
    </row>
    <row r="136" spans="1:4" x14ac:dyDescent="0.45">
      <c r="A136" t="s">
        <v>269</v>
      </c>
      <c r="B136">
        <f>(oil!B136/oil!B132-1)*100</f>
        <v>5.6442629038247372</v>
      </c>
      <c r="C136" s="2">
        <v>123456789</v>
      </c>
      <c r="D136" s="2">
        <v>123456789</v>
      </c>
    </row>
    <row r="137" spans="1:4" x14ac:dyDescent="0.45">
      <c r="A137" t="s">
        <v>270</v>
      </c>
      <c r="B137">
        <f>(oil!B137/oil!B133-1)*100</f>
        <v>9.9102468212415964</v>
      </c>
      <c r="C137" s="2">
        <v>123456789</v>
      </c>
      <c r="D137" s="2">
        <v>123456789</v>
      </c>
    </row>
    <row r="138" spans="1:4" x14ac:dyDescent="0.45">
      <c r="A138" t="s">
        <v>271</v>
      </c>
      <c r="B138">
        <f>(oil!B138/oil!B134-1)*100</f>
        <v>1.2690355329949332</v>
      </c>
      <c r="C138" s="2">
        <v>123456789</v>
      </c>
      <c r="D138" s="2">
        <v>123456789</v>
      </c>
    </row>
    <row r="139" spans="1:4" x14ac:dyDescent="0.45">
      <c r="A139" t="s">
        <v>272</v>
      </c>
      <c r="B139">
        <f>(oil!B139/oil!B135-1)*100</f>
        <v>35.460450897974781</v>
      </c>
      <c r="C139" s="2">
        <v>123456789</v>
      </c>
      <c r="D139" s="2">
        <v>123456789</v>
      </c>
    </row>
    <row r="140" spans="1:4" x14ac:dyDescent="0.45">
      <c r="A140" t="s">
        <v>273</v>
      </c>
      <c r="B140">
        <f>(oil!B140/oil!B136-1)*100</f>
        <v>45.483304042179263</v>
      </c>
      <c r="C140" s="2">
        <v>123456789</v>
      </c>
      <c r="D140" s="2">
        <v>123456789</v>
      </c>
    </row>
    <row r="141" spans="1:4" x14ac:dyDescent="0.45">
      <c r="A141" t="s">
        <v>274</v>
      </c>
      <c r="B141">
        <f>(oil!B141/oil!B137-1)*100</f>
        <v>50.255188839741407</v>
      </c>
      <c r="C141" s="2">
        <v>123456789</v>
      </c>
      <c r="D141" s="2">
        <v>123456789</v>
      </c>
    </row>
    <row r="142" spans="1:4" x14ac:dyDescent="0.45">
      <c r="A142" t="s">
        <v>275</v>
      </c>
      <c r="B142">
        <f>(oil!B142/oil!B138-1)*100</f>
        <v>49.436090225563902</v>
      </c>
      <c r="C142" s="2">
        <v>123456789</v>
      </c>
      <c r="D142" s="2">
        <v>123456789</v>
      </c>
    </row>
    <row r="143" spans="1:4" x14ac:dyDescent="0.45">
      <c r="A143" t="s">
        <v>276</v>
      </c>
      <c r="B143">
        <f>(oil!B143/oil!B139-1)*100</f>
        <v>45.641748942172079</v>
      </c>
      <c r="C143" s="2">
        <v>123456789</v>
      </c>
      <c r="D143" s="2">
        <v>123456789</v>
      </c>
    </row>
    <row r="144" spans="1:4" x14ac:dyDescent="0.45">
      <c r="A144" t="s">
        <v>277</v>
      </c>
      <c r="B144">
        <f>(oil!B144/oil!B140-1)*100</f>
        <v>48.514133848755733</v>
      </c>
      <c r="C144" s="2">
        <v>123456789</v>
      </c>
      <c r="D144" s="2">
        <v>123456789</v>
      </c>
    </row>
    <row r="145" spans="1:4" x14ac:dyDescent="0.45">
      <c r="A145" t="s">
        <v>278</v>
      </c>
      <c r="B145">
        <f>(oil!B145/oil!B141-1)*100</f>
        <v>28.804347826086961</v>
      </c>
      <c r="C145" s="2">
        <v>123456789</v>
      </c>
      <c r="D145" s="2">
        <v>123456789</v>
      </c>
    </row>
    <row r="146" spans="1:4" x14ac:dyDescent="0.45">
      <c r="A146" t="s">
        <v>279</v>
      </c>
      <c r="B146">
        <f>(oil!B146/oil!B142-1)*100</f>
        <v>29.454926624737944</v>
      </c>
      <c r="C146" s="2">
        <v>123456789</v>
      </c>
      <c r="D146" s="2">
        <v>123456789</v>
      </c>
    </row>
    <row r="147" spans="1:4" x14ac:dyDescent="0.45">
      <c r="A147" t="s">
        <v>280</v>
      </c>
      <c r="B147">
        <f>(oil!B147/oil!B143-1)*100</f>
        <v>34.669765640131715</v>
      </c>
      <c r="C147" s="2">
        <v>123456789</v>
      </c>
      <c r="D147" s="2">
        <v>123456789</v>
      </c>
    </row>
    <row r="148" spans="1:4" x14ac:dyDescent="0.45">
      <c r="A148" t="s">
        <v>281</v>
      </c>
      <c r="B148">
        <f>(oil!B148/oil!B144-1)*100</f>
        <v>13.258500081340507</v>
      </c>
      <c r="C148" s="2">
        <v>123456789</v>
      </c>
      <c r="D148" s="2">
        <v>123456789</v>
      </c>
    </row>
    <row r="149" spans="1:4" x14ac:dyDescent="0.45">
      <c r="A149" t="s">
        <v>282</v>
      </c>
      <c r="B149">
        <f>(oil!B149/oil!B145-1)*100</f>
        <v>4.9226441631504914</v>
      </c>
      <c r="C149" s="2">
        <v>123456789</v>
      </c>
      <c r="D149" s="2">
        <v>123456789</v>
      </c>
    </row>
    <row r="150" spans="1:4" x14ac:dyDescent="0.45">
      <c r="A150" t="s">
        <v>283</v>
      </c>
      <c r="B150">
        <f>(oil!B150/oil!B146-1)*100</f>
        <v>-6.4615384615384635</v>
      </c>
      <c r="C150" s="2">
        <v>123456789</v>
      </c>
      <c r="D150" s="2">
        <v>123456789</v>
      </c>
    </row>
    <row r="151" spans="1:4" x14ac:dyDescent="0.45">
      <c r="A151" t="s">
        <v>284</v>
      </c>
      <c r="B151">
        <f>(oil!B151/oil!B147-1)*100</f>
        <v>-1.3663166978282848</v>
      </c>
      <c r="C151" s="2">
        <v>123456789</v>
      </c>
      <c r="D151" s="2">
        <v>123456789</v>
      </c>
    </row>
    <row r="152" spans="1:4" x14ac:dyDescent="0.45">
      <c r="A152" t="s">
        <v>285</v>
      </c>
      <c r="B152">
        <f>(oil!B152/oil!B148-1)*100</f>
        <v>7.6558460212582613</v>
      </c>
      <c r="C152" s="2">
        <v>123456789</v>
      </c>
      <c r="D152" s="2">
        <v>123456789</v>
      </c>
    </row>
    <row r="153" spans="1:4" x14ac:dyDescent="0.45">
      <c r="A153" t="s">
        <v>286</v>
      </c>
      <c r="B153">
        <f>(oil!B153/oil!B149-1)*100</f>
        <v>48.391420911528151</v>
      </c>
      <c r="C153" s="2">
        <v>123456789</v>
      </c>
      <c r="D153" s="2">
        <v>123456789</v>
      </c>
    </row>
    <row r="154" spans="1:4" x14ac:dyDescent="0.45">
      <c r="A154" t="s">
        <v>287</v>
      </c>
      <c r="B154">
        <f>(oil!B154/oil!B150-1)*100</f>
        <v>67.832409972299175</v>
      </c>
      <c r="C154" s="2">
        <v>123456789</v>
      </c>
      <c r="D154" s="2">
        <v>123456789</v>
      </c>
    </row>
    <row r="155" spans="1:4" x14ac:dyDescent="0.45">
      <c r="A155" t="s">
        <v>288</v>
      </c>
      <c r="B155">
        <f>(oil!B155/oil!B151-1)*100</f>
        <v>77.019539224263653</v>
      </c>
      <c r="C155" s="2">
        <v>123456789</v>
      </c>
      <c r="D155" s="2">
        <v>123456789</v>
      </c>
    </row>
    <row r="156" spans="1:4" x14ac:dyDescent="0.45">
      <c r="A156" t="s">
        <v>289</v>
      </c>
      <c r="B156">
        <f>(oil!B156/oil!B152-1)*100</f>
        <v>52.635090060040035</v>
      </c>
      <c r="C156" s="2">
        <v>123456789</v>
      </c>
      <c r="D156" s="2">
        <v>123456789</v>
      </c>
    </row>
    <row r="157" spans="1:4" x14ac:dyDescent="0.45">
      <c r="A157" t="s">
        <v>290</v>
      </c>
      <c r="B157">
        <f>(oil!B157/oil!B153-1)*100</f>
        <v>-38.279132791327918</v>
      </c>
      <c r="C157" s="2">
        <v>123456789</v>
      </c>
      <c r="D157" s="2">
        <v>123456789</v>
      </c>
    </row>
    <row r="158" spans="1:4" x14ac:dyDescent="0.45">
      <c r="A158" t="s">
        <v>291</v>
      </c>
      <c r="B158">
        <f>(oil!B158/oil!B154-1)*100</f>
        <v>-54.167526304930888</v>
      </c>
      <c r="C158" s="2">
        <v>123456789</v>
      </c>
      <c r="D158" s="2">
        <v>123456789</v>
      </c>
    </row>
    <row r="159" spans="1:4" x14ac:dyDescent="0.45">
      <c r="A159" t="s">
        <v>292</v>
      </c>
      <c r="B159">
        <f>(oil!B159/oil!B155-1)*100</f>
        <v>-51.647446457990107</v>
      </c>
      <c r="C159" s="2">
        <v>123456789</v>
      </c>
      <c r="D159" s="2">
        <v>123456789</v>
      </c>
    </row>
    <row r="160" spans="1:4" x14ac:dyDescent="0.45">
      <c r="A160" t="s">
        <v>293</v>
      </c>
      <c r="B160">
        <f>(oil!B160/oil!B156-1)*100</f>
        <v>-40.384615384615387</v>
      </c>
      <c r="C160" s="2">
        <v>123456789</v>
      </c>
      <c r="D160" s="2">
        <v>123456789</v>
      </c>
    </row>
    <row r="161" spans="1:4" x14ac:dyDescent="0.45">
      <c r="A161" t="s">
        <v>294</v>
      </c>
      <c r="B161">
        <f>(oil!B161/oil!B157-1)*100</f>
        <v>36.534943285766566</v>
      </c>
      <c r="C161" s="2">
        <v>123456789</v>
      </c>
      <c r="D161" s="2">
        <v>123456789</v>
      </c>
    </row>
    <row r="162" spans="1:4" x14ac:dyDescent="0.45">
      <c r="A162" t="s">
        <v>295</v>
      </c>
      <c r="B162">
        <f>(oil!B162/oil!B158-1)*100</f>
        <v>71.618275939680402</v>
      </c>
      <c r="C162" s="2">
        <v>123456789</v>
      </c>
      <c r="D162" s="2">
        <v>123456789</v>
      </c>
    </row>
    <row r="163" spans="1:4" x14ac:dyDescent="0.45">
      <c r="A163" t="s">
        <v>296</v>
      </c>
      <c r="B163">
        <f>(oil!B163/oil!B159-1)*100</f>
        <v>33.747870528109033</v>
      </c>
      <c r="C163" s="2">
        <v>123456789</v>
      </c>
      <c r="D163" s="2">
        <v>123456789</v>
      </c>
    </row>
    <row r="164" spans="1:4" x14ac:dyDescent="0.45">
      <c r="A164" t="s">
        <v>297</v>
      </c>
      <c r="B164">
        <f>(oil!B164/oil!B160-1)*100</f>
        <v>12.639296187683268</v>
      </c>
      <c r="C164" s="2">
        <v>123456789</v>
      </c>
      <c r="D164" s="2">
        <v>123456789</v>
      </c>
    </row>
    <row r="165" spans="1:4" x14ac:dyDescent="0.45">
      <c r="A165" t="s">
        <v>298</v>
      </c>
      <c r="B165">
        <f>(oil!B165/oil!B161-1)*100</f>
        <v>15.864933672785742</v>
      </c>
      <c r="C165" s="2">
        <v>123456789</v>
      </c>
      <c r="D165" s="2">
        <v>123456789</v>
      </c>
    </row>
    <row r="166" spans="1:4" x14ac:dyDescent="0.45">
      <c r="A166" t="s">
        <v>299</v>
      </c>
      <c r="B166">
        <f>(oil!B166/oil!B162-1)*100</f>
        <v>37.652459016393422</v>
      </c>
      <c r="C166" s="2">
        <v>123456789</v>
      </c>
      <c r="D166" s="2">
        <v>123456789</v>
      </c>
    </row>
    <row r="167" spans="1:4" x14ac:dyDescent="0.45">
      <c r="A167" t="s">
        <v>300</v>
      </c>
      <c r="B167">
        <f>(oil!B167/oil!B163-1)*100</f>
        <v>49.484142147497124</v>
      </c>
      <c r="C167" s="2">
        <v>123456789</v>
      </c>
      <c r="D167" s="2">
        <v>123456789</v>
      </c>
    </row>
    <row r="168" spans="1:4" x14ac:dyDescent="0.45">
      <c r="A168" t="s">
        <v>301</v>
      </c>
      <c r="B168">
        <f>(oil!B168/oil!B164-1)*100</f>
        <v>47.539703202291086</v>
      </c>
      <c r="C168" s="2">
        <v>123456789</v>
      </c>
      <c r="D168" s="2">
        <v>123456789</v>
      </c>
    </row>
    <row r="169" spans="1:4" x14ac:dyDescent="0.45">
      <c r="A169" t="s">
        <v>302</v>
      </c>
      <c r="B169">
        <f>(oil!B169/oil!B165-1)*100</f>
        <v>26.517867468486187</v>
      </c>
      <c r="C169" s="2">
        <v>123456789</v>
      </c>
      <c r="D169" s="2">
        <v>123456789</v>
      </c>
    </row>
    <row r="170" spans="1:4" x14ac:dyDescent="0.45">
      <c r="A170" t="s">
        <v>303</v>
      </c>
      <c r="B170">
        <f>(oil!B170/oil!B166-1)*100</f>
        <v>12.890625</v>
      </c>
      <c r="C170" s="2">
        <v>123456789</v>
      </c>
      <c r="D170" s="2">
        <v>123456789</v>
      </c>
    </row>
    <row r="171" spans="1:4" x14ac:dyDescent="0.45">
      <c r="A171" t="s">
        <v>304</v>
      </c>
      <c r="B171">
        <f>(oil!B171/oil!B167-1)*100</f>
        <v>-7.6175869120654323</v>
      </c>
      <c r="C171" s="2">
        <v>123456789</v>
      </c>
      <c r="D171" s="2">
        <v>123456789</v>
      </c>
    </row>
    <row r="172" spans="1:4" x14ac:dyDescent="0.45">
      <c r="A172" t="s">
        <v>305</v>
      </c>
      <c r="B172">
        <f>(oil!B172/oil!B168-1)*100</f>
        <v>-3.2909828833598054</v>
      </c>
      <c r="C172" s="2">
        <v>123456789</v>
      </c>
      <c r="D172" s="2">
        <v>123456789</v>
      </c>
    </row>
    <row r="173" spans="1:4" x14ac:dyDescent="0.45">
      <c r="A173" t="s">
        <v>306</v>
      </c>
      <c r="B173">
        <f>(oil!B173/oil!B169-1)*100</f>
        <v>0.63071297989030217</v>
      </c>
      <c r="C173" s="2">
        <v>123456789</v>
      </c>
      <c r="D173" s="2">
        <v>123456789</v>
      </c>
    </row>
    <row r="174" spans="1:4" x14ac:dyDescent="0.45">
      <c r="A174" t="s">
        <v>307</v>
      </c>
      <c r="B174">
        <f>(oil!B174/oil!B170-1)*100</f>
        <v>-5.0637184572537741</v>
      </c>
      <c r="C174" s="2">
        <v>123456789</v>
      </c>
      <c r="D174" s="2">
        <v>123456789</v>
      </c>
    </row>
    <row r="175" spans="1:4" x14ac:dyDescent="0.45">
      <c r="A175" t="s">
        <v>308</v>
      </c>
      <c r="B175">
        <f>(oil!B175/oil!B171-1)*100</f>
        <v>-5.3864600627190562</v>
      </c>
      <c r="C175" s="2">
        <v>123456789</v>
      </c>
      <c r="D175" s="2">
        <v>123456789</v>
      </c>
    </row>
    <row r="176" spans="1:4" x14ac:dyDescent="0.45">
      <c r="A176" t="s">
        <v>309</v>
      </c>
      <c r="B176">
        <f>(oil!B176/oil!B172-1)*100</f>
        <v>0.60213484171152132</v>
      </c>
      <c r="C176" s="2">
        <v>123456789</v>
      </c>
      <c r="D176" s="2">
        <v>123456789</v>
      </c>
    </row>
    <row r="177" spans="1:4" x14ac:dyDescent="0.45">
      <c r="A177" t="s">
        <v>310</v>
      </c>
      <c r="B177">
        <f>(oil!B177/oil!B173-1)*100</f>
        <v>-0.79934598964483961</v>
      </c>
      <c r="C177" s="2">
        <v>123456789</v>
      </c>
      <c r="D177" s="2">
        <v>123456789</v>
      </c>
    </row>
    <row r="178" spans="1:4" x14ac:dyDescent="0.45">
      <c r="A178" t="s">
        <v>311</v>
      </c>
      <c r="B178">
        <f>(oil!B178/oil!B174-1)*100</f>
        <v>-3.8403413636767691</v>
      </c>
      <c r="C178" s="2">
        <v>123456789</v>
      </c>
      <c r="D178" s="2">
        <v>123456789</v>
      </c>
    </row>
    <row r="179" spans="1:4" x14ac:dyDescent="0.45">
      <c r="A179" t="s">
        <v>312</v>
      </c>
      <c r="B179">
        <f>(oil!B179/oil!B175-1)*100</f>
        <v>6.9409241567557123</v>
      </c>
      <c r="C179" s="2">
        <v>123456789</v>
      </c>
      <c r="D179" s="2">
        <v>123456789</v>
      </c>
    </row>
    <row r="180" spans="1:4" x14ac:dyDescent="0.45">
      <c r="A180" t="s">
        <v>313</v>
      </c>
      <c r="B180">
        <f>(oil!B180/oil!B176-1)*100</f>
        <v>-7.663008977963182</v>
      </c>
      <c r="C180" s="2">
        <v>123456789</v>
      </c>
      <c r="D180" s="2">
        <v>123456789</v>
      </c>
    </row>
    <row r="181" spans="1:4" x14ac:dyDescent="0.45">
      <c r="A181" t="s">
        <v>314</v>
      </c>
      <c r="B181">
        <f>(oil!B181/oil!B177-1)*100</f>
        <v>-30.043036351982412</v>
      </c>
      <c r="C181" s="2">
        <v>123456789</v>
      </c>
      <c r="D181" s="2">
        <v>123456789</v>
      </c>
    </row>
    <row r="182" spans="1:4" x14ac:dyDescent="0.45">
      <c r="A182" t="s">
        <v>315</v>
      </c>
      <c r="B182">
        <f>(oil!B182/oil!B178-1)*100</f>
        <v>-50.152537672182675</v>
      </c>
      <c r="C182" s="2">
        <v>123456789</v>
      </c>
      <c r="D182" s="2">
        <v>123456789</v>
      </c>
    </row>
    <row r="183" spans="1:4" x14ac:dyDescent="0.45">
      <c r="A183" t="s">
        <v>316</v>
      </c>
      <c r="B183">
        <f>(oil!B183/oil!B179-1)*100</f>
        <v>-43.764813126709214</v>
      </c>
      <c r="C183" s="2">
        <v>123456789</v>
      </c>
      <c r="D183" s="2">
        <v>123456789</v>
      </c>
    </row>
    <row r="184" spans="1:4" x14ac:dyDescent="0.45">
      <c r="A184" t="s">
        <v>317</v>
      </c>
      <c r="B184">
        <f>(oil!B184/oil!B180-1)*100</f>
        <v>-50.667845217049702</v>
      </c>
      <c r="C184" s="2">
        <v>123456789</v>
      </c>
      <c r="D184" s="2">
        <v>123456789</v>
      </c>
    </row>
    <row r="185" spans="1:4" x14ac:dyDescent="0.45">
      <c r="A185" t="s">
        <v>318</v>
      </c>
      <c r="B185">
        <f>(oil!B185/oil!B181-1)*100</f>
        <v>-42.971204188481678</v>
      </c>
      <c r="C185" s="2">
        <v>123456789</v>
      </c>
      <c r="D185" s="2">
        <v>123456789</v>
      </c>
    </row>
    <row r="186" spans="1:4" x14ac:dyDescent="0.45">
      <c r="A186" t="s">
        <v>319</v>
      </c>
      <c r="B186">
        <f>(oil!B186/oil!B182-1)*100</f>
        <v>-37.5</v>
      </c>
      <c r="C186" s="2">
        <v>123456789</v>
      </c>
      <c r="D186" s="2">
        <v>123456789</v>
      </c>
    </row>
    <row r="187" spans="1:4" x14ac:dyDescent="0.45">
      <c r="A187" t="s">
        <v>320</v>
      </c>
      <c r="B187">
        <f>(oil!B187/oil!B183-1)*100</f>
        <v>-26.211703679688757</v>
      </c>
      <c r="C187" s="2">
        <v>123456789</v>
      </c>
      <c r="D187" s="2">
        <v>123456789</v>
      </c>
    </row>
    <row r="188" spans="1:4" x14ac:dyDescent="0.45">
      <c r="A188" t="s">
        <v>321</v>
      </c>
      <c r="B188">
        <f>(oil!B188/oil!B184-1)*100</f>
        <v>-8.8393390404140959</v>
      </c>
      <c r="C188" s="2">
        <v>123456789</v>
      </c>
      <c r="D188" s="2">
        <v>123456789</v>
      </c>
    </row>
    <row r="189" spans="1:4" x14ac:dyDescent="0.45">
      <c r="A189" t="s">
        <v>322</v>
      </c>
      <c r="B189">
        <f>(oil!B189/oil!B185-1)*100</f>
        <v>12.898783566674311</v>
      </c>
      <c r="C189" s="2">
        <v>123456789</v>
      </c>
      <c r="D189" s="2">
        <v>123456789</v>
      </c>
    </row>
    <row r="190" spans="1:4" x14ac:dyDescent="0.45">
      <c r="A190" t="s">
        <v>323</v>
      </c>
      <c r="B190">
        <f>(oil!B190/oil!B186-1)*100</f>
        <v>59.287833827893152</v>
      </c>
      <c r="C190" s="2">
        <v>123456789</v>
      </c>
      <c r="D190" s="2">
        <v>123456789</v>
      </c>
    </row>
    <row r="191" spans="1:4" x14ac:dyDescent="0.45">
      <c r="A191" t="s">
        <v>324</v>
      </c>
      <c r="B191">
        <f>(oil!B191/oil!B187-1)*100</f>
        <v>9.1168717047451544</v>
      </c>
      <c r="C191" s="2">
        <v>123456789</v>
      </c>
      <c r="D191" s="2">
        <v>123456789</v>
      </c>
    </row>
    <row r="192" spans="1:4" x14ac:dyDescent="0.45">
      <c r="A192" t="s">
        <v>325</v>
      </c>
      <c r="B192">
        <f>(oil!B192/oil!B188-1)*100</f>
        <v>13.802140205285006</v>
      </c>
      <c r="C192" s="2">
        <v>123456789</v>
      </c>
      <c r="D192" s="2">
        <v>123456789</v>
      </c>
    </row>
    <row r="193" spans="1:4" x14ac:dyDescent="0.45">
      <c r="A193" t="s">
        <v>326</v>
      </c>
      <c r="B193">
        <f>(oil!B193/oil!B189-1)*100</f>
        <v>25.086399674730654</v>
      </c>
      <c r="C193" s="2">
        <v>123456789</v>
      </c>
      <c r="D193" s="2">
        <v>123456789</v>
      </c>
    </row>
    <row r="194" spans="1:4" x14ac:dyDescent="0.45">
      <c r="A194" t="s">
        <v>327</v>
      </c>
      <c r="B194">
        <f>(oil!B194/oil!B190-1)*100</f>
        <v>24.459761549925485</v>
      </c>
      <c r="C194" s="2">
        <v>123456789</v>
      </c>
      <c r="D194" s="2">
        <v>123456789</v>
      </c>
    </row>
    <row r="195" spans="1:4" x14ac:dyDescent="0.45">
      <c r="A195" t="s">
        <v>328</v>
      </c>
      <c r="B195">
        <f>(oil!B195/oil!B191-1)*100</f>
        <v>49.989933561505936</v>
      </c>
      <c r="C195" s="2">
        <v>123456789</v>
      </c>
      <c r="D195" s="2">
        <v>123456789</v>
      </c>
    </row>
    <row r="196" spans="1:4" x14ac:dyDescent="0.45">
      <c r="A196" t="s">
        <v>329</v>
      </c>
      <c r="B196">
        <f>(oil!B196/oil!B192-1)*100</f>
        <v>44.348493571291492</v>
      </c>
      <c r="C196" s="2">
        <v>123456789</v>
      </c>
      <c r="D196" s="2">
        <v>123456789</v>
      </c>
    </row>
    <row r="197" spans="1:4" x14ac:dyDescent="0.45">
      <c r="A197" t="s">
        <v>330</v>
      </c>
      <c r="B197">
        <f>(oil!B197/oil!B193-1)*100</f>
        <v>10.04388103364211</v>
      </c>
      <c r="C197" s="2">
        <v>123456789</v>
      </c>
      <c r="D197" s="2">
        <v>123456789</v>
      </c>
    </row>
    <row r="198" spans="1:4" x14ac:dyDescent="0.45">
      <c r="A198" t="s">
        <v>331</v>
      </c>
      <c r="B198">
        <f>(oil!B198/oil!B194-1)*100</f>
        <v>-5.4482861847028889</v>
      </c>
      <c r="C198" s="2">
        <v>123456789</v>
      </c>
      <c r="D198" s="2">
        <v>123456789</v>
      </c>
    </row>
    <row r="199" spans="1:4" x14ac:dyDescent="0.45">
      <c r="A199" t="s">
        <v>332</v>
      </c>
      <c r="B199">
        <f>(oil!B199/oil!B195-1)*100</f>
        <v>-7.4899328859060361</v>
      </c>
      <c r="C199" s="2">
        <v>123456789</v>
      </c>
      <c r="D199" s="2">
        <v>123456789</v>
      </c>
    </row>
    <row r="200" spans="1:4" x14ac:dyDescent="0.45">
      <c r="A200" t="s">
        <v>333</v>
      </c>
      <c r="B200">
        <f>(oil!B200/oil!B196-1)*100</f>
        <v>-17.668173358149431</v>
      </c>
      <c r="C200" s="2">
        <v>123456789</v>
      </c>
      <c r="D200" s="2">
        <v>123456789</v>
      </c>
    </row>
    <row r="201" spans="1:4" x14ac:dyDescent="0.45">
      <c r="A201" t="s">
        <v>334</v>
      </c>
      <c r="B201">
        <f>(oil!B201/oil!B197-1)*100</f>
        <v>-6.3506129079899498</v>
      </c>
      <c r="C201" s="2">
        <v>123456789</v>
      </c>
      <c r="D201" s="2">
        <v>123456789</v>
      </c>
    </row>
    <row r="202" spans="1:4" x14ac:dyDescent="0.45">
      <c r="A202" t="s">
        <v>335</v>
      </c>
      <c r="B202">
        <f>(oil!B202/oil!B198-1)*100</f>
        <v>-20.151970872249493</v>
      </c>
      <c r="C202" s="2">
        <v>123456789</v>
      </c>
      <c r="D202" s="2">
        <v>123456789</v>
      </c>
    </row>
    <row r="203" spans="1:4" x14ac:dyDescent="0.45">
      <c r="A203" t="s">
        <v>336</v>
      </c>
      <c r="B203">
        <f>(oil!B203/oil!B199-1)*100</f>
        <v>-57.428903076030181</v>
      </c>
      <c r="C203" s="2">
        <v>123456789</v>
      </c>
      <c r="D203" s="2">
        <v>123456789</v>
      </c>
    </row>
    <row r="204" spans="1:4" x14ac:dyDescent="0.45">
      <c r="A204" t="s">
        <v>337</v>
      </c>
      <c r="B204">
        <f>(oil!B204/oil!B200-1)*100</f>
        <v>-30.631357984821573</v>
      </c>
      <c r="C204" s="2">
        <v>123456789</v>
      </c>
      <c r="D204" s="2">
        <v>123456789</v>
      </c>
    </row>
    <row r="205" spans="1:4" x14ac:dyDescent="0.45">
      <c r="A205" t="s">
        <v>338</v>
      </c>
      <c r="B205">
        <f>(oil!B205/oil!B201-1)*100</f>
        <v>-30.152972717237027</v>
      </c>
      <c r="C205" s="2">
        <v>123456789</v>
      </c>
      <c r="D205" s="2">
        <v>123456789</v>
      </c>
    </row>
    <row r="206" spans="1:4" x14ac:dyDescent="0.45">
      <c r="A206" t="s">
        <v>339</v>
      </c>
      <c r="B206">
        <f>(oil!B206/oil!B202-1)*100</f>
        <v>20.578905630452038</v>
      </c>
      <c r="C206" s="2">
        <v>123456789</v>
      </c>
      <c r="D206" s="2">
        <v>123456789</v>
      </c>
    </row>
    <row r="207" spans="1:4" x14ac:dyDescent="0.45">
      <c r="A207" t="s">
        <v>340</v>
      </c>
      <c r="B207">
        <f>(oil!B207/oil!B203-1)*100</f>
        <v>134.59441036128149</v>
      </c>
      <c r="C207" s="2">
        <v>123456789</v>
      </c>
      <c r="D207" s="2">
        <v>123456789</v>
      </c>
    </row>
    <row r="208" spans="1:4" x14ac:dyDescent="0.45">
      <c r="A208" t="s">
        <v>341</v>
      </c>
      <c r="B208">
        <f>(oil!B208/oil!B204-1)*100</f>
        <v>71.019553072625683</v>
      </c>
      <c r="C208" s="2">
        <v>123456789</v>
      </c>
      <c r="D208" s="2">
        <v>123456789</v>
      </c>
    </row>
    <row r="209" spans="1:4" x14ac:dyDescent="0.45">
      <c r="A209" t="s">
        <v>342</v>
      </c>
      <c r="B209">
        <f>(oil!B209/oil!B205-1)*100</f>
        <v>79.701964326032979</v>
      </c>
      <c r="C209" s="2">
        <v>123456789</v>
      </c>
      <c r="D209" s="2">
        <v>123456789</v>
      </c>
    </row>
    <row r="210" spans="1:4" x14ac:dyDescent="0.45">
      <c r="A210" t="s">
        <v>343</v>
      </c>
      <c r="B210">
        <f>(oil!B210/oil!B206-1)*100</f>
        <v>64.91285761262742</v>
      </c>
      <c r="C210" s="2">
        <v>123456789</v>
      </c>
      <c r="D210" s="2">
        <v>123456789</v>
      </c>
    </row>
    <row r="211" spans="1:4" x14ac:dyDescent="0.45">
      <c r="A211" t="s">
        <v>344</v>
      </c>
      <c r="B211">
        <f>(oil!B211/oil!B207-1)*100</f>
        <v>64.957140781635928</v>
      </c>
      <c r="C211" s="2">
        <v>123456789</v>
      </c>
      <c r="D211" s="2">
        <v>123456789</v>
      </c>
    </row>
    <row r="212" spans="1:4" x14ac:dyDescent="0.45">
      <c r="A212" t="s">
        <v>345</v>
      </c>
      <c r="B212">
        <f>(oil!B212/oil!B208-1)*100</f>
        <v>37.076357697019176</v>
      </c>
      <c r="C212" s="2">
        <v>123456789</v>
      </c>
      <c r="D212" s="2">
        <v>123456789</v>
      </c>
    </row>
    <row r="213" spans="1:4" x14ac:dyDescent="0.45">
      <c r="A213" t="s">
        <v>346</v>
      </c>
      <c r="B213">
        <f>(oil!B213/oil!B209-1)*100</f>
        <v>11.270260082924999</v>
      </c>
      <c r="C213" s="2">
        <v>123456789</v>
      </c>
      <c r="D213" s="2">
        <v>123456789</v>
      </c>
    </row>
    <row r="214" spans="1:4" x14ac:dyDescent="0.45">
      <c r="A214" t="s">
        <v>347</v>
      </c>
      <c r="B214">
        <f>(oil!B214/oil!B210-1)*100</f>
        <v>-19.072781655034888</v>
      </c>
      <c r="C214" s="2">
        <v>123456789</v>
      </c>
      <c r="D214" s="2">
        <v>123456789</v>
      </c>
    </row>
    <row r="215" spans="1:4" x14ac:dyDescent="0.45">
      <c r="A215" t="s">
        <v>348</v>
      </c>
      <c r="B215">
        <f>(oil!B215/oil!B211-1)*100</f>
        <v>-31.019904879337691</v>
      </c>
      <c r="C215" s="2">
        <v>123456789</v>
      </c>
      <c r="D215" s="2">
        <v>123456789</v>
      </c>
    </row>
    <row r="216" spans="1:4" x14ac:dyDescent="0.45">
      <c r="A216" t="s">
        <v>349</v>
      </c>
      <c r="B216">
        <f>(oil!B216/oil!B212-1)*100</f>
        <v>-13.950948267302154</v>
      </c>
      <c r="C216" s="2">
        <v>123456789</v>
      </c>
      <c r="D216" s="2">
        <v>123456789</v>
      </c>
    </row>
    <row r="217" spans="1:4" x14ac:dyDescent="0.45">
      <c r="A217" t="s">
        <v>350</v>
      </c>
      <c r="B217">
        <f>(oil!B217/oil!B213-1)*100</f>
        <v>-5.4652213188798537</v>
      </c>
      <c r="C217" s="2">
        <v>123456789</v>
      </c>
      <c r="D217" s="2">
        <v>123456789</v>
      </c>
    </row>
    <row r="218" spans="1:4" x14ac:dyDescent="0.45">
      <c r="A218" t="s">
        <v>351</v>
      </c>
      <c r="B218">
        <f>(oil!B218/oil!B214-1)*100</f>
        <v>2.2545275348035076</v>
      </c>
      <c r="C218" s="2">
        <v>123456789</v>
      </c>
      <c r="D218" s="2">
        <v>123456789</v>
      </c>
    </row>
    <row r="219" spans="1:4" x14ac:dyDescent="0.45">
      <c r="A219" t="s">
        <v>352</v>
      </c>
      <c r="B219">
        <f>(oil!B219/oil!B215-1)*100</f>
        <v>8.0822267620020547</v>
      </c>
      <c r="C219" s="2">
        <v>123456789</v>
      </c>
      <c r="D219" s="2">
        <v>123456789</v>
      </c>
    </row>
    <row r="220" spans="1:4" x14ac:dyDescent="0.45">
      <c r="A220" t="s">
        <v>353</v>
      </c>
      <c r="B220">
        <f>(oil!B220/oil!B216-1)*100</f>
        <v>-7.8698361412416258</v>
      </c>
      <c r="C220" s="2">
        <v>123456789</v>
      </c>
      <c r="D220" s="2">
        <v>123456789</v>
      </c>
    </row>
    <row r="221" spans="1:4" x14ac:dyDescent="0.45">
      <c r="A221" t="s">
        <v>354</v>
      </c>
      <c r="B221">
        <f>(oil!B221/oil!B217-1)*100</f>
        <v>-10.881509794553267</v>
      </c>
      <c r="C221" s="2">
        <v>123456789</v>
      </c>
      <c r="D221" s="2">
        <v>123456789</v>
      </c>
    </row>
    <row r="222" spans="1:4" x14ac:dyDescent="0.45">
      <c r="A222" t="s">
        <v>355</v>
      </c>
      <c r="B222">
        <f>(oil!B222/oil!B218-1)*100</f>
        <v>-8.6626506024096379</v>
      </c>
      <c r="C222" s="2">
        <v>123456789</v>
      </c>
      <c r="D222" s="2">
        <v>123456789</v>
      </c>
    </row>
    <row r="223" spans="1:4" x14ac:dyDescent="0.45">
      <c r="A223" t="s">
        <v>356</v>
      </c>
      <c r="B223">
        <f>(oil!B223/oil!B219-1)*100</f>
        <v>-19.657412876550506</v>
      </c>
      <c r="C223" s="2">
        <v>123456789</v>
      </c>
      <c r="D223" s="2">
        <v>123456789</v>
      </c>
    </row>
    <row r="224" spans="1:4" x14ac:dyDescent="0.45">
      <c r="A224" t="s">
        <v>357</v>
      </c>
      <c r="B224">
        <f>(oil!B224/oil!B220-1)*100</f>
        <v>-13.62725450901805</v>
      </c>
      <c r="C224" s="2">
        <v>123456789</v>
      </c>
      <c r="D224" s="2">
        <v>123456789</v>
      </c>
    </row>
    <row r="225" spans="1:4" x14ac:dyDescent="0.45">
      <c r="A225" t="s">
        <v>438</v>
      </c>
      <c r="B225">
        <f>(oil!B225/oil!B221-1)*100</f>
        <v>-7.5727114327838185</v>
      </c>
      <c r="C225" s="2">
        <v>123456789</v>
      </c>
      <c r="D225" s="2">
        <v>123456789</v>
      </c>
    </row>
    <row r="226" spans="1:4" x14ac:dyDescent="0.45">
      <c r="A226" t="s">
        <v>441</v>
      </c>
      <c r="B226">
        <v>-7.5727099999999998</v>
      </c>
      <c r="C226" s="2">
        <v>123456789</v>
      </c>
      <c r="D226" s="2">
        <v>123456789</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08D1E-EAF5-4ACB-AA9E-C2A767999C37}">
  <sheetPr>
    <tabColor theme="9" tint="0.79998168889431442"/>
  </sheetPr>
  <dimension ref="A1:D226"/>
  <sheetViews>
    <sheetView topLeftCell="A209" workbookViewId="0">
      <selection activeCell="F231" sqref="F231"/>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v>0.79973000000000005</v>
      </c>
      <c r="C6" s="2">
        <v>123456789</v>
      </c>
      <c r="D6" s="2">
        <v>123456789</v>
      </c>
    </row>
    <row r="7" spans="1:4" x14ac:dyDescent="0.45">
      <c r="A7" t="s">
        <v>140</v>
      </c>
      <c r="B7">
        <v>1.27451</v>
      </c>
      <c r="C7" s="2">
        <v>123456789</v>
      </c>
      <c r="D7" s="2">
        <v>123456789</v>
      </c>
    </row>
    <row r="8" spans="1:4" x14ac:dyDescent="0.45">
      <c r="A8" t="s">
        <v>141</v>
      </c>
      <c r="B8">
        <v>1.5912599999999999</v>
      </c>
      <c r="C8" s="2">
        <v>123456789</v>
      </c>
      <c r="D8" s="2">
        <v>123456789</v>
      </c>
    </row>
    <row r="9" spans="1:4" x14ac:dyDescent="0.45">
      <c r="A9" t="s">
        <v>142</v>
      </c>
      <c r="B9">
        <v>1.5066200000000001</v>
      </c>
      <c r="C9" s="2">
        <v>123456789</v>
      </c>
      <c r="D9" s="2">
        <v>123456789</v>
      </c>
    </row>
    <row r="10" spans="1:4" x14ac:dyDescent="0.45">
      <c r="A10" t="s">
        <v>143</v>
      </c>
      <c r="B10">
        <v>0.71665999999999996</v>
      </c>
      <c r="C10" s="2">
        <v>123456789</v>
      </c>
      <c r="D10" s="2">
        <v>123456789</v>
      </c>
    </row>
    <row r="11" spans="1:4" x14ac:dyDescent="0.45">
      <c r="A11" t="s">
        <v>144</v>
      </c>
      <c r="B11">
        <v>0.11249000000000001</v>
      </c>
      <c r="C11" s="2">
        <v>123456789</v>
      </c>
      <c r="D11" s="2">
        <v>123456789</v>
      </c>
    </row>
    <row r="12" spans="1:4" x14ac:dyDescent="0.45">
      <c r="A12" t="s">
        <v>145</v>
      </c>
      <c r="B12">
        <v>0.14566000000000001</v>
      </c>
      <c r="C12" s="2">
        <v>123456789</v>
      </c>
      <c r="D12" s="2">
        <v>123456789</v>
      </c>
    </row>
    <row r="13" spans="1:4" x14ac:dyDescent="0.45">
      <c r="A13" t="s">
        <v>146</v>
      </c>
      <c r="B13">
        <v>-0.22369</v>
      </c>
      <c r="C13" s="2">
        <v>123456789</v>
      </c>
      <c r="D13" s="2">
        <v>123456789</v>
      </c>
    </row>
    <row r="14" spans="1:4" x14ac:dyDescent="0.45">
      <c r="A14" t="s">
        <v>147</v>
      </c>
      <c r="B14">
        <v>0.66154999999999997</v>
      </c>
      <c r="C14" s="2">
        <v>123456789</v>
      </c>
      <c r="D14" s="2">
        <v>123456789</v>
      </c>
    </row>
    <row r="15" spans="1:4" x14ac:dyDescent="0.45">
      <c r="A15" t="s">
        <v>148</v>
      </c>
      <c r="B15">
        <v>1.1716</v>
      </c>
      <c r="C15" s="2">
        <v>123456789</v>
      </c>
      <c r="D15" s="2">
        <v>123456789</v>
      </c>
    </row>
    <row r="16" spans="1:4" x14ac:dyDescent="0.45">
      <c r="A16" t="s">
        <v>149</v>
      </c>
      <c r="B16">
        <v>2.0042300000000002</v>
      </c>
      <c r="C16" s="2">
        <v>123456789</v>
      </c>
      <c r="D16" s="2">
        <v>123456789</v>
      </c>
    </row>
    <row r="17" spans="1:4" x14ac:dyDescent="0.45">
      <c r="A17" t="s">
        <v>150</v>
      </c>
      <c r="B17">
        <v>2.1000399999999999</v>
      </c>
      <c r="C17" s="2">
        <v>123456789</v>
      </c>
      <c r="D17" s="2">
        <v>123456789</v>
      </c>
    </row>
    <row r="18" spans="1:4" x14ac:dyDescent="0.45">
      <c r="A18" t="s">
        <v>151</v>
      </c>
      <c r="B18">
        <v>0.81784999999999997</v>
      </c>
      <c r="C18" s="2">
        <v>123456789</v>
      </c>
      <c r="D18" s="2">
        <v>123456789</v>
      </c>
    </row>
    <row r="19" spans="1:4" x14ac:dyDescent="0.45">
      <c r="A19" t="s">
        <v>152</v>
      </c>
      <c r="B19">
        <v>2.9262600000000001</v>
      </c>
      <c r="C19" s="2">
        <v>123456789</v>
      </c>
      <c r="D19" s="2">
        <v>123456789</v>
      </c>
    </row>
    <row r="20" spans="1:4" x14ac:dyDescent="0.45">
      <c r="A20" t="s">
        <v>153</v>
      </c>
      <c r="B20">
        <v>4.7252200000000002</v>
      </c>
      <c r="C20" s="2">
        <v>123456789</v>
      </c>
      <c r="D20" s="2">
        <v>123456789</v>
      </c>
    </row>
    <row r="21" spans="1:4" x14ac:dyDescent="0.45">
      <c r="A21" t="s">
        <v>154</v>
      </c>
      <c r="B21">
        <v>2.9689899999999998</v>
      </c>
      <c r="C21" s="2">
        <v>123456789</v>
      </c>
      <c r="D21" s="2">
        <v>123456789</v>
      </c>
    </row>
    <row r="22" spans="1:4" x14ac:dyDescent="0.45">
      <c r="A22" t="s">
        <v>155</v>
      </c>
      <c r="B22">
        <v>1.43834</v>
      </c>
      <c r="C22" s="2">
        <v>123456789</v>
      </c>
      <c r="D22" s="2">
        <v>123456789</v>
      </c>
    </row>
    <row r="23" spans="1:4" x14ac:dyDescent="0.45">
      <c r="A23" t="s">
        <v>156</v>
      </c>
      <c r="B23">
        <v>9.8500000000000004E-2</v>
      </c>
      <c r="C23" s="2">
        <v>123456789</v>
      </c>
      <c r="D23" s="2">
        <v>123456789</v>
      </c>
    </row>
    <row r="24" spans="1:4" x14ac:dyDescent="0.45">
      <c r="A24" t="s">
        <v>157</v>
      </c>
      <c r="B24">
        <v>-9.9040000000000003E-2</v>
      </c>
      <c r="C24" s="2">
        <v>123456789</v>
      </c>
      <c r="D24" s="2">
        <v>123456789</v>
      </c>
    </row>
    <row r="25" spans="1:4" x14ac:dyDescent="0.45">
      <c r="A25" t="s">
        <v>158</v>
      </c>
      <c r="B25">
        <v>4.725E-2</v>
      </c>
      <c r="C25" s="2">
        <v>123456789</v>
      </c>
      <c r="D25" s="2">
        <v>123456789</v>
      </c>
    </row>
    <row r="26" spans="1:4" x14ac:dyDescent="0.45">
      <c r="A26" t="s">
        <v>159</v>
      </c>
      <c r="B26">
        <v>-0.58494000000000002</v>
      </c>
      <c r="C26" s="2">
        <v>123456789</v>
      </c>
      <c r="D26" s="2">
        <v>123456789</v>
      </c>
    </row>
    <row r="27" spans="1:4" x14ac:dyDescent="0.45">
      <c r="A27" t="s">
        <v>160</v>
      </c>
      <c r="B27">
        <v>-0.57901999999999998</v>
      </c>
      <c r="C27" s="2">
        <v>123456789</v>
      </c>
      <c r="D27" s="2">
        <v>123456789</v>
      </c>
    </row>
    <row r="28" spans="1:4" x14ac:dyDescent="0.45">
      <c r="A28" t="s">
        <v>161</v>
      </c>
      <c r="B28">
        <v>-0.65137999999999996</v>
      </c>
      <c r="C28" s="2">
        <v>123456789</v>
      </c>
      <c r="D28" s="2">
        <v>123456789</v>
      </c>
    </row>
    <row r="29" spans="1:4" x14ac:dyDescent="0.45">
      <c r="A29" t="s">
        <v>162</v>
      </c>
      <c r="B29">
        <v>-0.69664000000000004</v>
      </c>
      <c r="C29" s="2">
        <v>123456789</v>
      </c>
      <c r="D29" s="2">
        <v>123456789</v>
      </c>
    </row>
    <row r="30" spans="1:4" x14ac:dyDescent="0.45">
      <c r="A30" t="s">
        <v>163</v>
      </c>
      <c r="B30">
        <v>-0.89602999999999999</v>
      </c>
      <c r="C30" s="2">
        <v>123456789</v>
      </c>
      <c r="D30" s="2">
        <v>123456789</v>
      </c>
    </row>
    <row r="31" spans="1:4" x14ac:dyDescent="0.45">
      <c r="A31" t="s">
        <v>164</v>
      </c>
      <c r="B31">
        <v>-0.61055999999999999</v>
      </c>
      <c r="C31" s="2">
        <v>123456789</v>
      </c>
      <c r="D31" s="2">
        <v>123456789</v>
      </c>
    </row>
    <row r="32" spans="1:4" x14ac:dyDescent="0.45">
      <c r="A32" t="s">
        <v>165</v>
      </c>
      <c r="B32">
        <v>-0.47658</v>
      </c>
      <c r="C32" s="2">
        <v>123456789</v>
      </c>
      <c r="D32" s="2">
        <v>123456789</v>
      </c>
    </row>
    <row r="33" spans="1:4" x14ac:dyDescent="0.45">
      <c r="A33" t="s">
        <v>166</v>
      </c>
      <c r="B33">
        <v>-0.25800000000000001</v>
      </c>
      <c r="C33" s="2">
        <v>123456789</v>
      </c>
      <c r="D33" s="2">
        <v>123456789</v>
      </c>
    </row>
    <row r="34" spans="1:4" x14ac:dyDescent="0.45">
      <c r="A34" t="s">
        <v>167</v>
      </c>
      <c r="B34">
        <v>-0.19409000000000001</v>
      </c>
      <c r="C34" s="2">
        <v>123456789</v>
      </c>
      <c r="D34" s="2">
        <v>123456789</v>
      </c>
    </row>
    <row r="35" spans="1:4" x14ac:dyDescent="0.45">
      <c r="A35" t="s">
        <v>168</v>
      </c>
      <c r="B35">
        <v>0.42793999999999999</v>
      </c>
      <c r="C35" s="2">
        <v>123456789</v>
      </c>
      <c r="D35" s="2">
        <v>123456789</v>
      </c>
    </row>
    <row r="36" spans="1:4" x14ac:dyDescent="0.45">
      <c r="A36" t="s">
        <v>169</v>
      </c>
      <c r="B36">
        <v>0.58526</v>
      </c>
      <c r="C36" s="2">
        <v>123456789</v>
      </c>
      <c r="D36" s="2">
        <v>123456789</v>
      </c>
    </row>
    <row r="37" spans="1:4" x14ac:dyDescent="0.45">
      <c r="A37" t="s">
        <v>170</v>
      </c>
      <c r="B37">
        <v>1.70289</v>
      </c>
      <c r="C37" s="2">
        <v>123456789</v>
      </c>
      <c r="D37" s="2">
        <v>123456789</v>
      </c>
    </row>
    <row r="38" spans="1:4" x14ac:dyDescent="0.45">
      <c r="A38" t="s">
        <v>171</v>
      </c>
      <c r="B38">
        <v>0.79093000000000002</v>
      </c>
      <c r="C38" s="2">
        <v>123456789</v>
      </c>
      <c r="D38" s="2">
        <v>123456789</v>
      </c>
    </row>
    <row r="39" spans="1:4" x14ac:dyDescent="0.45">
      <c r="A39" t="s">
        <v>172</v>
      </c>
      <c r="B39">
        <v>0.45373000000000002</v>
      </c>
      <c r="C39" s="2">
        <v>123456789</v>
      </c>
      <c r="D39" s="2">
        <v>123456789</v>
      </c>
    </row>
    <row r="40" spans="1:4" x14ac:dyDescent="0.45">
      <c r="A40" t="s">
        <v>173</v>
      </c>
      <c r="B40">
        <v>1.48729</v>
      </c>
      <c r="C40" s="2">
        <v>123456789</v>
      </c>
      <c r="D40" s="2">
        <v>123456789</v>
      </c>
    </row>
    <row r="41" spans="1:4" x14ac:dyDescent="0.45">
      <c r="A41" t="s">
        <v>174</v>
      </c>
      <c r="B41">
        <v>2.2870699999999999</v>
      </c>
      <c r="C41" s="2">
        <v>123456789</v>
      </c>
      <c r="D41" s="2">
        <v>123456789</v>
      </c>
    </row>
    <row r="42" spans="1:4" x14ac:dyDescent="0.45">
      <c r="A42" t="s">
        <v>175</v>
      </c>
      <c r="B42">
        <v>2.4163700000000001</v>
      </c>
      <c r="C42" s="2">
        <v>123456789</v>
      </c>
      <c r="D42" s="2">
        <v>123456789</v>
      </c>
    </row>
    <row r="43" spans="1:4" x14ac:dyDescent="0.45">
      <c r="A43" t="s">
        <v>176</v>
      </c>
      <c r="B43">
        <v>3.04908</v>
      </c>
      <c r="C43" s="2">
        <v>123456789</v>
      </c>
      <c r="D43" s="2">
        <v>123456789</v>
      </c>
    </row>
    <row r="44" spans="1:4" x14ac:dyDescent="0.45">
      <c r="A44" t="s">
        <v>177</v>
      </c>
      <c r="B44">
        <v>0.94906000000000001</v>
      </c>
      <c r="C44" s="2">
        <v>123456789</v>
      </c>
      <c r="D44" s="2">
        <v>123456789</v>
      </c>
    </row>
    <row r="45" spans="1:4" x14ac:dyDescent="0.45">
      <c r="A45" t="s">
        <v>178</v>
      </c>
      <c r="B45">
        <v>2.3833299999999999</v>
      </c>
      <c r="C45" s="2">
        <v>123456789</v>
      </c>
      <c r="D45" s="2">
        <v>123456789</v>
      </c>
    </row>
    <row r="46" spans="1:4" x14ac:dyDescent="0.45">
      <c r="A46" t="s">
        <v>179</v>
      </c>
      <c r="B46">
        <v>2.3680599999999998</v>
      </c>
      <c r="C46" s="2">
        <v>123456789</v>
      </c>
      <c r="D46" s="2">
        <v>123456789</v>
      </c>
    </row>
    <row r="47" spans="1:4" x14ac:dyDescent="0.45">
      <c r="A47" t="s">
        <v>180</v>
      </c>
      <c r="B47">
        <v>2.4016999999999999</v>
      </c>
      <c r="C47" s="2">
        <v>123456789</v>
      </c>
      <c r="D47" s="2">
        <v>123456789</v>
      </c>
    </row>
    <row r="48" spans="1:4" x14ac:dyDescent="0.45">
      <c r="A48" t="s">
        <v>181</v>
      </c>
      <c r="B48">
        <v>3.30193</v>
      </c>
      <c r="C48" s="2">
        <v>123456789</v>
      </c>
      <c r="D48" s="2">
        <v>123456789</v>
      </c>
    </row>
    <row r="49" spans="1:4" x14ac:dyDescent="0.45">
      <c r="A49" t="s">
        <v>182</v>
      </c>
      <c r="B49">
        <v>2.51139</v>
      </c>
      <c r="C49" s="2">
        <v>123456789</v>
      </c>
      <c r="D49" s="2">
        <v>123456789</v>
      </c>
    </row>
    <row r="50" spans="1:4" x14ac:dyDescent="0.45">
      <c r="A50" t="s">
        <v>183</v>
      </c>
      <c r="B50">
        <v>1.9742900000000001</v>
      </c>
      <c r="C50" s="2">
        <v>123456789</v>
      </c>
      <c r="D50" s="2">
        <v>123456789</v>
      </c>
    </row>
    <row r="51" spans="1:4" x14ac:dyDescent="0.45">
      <c r="A51" t="s">
        <v>184</v>
      </c>
      <c r="B51">
        <v>2.4426600000000001</v>
      </c>
      <c r="C51" s="2">
        <v>123456789</v>
      </c>
      <c r="D51" s="2">
        <v>123456789</v>
      </c>
    </row>
    <row r="52" spans="1:4" x14ac:dyDescent="0.45">
      <c r="A52" t="s">
        <v>185</v>
      </c>
      <c r="B52">
        <v>3.1665800000000002</v>
      </c>
      <c r="C52" s="2">
        <v>123456789</v>
      </c>
      <c r="D52" s="2">
        <v>123456789</v>
      </c>
    </row>
    <row r="53" spans="1:4" x14ac:dyDescent="0.45">
      <c r="A53" t="s">
        <v>186</v>
      </c>
      <c r="B53">
        <v>1.6362000000000001</v>
      </c>
      <c r="C53" s="2">
        <v>123456789</v>
      </c>
      <c r="D53" s="2">
        <v>123456789</v>
      </c>
    </row>
    <row r="54" spans="1:4" x14ac:dyDescent="0.45">
      <c r="A54" t="s">
        <v>187</v>
      </c>
      <c r="B54">
        <v>0.15454000000000001</v>
      </c>
      <c r="C54" s="2">
        <v>123456789</v>
      </c>
      <c r="D54" s="2">
        <v>123456789</v>
      </c>
    </row>
    <row r="55" spans="1:4" x14ac:dyDescent="0.45">
      <c r="A55" t="s">
        <v>188</v>
      </c>
      <c r="B55">
        <v>-0.13611000000000001</v>
      </c>
      <c r="C55" s="2">
        <v>123456789</v>
      </c>
      <c r="D55" s="2">
        <v>123456789</v>
      </c>
    </row>
    <row r="56" spans="1:4" x14ac:dyDescent="0.45">
      <c r="A56" t="s">
        <v>189</v>
      </c>
      <c r="B56">
        <v>-0.1077</v>
      </c>
      <c r="C56" s="2">
        <v>123456789</v>
      </c>
      <c r="D56" s="2">
        <v>123456789</v>
      </c>
    </row>
    <row r="57" spans="1:4" x14ac:dyDescent="0.45">
      <c r="A57" t="s">
        <v>190</v>
      </c>
      <c r="B57">
        <v>3.7650000000000003E-2</v>
      </c>
      <c r="C57" s="2">
        <v>123456789</v>
      </c>
      <c r="D57" s="2">
        <v>123456789</v>
      </c>
    </row>
    <row r="58" spans="1:4" x14ac:dyDescent="0.45">
      <c r="A58" t="s">
        <v>191</v>
      </c>
      <c r="B58">
        <v>-0.12237000000000001</v>
      </c>
      <c r="C58" s="2">
        <v>123456789</v>
      </c>
      <c r="D58" s="2">
        <v>123456789</v>
      </c>
    </row>
    <row r="59" spans="1:4" x14ac:dyDescent="0.45">
      <c r="A59" t="s">
        <v>192</v>
      </c>
      <c r="B59">
        <v>0.69228000000000001</v>
      </c>
      <c r="C59" s="2">
        <v>123456789</v>
      </c>
      <c r="D59" s="2">
        <v>123456789</v>
      </c>
    </row>
    <row r="60" spans="1:4" x14ac:dyDescent="0.45">
      <c r="A60" t="s">
        <v>193</v>
      </c>
      <c r="B60">
        <v>0.73770000000000002</v>
      </c>
      <c r="C60" s="2">
        <v>123456789</v>
      </c>
      <c r="D60" s="2">
        <v>123456789</v>
      </c>
    </row>
    <row r="61" spans="1:4" x14ac:dyDescent="0.45">
      <c r="A61" t="s">
        <v>194</v>
      </c>
      <c r="B61">
        <v>-3.108E-2</v>
      </c>
      <c r="C61" s="2">
        <v>123456789</v>
      </c>
      <c r="D61" s="2">
        <v>123456789</v>
      </c>
    </row>
    <row r="62" spans="1:4" x14ac:dyDescent="0.45">
      <c r="A62" t="s">
        <v>195</v>
      </c>
      <c r="B62">
        <v>-0.34941</v>
      </c>
      <c r="C62" s="2">
        <v>123456789</v>
      </c>
      <c r="D62" s="2">
        <v>123456789</v>
      </c>
    </row>
    <row r="63" spans="1:4" x14ac:dyDescent="0.45">
      <c r="A63" t="s">
        <v>196</v>
      </c>
      <c r="B63">
        <v>-0.40894999999999998</v>
      </c>
      <c r="C63" s="2">
        <v>123456789</v>
      </c>
      <c r="D63" s="2">
        <v>123456789</v>
      </c>
    </row>
    <row r="64" spans="1:4" x14ac:dyDescent="0.45">
      <c r="A64" t="s">
        <v>197</v>
      </c>
      <c r="B64">
        <v>-0.24923999999999999</v>
      </c>
      <c r="C64" s="2">
        <v>123456789</v>
      </c>
      <c r="D64" s="2">
        <v>123456789</v>
      </c>
    </row>
    <row r="65" spans="1:4" x14ac:dyDescent="0.45">
      <c r="A65" t="s">
        <v>198</v>
      </c>
      <c r="B65">
        <v>-0.29743000000000003</v>
      </c>
      <c r="C65" s="2">
        <v>123456789</v>
      </c>
      <c r="D65" s="2">
        <v>123456789</v>
      </c>
    </row>
    <row r="66" spans="1:4" x14ac:dyDescent="0.45">
      <c r="A66" t="s">
        <v>199</v>
      </c>
      <c r="B66">
        <v>-0.30221999999999999</v>
      </c>
      <c r="C66" s="2">
        <v>123456789</v>
      </c>
      <c r="D66" s="2">
        <v>123456789</v>
      </c>
    </row>
    <row r="67" spans="1:4" x14ac:dyDescent="0.45">
      <c r="A67" t="s">
        <v>200</v>
      </c>
      <c r="B67">
        <v>-0.45891999999999999</v>
      </c>
      <c r="C67" s="2">
        <v>123456789</v>
      </c>
      <c r="D67" s="2">
        <v>123456789</v>
      </c>
    </row>
    <row r="68" spans="1:4" x14ac:dyDescent="0.45">
      <c r="A68" t="s">
        <v>201</v>
      </c>
      <c r="B68">
        <v>-0.55303000000000002</v>
      </c>
      <c r="C68" s="2">
        <v>123456789</v>
      </c>
      <c r="D68" s="2">
        <v>123456789</v>
      </c>
    </row>
    <row r="69" spans="1:4" x14ac:dyDescent="0.45">
      <c r="A69" t="s">
        <v>202</v>
      </c>
      <c r="B69">
        <v>-0.55545</v>
      </c>
      <c r="C69" s="2">
        <v>123456789</v>
      </c>
      <c r="D69" s="2">
        <v>123456789</v>
      </c>
    </row>
    <row r="70" spans="1:4" x14ac:dyDescent="0.45">
      <c r="A70" t="s">
        <v>203</v>
      </c>
      <c r="B70">
        <v>-0.43822</v>
      </c>
      <c r="C70" s="2">
        <v>123456789</v>
      </c>
      <c r="D70" s="2">
        <v>123456789</v>
      </c>
    </row>
    <row r="71" spans="1:4" x14ac:dyDescent="0.45">
      <c r="A71" t="s">
        <v>204</v>
      </c>
      <c r="B71">
        <v>0.39900000000000002</v>
      </c>
      <c r="C71" s="2">
        <v>123456789</v>
      </c>
      <c r="D71" s="2">
        <v>123456789</v>
      </c>
    </row>
    <row r="72" spans="1:4" x14ac:dyDescent="0.45">
      <c r="A72" t="s">
        <v>205</v>
      </c>
      <c r="B72">
        <v>0.15762000000000001</v>
      </c>
      <c r="C72" s="2">
        <v>123456789</v>
      </c>
      <c r="D72" s="2">
        <v>123456789</v>
      </c>
    </row>
    <row r="73" spans="1:4" x14ac:dyDescent="0.45">
      <c r="A73" t="s">
        <v>206</v>
      </c>
      <c r="B73">
        <v>0.97928000000000004</v>
      </c>
      <c r="C73" s="2">
        <v>123456789</v>
      </c>
      <c r="D73" s="2">
        <v>123456789</v>
      </c>
    </row>
    <row r="74" spans="1:4" x14ac:dyDescent="0.45">
      <c r="A74" t="s">
        <v>207</v>
      </c>
      <c r="B74">
        <v>0.30224000000000001</v>
      </c>
      <c r="C74" s="2">
        <v>123456789</v>
      </c>
      <c r="D74" s="2">
        <v>123456789</v>
      </c>
    </row>
    <row r="75" spans="1:4" x14ac:dyDescent="0.45">
      <c r="A75" t="s">
        <v>208</v>
      </c>
      <c r="B75">
        <v>0.23749000000000001</v>
      </c>
      <c r="C75" s="2">
        <v>123456789</v>
      </c>
      <c r="D75" s="2">
        <v>123456789</v>
      </c>
    </row>
    <row r="76" spans="1:4" x14ac:dyDescent="0.45">
      <c r="A76" t="s">
        <v>209</v>
      </c>
      <c r="B76">
        <v>0.36281999999999998</v>
      </c>
      <c r="C76" s="2">
        <v>123456789</v>
      </c>
      <c r="D76" s="2">
        <v>123456789</v>
      </c>
    </row>
    <row r="77" spans="1:4" x14ac:dyDescent="0.45">
      <c r="A77" t="s">
        <v>210</v>
      </c>
      <c r="B77">
        <v>0.16682</v>
      </c>
      <c r="C77" s="2">
        <v>123456789</v>
      </c>
      <c r="D77" s="2">
        <v>123456789</v>
      </c>
    </row>
    <row r="78" spans="1:4" x14ac:dyDescent="0.45">
      <c r="A78" t="s">
        <v>211</v>
      </c>
      <c r="B78">
        <v>0.37919000000000003</v>
      </c>
      <c r="C78" s="2">
        <v>123456789</v>
      </c>
      <c r="D78" s="2">
        <v>123456789</v>
      </c>
    </row>
    <row r="79" spans="1:4" x14ac:dyDescent="0.45">
      <c r="A79" t="s">
        <v>212</v>
      </c>
      <c r="B79">
        <v>0.45476</v>
      </c>
      <c r="C79" s="2">
        <v>123456789</v>
      </c>
      <c r="D79" s="2">
        <v>123456789</v>
      </c>
    </row>
    <row r="80" spans="1:4" x14ac:dyDescent="0.45">
      <c r="A80" t="s">
        <v>213</v>
      </c>
      <c r="B80">
        <v>0.25724000000000002</v>
      </c>
      <c r="C80" s="2">
        <v>123456789</v>
      </c>
      <c r="D80" s="2">
        <v>123456789</v>
      </c>
    </row>
    <row r="81" spans="1:4" x14ac:dyDescent="0.45">
      <c r="A81" t="s">
        <v>214</v>
      </c>
      <c r="B81">
        <v>0.16999</v>
      </c>
      <c r="C81" s="2">
        <v>123456789</v>
      </c>
      <c r="D81" s="2">
        <v>123456789</v>
      </c>
    </row>
    <row r="82" spans="1:4" x14ac:dyDescent="0.45">
      <c r="A82" t="s">
        <v>215</v>
      </c>
      <c r="B82">
        <v>5.0540000000000002E-2</v>
      </c>
      <c r="C82" s="2">
        <v>123456789</v>
      </c>
      <c r="D82" s="2">
        <v>123456789</v>
      </c>
    </row>
    <row r="83" spans="1:4" x14ac:dyDescent="0.45">
      <c r="A83" t="s">
        <v>216</v>
      </c>
      <c r="B83">
        <v>-5.5999999999999995E-4</v>
      </c>
      <c r="C83" s="2">
        <v>123456789</v>
      </c>
      <c r="D83" s="2">
        <v>123456789</v>
      </c>
    </row>
    <row r="84" spans="1:4" x14ac:dyDescent="0.45">
      <c r="A84" t="s">
        <v>217</v>
      </c>
      <c r="B84">
        <v>7.9519999999999993E-2</v>
      </c>
      <c r="C84" s="2">
        <v>123456789</v>
      </c>
      <c r="D84" s="2">
        <v>123456789</v>
      </c>
    </row>
    <row r="85" spans="1:4" x14ac:dyDescent="0.45">
      <c r="A85" t="s">
        <v>218</v>
      </c>
      <c r="B85">
        <v>0.45754</v>
      </c>
      <c r="C85" s="2">
        <v>123456789</v>
      </c>
      <c r="D85" s="2">
        <v>123456789</v>
      </c>
    </row>
    <row r="86" spans="1:4" x14ac:dyDescent="0.45">
      <c r="A86" t="s">
        <v>219</v>
      </c>
      <c r="B86">
        <v>0.17666000000000001</v>
      </c>
      <c r="C86" s="2">
        <v>123456789</v>
      </c>
      <c r="D86" s="2">
        <v>123456789</v>
      </c>
    </row>
    <row r="87" spans="1:4" x14ac:dyDescent="0.45">
      <c r="A87" t="s">
        <v>220</v>
      </c>
      <c r="B87">
        <v>-0.23943999999999999</v>
      </c>
      <c r="C87" s="2">
        <v>123456789</v>
      </c>
      <c r="D87" s="2">
        <v>123456789</v>
      </c>
    </row>
    <row r="88" spans="1:4" x14ac:dyDescent="0.45">
      <c r="A88" t="s">
        <v>221</v>
      </c>
      <c r="B88">
        <v>-0.47827999999999998</v>
      </c>
      <c r="C88" s="2">
        <v>123456789</v>
      </c>
      <c r="D88" s="2">
        <v>123456789</v>
      </c>
    </row>
    <row r="89" spans="1:4" x14ac:dyDescent="0.45">
      <c r="A89" t="s">
        <v>222</v>
      </c>
      <c r="B89">
        <v>-0.61687000000000003</v>
      </c>
      <c r="C89" s="2">
        <v>123456789</v>
      </c>
      <c r="D89" s="2">
        <v>123456789</v>
      </c>
    </row>
    <row r="90" spans="1:4" x14ac:dyDescent="0.45">
      <c r="A90" t="s">
        <v>223</v>
      </c>
      <c r="B90">
        <v>-0.66932999999999998</v>
      </c>
      <c r="C90" s="2">
        <v>123456789</v>
      </c>
      <c r="D90" s="2">
        <v>123456789</v>
      </c>
    </row>
    <row r="91" spans="1:4" x14ac:dyDescent="0.45">
      <c r="A91" t="s">
        <v>224</v>
      </c>
      <c r="B91">
        <v>-0.82416</v>
      </c>
      <c r="C91" s="2">
        <v>123456789</v>
      </c>
      <c r="D91" s="2">
        <v>123456789</v>
      </c>
    </row>
    <row r="92" spans="1:4" x14ac:dyDescent="0.45">
      <c r="A92" t="s">
        <v>225</v>
      </c>
      <c r="B92">
        <v>-0.90978000000000003</v>
      </c>
      <c r="C92" s="2">
        <v>123456789</v>
      </c>
      <c r="D92" s="2">
        <v>123456789</v>
      </c>
    </row>
    <row r="93" spans="1:4" x14ac:dyDescent="0.45">
      <c r="A93" t="s">
        <v>226</v>
      </c>
      <c r="B93">
        <v>-0.75470999999999999</v>
      </c>
      <c r="C93" s="2">
        <v>123456789</v>
      </c>
      <c r="D93" s="2">
        <v>123456789</v>
      </c>
    </row>
    <row r="94" spans="1:4" x14ac:dyDescent="0.45">
      <c r="A94" t="s">
        <v>227</v>
      </c>
      <c r="B94">
        <v>-0.96020000000000005</v>
      </c>
      <c r="C94" s="2">
        <v>123456789</v>
      </c>
      <c r="D94" s="2">
        <v>123456789</v>
      </c>
    </row>
    <row r="95" spans="1:4" x14ac:dyDescent="0.45">
      <c r="A95" t="s">
        <v>228</v>
      </c>
      <c r="B95">
        <v>-0.99951000000000001</v>
      </c>
      <c r="C95" s="2">
        <v>123456789</v>
      </c>
      <c r="D95" s="2">
        <v>123456789</v>
      </c>
    </row>
    <row r="96" spans="1:4" x14ac:dyDescent="0.45">
      <c r="A96" t="s">
        <v>229</v>
      </c>
      <c r="B96">
        <v>-1.08388</v>
      </c>
      <c r="C96" s="2">
        <v>123456789</v>
      </c>
      <c r="D96" s="2">
        <v>123456789</v>
      </c>
    </row>
    <row r="97" spans="1:4" x14ac:dyDescent="0.45">
      <c r="A97" t="s">
        <v>230</v>
      </c>
      <c r="B97">
        <v>-0.98440000000000005</v>
      </c>
      <c r="C97" s="2">
        <v>123456789</v>
      </c>
      <c r="D97" s="2">
        <v>123456789</v>
      </c>
    </row>
    <row r="98" spans="1:4" x14ac:dyDescent="0.45">
      <c r="A98" t="s">
        <v>231</v>
      </c>
      <c r="B98">
        <v>-0.94879999999999998</v>
      </c>
      <c r="C98" s="2">
        <v>123456789</v>
      </c>
      <c r="D98" s="2">
        <v>123456789</v>
      </c>
    </row>
    <row r="99" spans="1:4" x14ac:dyDescent="0.45">
      <c r="A99" t="s">
        <v>232</v>
      </c>
      <c r="B99">
        <v>-0.73762000000000005</v>
      </c>
      <c r="C99" s="2">
        <v>123456789</v>
      </c>
      <c r="D99" s="2">
        <v>123456789</v>
      </c>
    </row>
    <row r="100" spans="1:4" x14ac:dyDescent="0.45">
      <c r="A100" t="s">
        <v>233</v>
      </c>
      <c r="B100">
        <v>-0.76915</v>
      </c>
      <c r="C100" s="2">
        <v>123456789</v>
      </c>
      <c r="D100" s="2">
        <v>123456789</v>
      </c>
    </row>
    <row r="101" spans="1:4" x14ac:dyDescent="0.45">
      <c r="A101" t="s">
        <v>234</v>
      </c>
      <c r="B101">
        <v>-0.53308999999999995</v>
      </c>
      <c r="C101" s="2">
        <v>123456789</v>
      </c>
      <c r="D101" s="2">
        <v>123456789</v>
      </c>
    </row>
    <row r="102" spans="1:4" x14ac:dyDescent="0.45">
      <c r="A102" t="s">
        <v>235</v>
      </c>
      <c r="B102">
        <v>-0.57115000000000005</v>
      </c>
      <c r="C102" s="2">
        <v>123456789</v>
      </c>
      <c r="D102" s="2">
        <v>123456789</v>
      </c>
    </row>
    <row r="103" spans="1:4" x14ac:dyDescent="0.45">
      <c r="A103" t="s">
        <v>236</v>
      </c>
      <c r="B103">
        <v>-0.69101000000000001</v>
      </c>
      <c r="C103" s="2">
        <v>123456789</v>
      </c>
      <c r="D103" s="2">
        <v>123456789</v>
      </c>
    </row>
    <row r="104" spans="1:4" x14ac:dyDescent="0.45">
      <c r="A104" t="s">
        <v>237</v>
      </c>
      <c r="B104">
        <v>-0.70320000000000005</v>
      </c>
      <c r="C104" s="2">
        <v>123456789</v>
      </c>
      <c r="D104" s="2">
        <v>123456789</v>
      </c>
    </row>
    <row r="105" spans="1:4" x14ac:dyDescent="0.45">
      <c r="A105" t="s">
        <v>238</v>
      </c>
      <c r="B105">
        <v>-0.73948999999999998</v>
      </c>
      <c r="C105" s="2">
        <v>123456789</v>
      </c>
      <c r="D105" s="2">
        <v>123456789</v>
      </c>
    </row>
    <row r="106" spans="1:4" x14ac:dyDescent="0.45">
      <c r="A106" t="s">
        <v>239</v>
      </c>
      <c r="B106">
        <v>-0.79035999999999995</v>
      </c>
      <c r="C106" s="2">
        <v>123456789</v>
      </c>
      <c r="D106" s="2">
        <v>123456789</v>
      </c>
    </row>
    <row r="107" spans="1:4" x14ac:dyDescent="0.45">
      <c r="A107" t="s">
        <v>240</v>
      </c>
      <c r="B107">
        <v>-0.70942000000000005</v>
      </c>
      <c r="C107" s="2">
        <v>123456789</v>
      </c>
      <c r="D107" s="2">
        <v>123456789</v>
      </c>
    </row>
    <row r="108" spans="1:4" x14ac:dyDescent="0.45">
      <c r="A108" t="s">
        <v>241</v>
      </c>
      <c r="B108">
        <v>-0.73404000000000003</v>
      </c>
      <c r="C108" s="2">
        <v>123456789</v>
      </c>
      <c r="D108" s="2">
        <v>123456789</v>
      </c>
    </row>
    <row r="109" spans="1:4" x14ac:dyDescent="0.45">
      <c r="A109" t="s">
        <v>242</v>
      </c>
      <c r="B109">
        <v>-0.76149</v>
      </c>
      <c r="C109" s="2">
        <v>123456789</v>
      </c>
      <c r="D109" s="2">
        <v>123456789</v>
      </c>
    </row>
    <row r="110" spans="1:4" x14ac:dyDescent="0.45">
      <c r="A110" t="s">
        <v>243</v>
      </c>
      <c r="B110">
        <v>-0.72008000000000005</v>
      </c>
      <c r="C110" s="2">
        <v>123456789</v>
      </c>
      <c r="D110" s="2">
        <v>123456789</v>
      </c>
    </row>
    <row r="111" spans="1:4" x14ac:dyDescent="0.45">
      <c r="A111" t="s">
        <v>244</v>
      </c>
      <c r="B111">
        <v>-0.64454</v>
      </c>
      <c r="C111" s="2">
        <v>123456789</v>
      </c>
      <c r="D111" s="2">
        <v>123456789</v>
      </c>
    </row>
    <row r="112" spans="1:4" x14ac:dyDescent="0.45">
      <c r="A112" t="s">
        <v>245</v>
      </c>
      <c r="B112">
        <v>-0.65125</v>
      </c>
      <c r="C112" s="2">
        <v>123456789</v>
      </c>
      <c r="D112" s="2">
        <v>123456789</v>
      </c>
    </row>
    <row r="113" spans="1:4" x14ac:dyDescent="0.45">
      <c r="A113" t="s">
        <v>246</v>
      </c>
      <c r="B113">
        <v>-0.51710999999999996</v>
      </c>
      <c r="C113" s="2">
        <v>123456789</v>
      </c>
      <c r="D113" s="2">
        <v>123456789</v>
      </c>
    </row>
    <row r="114" spans="1:4" x14ac:dyDescent="0.45">
      <c r="A114" t="s">
        <v>247</v>
      </c>
      <c r="B114">
        <v>-0.61023000000000005</v>
      </c>
      <c r="C114" s="2">
        <v>123456789</v>
      </c>
      <c r="D114" s="2">
        <v>123456789</v>
      </c>
    </row>
    <row r="115" spans="1:4" x14ac:dyDescent="0.45">
      <c r="A115" t="s">
        <v>248</v>
      </c>
      <c r="B115">
        <v>-0.59064000000000005</v>
      </c>
      <c r="C115" s="2">
        <v>123456789</v>
      </c>
      <c r="D115" s="2">
        <v>123456789</v>
      </c>
    </row>
    <row r="116" spans="1:4" x14ac:dyDescent="0.45">
      <c r="A116" t="s">
        <v>249</v>
      </c>
      <c r="B116">
        <v>-0.38183</v>
      </c>
      <c r="C116" s="2">
        <v>123456789</v>
      </c>
      <c r="D116" s="2">
        <v>123456789</v>
      </c>
    </row>
    <row r="117" spans="1:4" x14ac:dyDescent="0.45">
      <c r="A117" t="s">
        <v>250</v>
      </c>
      <c r="B117">
        <v>-7.5999999999999998E-2</v>
      </c>
      <c r="C117" s="2">
        <v>123456789</v>
      </c>
      <c r="D117" s="2">
        <v>123456789</v>
      </c>
    </row>
    <row r="118" spans="1:4" x14ac:dyDescent="0.45">
      <c r="A118" t="s">
        <v>251</v>
      </c>
      <c r="B118">
        <v>-0.31602999999999998</v>
      </c>
      <c r="C118" s="2">
        <v>123456789</v>
      </c>
      <c r="D118" s="2">
        <v>123456789</v>
      </c>
    </row>
    <row r="119" spans="1:4" x14ac:dyDescent="0.45">
      <c r="A119" t="s">
        <v>252</v>
      </c>
      <c r="B119">
        <v>-0.40498000000000001</v>
      </c>
      <c r="C119" s="2">
        <v>123456789</v>
      </c>
      <c r="D119" s="2">
        <v>123456789</v>
      </c>
    </row>
    <row r="120" spans="1:4" x14ac:dyDescent="0.45">
      <c r="A120" t="s">
        <v>253</v>
      </c>
      <c r="B120">
        <v>-0.19109000000000001</v>
      </c>
      <c r="C120" s="2">
        <v>123456789</v>
      </c>
      <c r="D120" s="2">
        <v>123456789</v>
      </c>
    </row>
    <row r="121" spans="1:4" x14ac:dyDescent="0.45">
      <c r="A121" t="s">
        <v>254</v>
      </c>
      <c r="B121">
        <v>-0.1386</v>
      </c>
      <c r="C121" s="2">
        <v>123456789</v>
      </c>
      <c r="D121" s="2">
        <v>123456789</v>
      </c>
    </row>
    <row r="122" spans="1:4" x14ac:dyDescent="0.45">
      <c r="A122" t="s">
        <v>255</v>
      </c>
      <c r="B122">
        <v>-0.17623</v>
      </c>
      <c r="C122" s="2">
        <v>123456789</v>
      </c>
      <c r="D122" s="2">
        <v>123456789</v>
      </c>
    </row>
    <row r="123" spans="1:4" x14ac:dyDescent="0.45">
      <c r="A123" t="s">
        <v>256</v>
      </c>
      <c r="B123">
        <v>-4.3200000000000001E-3</v>
      </c>
      <c r="C123" s="2">
        <v>123456789</v>
      </c>
      <c r="D123" s="2">
        <v>123456789</v>
      </c>
    </row>
    <row r="124" spans="1:4" x14ac:dyDescent="0.45">
      <c r="A124" t="s">
        <v>257</v>
      </c>
      <c r="B124">
        <v>-0.15176000000000001</v>
      </c>
      <c r="C124" s="2">
        <v>123456789</v>
      </c>
      <c r="D124" s="2">
        <v>123456789</v>
      </c>
    </row>
    <row r="125" spans="1:4" x14ac:dyDescent="0.45">
      <c r="A125" t="s">
        <v>258</v>
      </c>
      <c r="B125">
        <v>-0.12446</v>
      </c>
      <c r="C125" s="2">
        <v>123456789</v>
      </c>
      <c r="D125" s="2">
        <v>123456789</v>
      </c>
    </row>
    <row r="126" spans="1:4" x14ac:dyDescent="0.45">
      <c r="A126" t="s">
        <v>259</v>
      </c>
      <c r="B126">
        <v>-0.23738999999999999</v>
      </c>
      <c r="C126" s="2">
        <v>123456789</v>
      </c>
      <c r="D126" s="2">
        <v>123456789</v>
      </c>
    </row>
    <row r="127" spans="1:4" x14ac:dyDescent="0.45">
      <c r="A127" t="s">
        <v>260</v>
      </c>
      <c r="B127">
        <v>-0.38830999999999999</v>
      </c>
      <c r="C127" s="2">
        <v>123456789</v>
      </c>
      <c r="D127" s="2">
        <v>123456789</v>
      </c>
    </row>
    <row r="128" spans="1:4" x14ac:dyDescent="0.45">
      <c r="A128" t="s">
        <v>261</v>
      </c>
      <c r="B128">
        <v>-0.44901000000000002</v>
      </c>
      <c r="C128" s="2">
        <v>123456789</v>
      </c>
      <c r="D128" s="2">
        <v>123456789</v>
      </c>
    </row>
    <row r="129" spans="1:4" x14ac:dyDescent="0.45">
      <c r="A129" t="s">
        <v>262</v>
      </c>
      <c r="B129">
        <v>-0.37991999999999998</v>
      </c>
      <c r="C129" s="2">
        <v>123456789</v>
      </c>
      <c r="D129" s="2">
        <v>123456789</v>
      </c>
    </row>
    <row r="130" spans="1:4" x14ac:dyDescent="0.45">
      <c r="A130" t="s">
        <v>263</v>
      </c>
      <c r="B130">
        <v>-0.47952</v>
      </c>
      <c r="C130" s="2">
        <v>123456789</v>
      </c>
      <c r="D130" s="2">
        <v>123456789</v>
      </c>
    </row>
    <row r="131" spans="1:4" x14ac:dyDescent="0.45">
      <c r="A131" t="s">
        <v>264</v>
      </c>
      <c r="B131">
        <v>-0.59265999999999996</v>
      </c>
      <c r="C131" s="2">
        <v>123456789</v>
      </c>
      <c r="D131" s="2">
        <v>123456789</v>
      </c>
    </row>
    <row r="132" spans="1:4" x14ac:dyDescent="0.45">
      <c r="A132" t="s">
        <v>265</v>
      </c>
      <c r="B132">
        <v>-0.42251</v>
      </c>
      <c r="C132" s="2">
        <v>123456789</v>
      </c>
      <c r="D132" s="2">
        <v>123456789</v>
      </c>
    </row>
    <row r="133" spans="1:4" x14ac:dyDescent="0.45">
      <c r="A133" t="s">
        <v>266</v>
      </c>
      <c r="B133">
        <v>-0.43070999999999998</v>
      </c>
      <c r="C133" s="2">
        <v>123456789</v>
      </c>
      <c r="D133" s="2">
        <v>123456789</v>
      </c>
    </row>
    <row r="134" spans="1:4" x14ac:dyDescent="0.45">
      <c r="A134" t="s">
        <v>267</v>
      </c>
      <c r="B134">
        <v>-0.54025000000000001</v>
      </c>
      <c r="C134" s="2">
        <v>123456789</v>
      </c>
      <c r="D134" s="2">
        <v>123456789</v>
      </c>
    </row>
    <row r="135" spans="1:4" x14ac:dyDescent="0.45">
      <c r="A135" t="s">
        <v>268</v>
      </c>
      <c r="B135">
        <v>-0.70050000000000001</v>
      </c>
      <c r="C135" s="2">
        <v>123456789</v>
      </c>
      <c r="D135" s="2">
        <v>123456789</v>
      </c>
    </row>
    <row r="136" spans="1:4" x14ac:dyDescent="0.45">
      <c r="A136" t="s">
        <v>269</v>
      </c>
      <c r="B136">
        <v>-0.69933000000000001</v>
      </c>
      <c r="C136" s="2">
        <v>123456789</v>
      </c>
      <c r="D136" s="2">
        <v>123456789</v>
      </c>
    </row>
    <row r="137" spans="1:4" x14ac:dyDescent="0.45">
      <c r="A137" t="s">
        <v>270</v>
      </c>
      <c r="B137">
        <v>-0.72108000000000005</v>
      </c>
      <c r="C137" s="2">
        <v>123456789</v>
      </c>
      <c r="D137" s="2">
        <v>123456789</v>
      </c>
    </row>
    <row r="138" spans="1:4" x14ac:dyDescent="0.45">
      <c r="A138" t="s">
        <v>271</v>
      </c>
      <c r="B138">
        <v>-0.79930000000000001</v>
      </c>
      <c r="C138" s="2">
        <v>123456789</v>
      </c>
      <c r="D138" s="2">
        <v>123456789</v>
      </c>
    </row>
    <row r="139" spans="1:4" x14ac:dyDescent="0.45">
      <c r="A139" t="s">
        <v>272</v>
      </c>
      <c r="B139">
        <v>-0.73385999999999996</v>
      </c>
      <c r="C139" s="2">
        <v>123456789</v>
      </c>
      <c r="D139" s="2">
        <v>123456789</v>
      </c>
    </row>
    <row r="140" spans="1:4" x14ac:dyDescent="0.45">
      <c r="A140" t="s">
        <v>273</v>
      </c>
      <c r="B140">
        <v>-0.70469000000000004</v>
      </c>
      <c r="C140" s="2">
        <v>123456789</v>
      </c>
      <c r="D140" s="2">
        <v>123456789</v>
      </c>
    </row>
    <row r="141" spans="1:4" x14ac:dyDescent="0.45">
      <c r="A141" t="s">
        <v>274</v>
      </c>
      <c r="B141">
        <v>-0.71389000000000002</v>
      </c>
      <c r="C141" s="2">
        <v>123456789</v>
      </c>
      <c r="D141" s="2">
        <v>123456789</v>
      </c>
    </row>
    <row r="142" spans="1:4" x14ac:dyDescent="0.45">
      <c r="A142" t="s">
        <v>275</v>
      </c>
      <c r="B142">
        <v>-0.70472999999999997</v>
      </c>
      <c r="C142" s="2">
        <v>123456789</v>
      </c>
      <c r="D142" s="2">
        <v>123456789</v>
      </c>
    </row>
    <row r="143" spans="1:4" x14ac:dyDescent="0.45">
      <c r="A143" t="s">
        <v>276</v>
      </c>
      <c r="B143">
        <v>-0.61746999999999996</v>
      </c>
      <c r="C143" s="2">
        <v>123456789</v>
      </c>
      <c r="D143" s="2">
        <v>123456789</v>
      </c>
    </row>
    <row r="144" spans="1:4" x14ac:dyDescent="0.45">
      <c r="A144" t="s">
        <v>277</v>
      </c>
      <c r="B144">
        <v>-0.60253999999999996</v>
      </c>
      <c r="C144" s="2">
        <v>123456789</v>
      </c>
      <c r="D144" s="2">
        <v>123456789</v>
      </c>
    </row>
    <row r="145" spans="1:4" x14ac:dyDescent="0.45">
      <c r="A145" t="s">
        <v>278</v>
      </c>
      <c r="B145">
        <v>-0.57921</v>
      </c>
      <c r="C145" s="2">
        <v>123456789</v>
      </c>
      <c r="D145" s="2">
        <v>123456789</v>
      </c>
    </row>
    <row r="146" spans="1:4" x14ac:dyDescent="0.45">
      <c r="A146" t="s">
        <v>279</v>
      </c>
      <c r="B146">
        <v>-0.61880000000000002</v>
      </c>
      <c r="C146" s="2">
        <v>123456789</v>
      </c>
      <c r="D146" s="2">
        <v>123456789</v>
      </c>
    </row>
    <row r="147" spans="1:4" x14ac:dyDescent="0.45">
      <c r="A147" t="s">
        <v>280</v>
      </c>
      <c r="B147">
        <v>-0.58821000000000001</v>
      </c>
      <c r="C147" s="2">
        <v>123456789</v>
      </c>
      <c r="D147" s="2">
        <v>123456789</v>
      </c>
    </row>
    <row r="148" spans="1:4" x14ac:dyDescent="0.45">
      <c r="A148" t="s">
        <v>281</v>
      </c>
      <c r="B148">
        <v>-0.58314999999999995</v>
      </c>
      <c r="C148" s="2">
        <v>123456789</v>
      </c>
      <c r="D148" s="2">
        <v>123456789</v>
      </c>
    </row>
    <row r="149" spans="1:4" x14ac:dyDescent="0.45">
      <c r="A149" t="s">
        <v>282</v>
      </c>
      <c r="B149">
        <v>-0.62753999999999999</v>
      </c>
      <c r="C149" s="2">
        <v>123456789</v>
      </c>
      <c r="D149" s="2">
        <v>123456789</v>
      </c>
    </row>
    <row r="150" spans="1:4" x14ac:dyDescent="0.45">
      <c r="A150" t="s">
        <v>283</v>
      </c>
      <c r="B150">
        <v>-0.65561999999999998</v>
      </c>
      <c r="C150" s="2">
        <v>123456789</v>
      </c>
      <c r="D150" s="2">
        <v>123456789</v>
      </c>
    </row>
    <row r="151" spans="1:4" x14ac:dyDescent="0.45">
      <c r="A151" t="s">
        <v>284</v>
      </c>
      <c r="B151">
        <v>-0.56628000000000001</v>
      </c>
      <c r="C151" s="2">
        <v>123456789</v>
      </c>
      <c r="D151" s="2">
        <v>123456789</v>
      </c>
    </row>
    <row r="152" spans="1:4" x14ac:dyDescent="0.45">
      <c r="A152" t="s">
        <v>285</v>
      </c>
      <c r="B152">
        <v>-6.4269999999999994E-2</v>
      </c>
      <c r="C152" s="2">
        <v>123456789</v>
      </c>
      <c r="D152" s="2">
        <v>123456789</v>
      </c>
    </row>
    <row r="153" spans="1:4" x14ac:dyDescent="0.45">
      <c r="A153" t="s">
        <v>286</v>
      </c>
      <c r="B153">
        <v>0.26777000000000001</v>
      </c>
      <c r="C153" s="2">
        <v>123456789</v>
      </c>
      <c r="D153" s="2">
        <v>123456789</v>
      </c>
    </row>
    <row r="154" spans="1:4" x14ac:dyDescent="0.45">
      <c r="A154" t="s">
        <v>287</v>
      </c>
      <c r="B154">
        <v>0.64410999999999996</v>
      </c>
      <c r="C154" s="2">
        <v>123456789</v>
      </c>
      <c r="D154" s="2">
        <v>123456789</v>
      </c>
    </row>
    <row r="155" spans="1:4" x14ac:dyDescent="0.45">
      <c r="A155" t="s">
        <v>288</v>
      </c>
      <c r="B155">
        <v>0.62365999999999999</v>
      </c>
      <c r="C155" s="2">
        <v>123456789</v>
      </c>
      <c r="D155" s="2">
        <v>123456789</v>
      </c>
    </row>
    <row r="156" spans="1:4" x14ac:dyDescent="0.45">
      <c r="A156" t="s">
        <v>289</v>
      </c>
      <c r="B156">
        <v>0.92462</v>
      </c>
      <c r="C156" s="2">
        <v>123456789</v>
      </c>
      <c r="D156" s="2">
        <v>123456789</v>
      </c>
    </row>
    <row r="157" spans="1:4" x14ac:dyDescent="0.45">
      <c r="A157" t="s">
        <v>290</v>
      </c>
      <c r="B157">
        <v>2.74682</v>
      </c>
      <c r="C157" s="2">
        <v>123456789</v>
      </c>
      <c r="D157" s="2">
        <v>123456789</v>
      </c>
    </row>
    <row r="158" spans="1:4" x14ac:dyDescent="0.45">
      <c r="A158" t="s">
        <v>291</v>
      </c>
      <c r="B158">
        <v>2.1518299999999999</v>
      </c>
      <c r="C158" s="2">
        <v>123456789</v>
      </c>
      <c r="D158" s="2">
        <v>123456789</v>
      </c>
    </row>
    <row r="159" spans="1:4" x14ac:dyDescent="0.45">
      <c r="A159" t="s">
        <v>292</v>
      </c>
      <c r="B159">
        <v>1.1090899999999999</v>
      </c>
      <c r="C159" s="2">
        <v>123456789</v>
      </c>
      <c r="D159" s="2">
        <v>123456789</v>
      </c>
    </row>
    <row r="160" spans="1:4" x14ac:dyDescent="0.45">
      <c r="A160" t="s">
        <v>293</v>
      </c>
      <c r="B160">
        <v>0.33488000000000001</v>
      </c>
      <c r="C160" s="2">
        <v>123456789</v>
      </c>
      <c r="D160" s="2">
        <v>123456789</v>
      </c>
    </row>
    <row r="161" spans="1:4" x14ac:dyDescent="0.45">
      <c r="A161" t="s">
        <v>294</v>
      </c>
      <c r="B161">
        <v>-2.6239999999999999E-2</v>
      </c>
      <c r="C161" s="2">
        <v>123456789</v>
      </c>
      <c r="D161" s="2">
        <v>123456789</v>
      </c>
    </row>
    <row r="162" spans="1:4" x14ac:dyDescent="0.45">
      <c r="A162" t="s">
        <v>295</v>
      </c>
      <c r="B162">
        <v>-0.25864999999999999</v>
      </c>
      <c r="C162" s="2">
        <v>123456789</v>
      </c>
      <c r="D162" s="2">
        <v>123456789</v>
      </c>
    </row>
    <row r="163" spans="1:4" x14ac:dyDescent="0.45">
      <c r="A163" t="s">
        <v>296</v>
      </c>
      <c r="B163">
        <v>-0.23558999999999999</v>
      </c>
      <c r="C163" s="2">
        <v>123456789</v>
      </c>
      <c r="D163" s="2">
        <v>123456789</v>
      </c>
    </row>
    <row r="164" spans="1:4" x14ac:dyDescent="0.45">
      <c r="A164" t="s">
        <v>297</v>
      </c>
      <c r="B164">
        <v>-0.25280000000000002</v>
      </c>
      <c r="C164" s="2">
        <v>123456789</v>
      </c>
      <c r="D164" s="2">
        <v>123456789</v>
      </c>
    </row>
    <row r="165" spans="1:4" x14ac:dyDescent="0.45">
      <c r="A165" t="s">
        <v>298</v>
      </c>
      <c r="B165">
        <v>-0.45168999999999998</v>
      </c>
      <c r="C165" s="2">
        <v>123456789</v>
      </c>
      <c r="D165" s="2">
        <v>123456789</v>
      </c>
    </row>
    <row r="166" spans="1:4" x14ac:dyDescent="0.45">
      <c r="A166" t="s">
        <v>299</v>
      </c>
      <c r="B166">
        <v>-0.57876000000000005</v>
      </c>
      <c r="C166" s="2">
        <v>123456789</v>
      </c>
      <c r="D166" s="2">
        <v>123456789</v>
      </c>
    </row>
    <row r="167" spans="1:4" x14ac:dyDescent="0.45">
      <c r="A167" t="s">
        <v>300</v>
      </c>
      <c r="B167">
        <v>-0.57476000000000005</v>
      </c>
      <c r="C167" s="2">
        <v>123456789</v>
      </c>
      <c r="D167" s="2">
        <v>123456789</v>
      </c>
    </row>
    <row r="168" spans="1:4" x14ac:dyDescent="0.45">
      <c r="A168" t="s">
        <v>301</v>
      </c>
      <c r="B168">
        <v>-0.26221</v>
      </c>
      <c r="C168" s="2">
        <v>123456789</v>
      </c>
      <c r="D168" s="2">
        <v>123456789</v>
      </c>
    </row>
    <row r="169" spans="1:4" x14ac:dyDescent="0.45">
      <c r="A169" t="s">
        <v>302</v>
      </c>
      <c r="B169">
        <v>-0.10152</v>
      </c>
      <c r="C169" s="2">
        <v>123456789</v>
      </c>
      <c r="D169" s="2">
        <v>123456789</v>
      </c>
    </row>
    <row r="170" spans="1:4" x14ac:dyDescent="0.45">
      <c r="A170" t="s">
        <v>303</v>
      </c>
      <c r="B170">
        <v>-0.37391000000000002</v>
      </c>
      <c r="C170" s="2">
        <v>123456789</v>
      </c>
      <c r="D170" s="2">
        <v>123456789</v>
      </c>
    </row>
    <row r="171" spans="1:4" x14ac:dyDescent="0.45">
      <c r="A171" t="s">
        <v>304</v>
      </c>
      <c r="B171">
        <v>-0.32471</v>
      </c>
      <c r="C171" s="2">
        <v>123456789</v>
      </c>
      <c r="D171" s="2">
        <v>123456789</v>
      </c>
    </row>
    <row r="172" spans="1:4" x14ac:dyDescent="0.45">
      <c r="A172" t="s">
        <v>305</v>
      </c>
      <c r="B172">
        <v>-0.43097000000000002</v>
      </c>
      <c r="C172" s="2">
        <v>123456789</v>
      </c>
      <c r="D172" s="2">
        <v>123456789</v>
      </c>
    </row>
    <row r="173" spans="1:4" x14ac:dyDescent="0.45">
      <c r="A173" t="s">
        <v>306</v>
      </c>
      <c r="B173">
        <v>-0.56735000000000002</v>
      </c>
      <c r="C173" s="2">
        <v>123456789</v>
      </c>
      <c r="D173" s="2">
        <v>123456789</v>
      </c>
    </row>
    <row r="174" spans="1:4" x14ac:dyDescent="0.45">
      <c r="A174" t="s">
        <v>307</v>
      </c>
      <c r="B174">
        <v>-0.65461999999999998</v>
      </c>
      <c r="C174" s="2">
        <v>123456789</v>
      </c>
      <c r="D174" s="2">
        <v>123456789</v>
      </c>
    </row>
    <row r="175" spans="1:4" x14ac:dyDescent="0.45">
      <c r="A175" t="s">
        <v>308</v>
      </c>
      <c r="B175">
        <v>-0.69242999999999999</v>
      </c>
      <c r="C175" s="2">
        <v>123456789</v>
      </c>
      <c r="D175" s="2">
        <v>123456789</v>
      </c>
    </row>
    <row r="176" spans="1:4" x14ac:dyDescent="0.45">
      <c r="A176" t="s">
        <v>309</v>
      </c>
      <c r="B176">
        <v>-0.66952999999999996</v>
      </c>
      <c r="C176" s="2">
        <v>123456789</v>
      </c>
      <c r="D176" s="2">
        <v>123456789</v>
      </c>
    </row>
    <row r="177" spans="1:4" x14ac:dyDescent="0.45">
      <c r="A177" t="s">
        <v>310</v>
      </c>
      <c r="B177">
        <v>-0.75522999999999996</v>
      </c>
      <c r="C177" s="2">
        <v>123456789</v>
      </c>
      <c r="D177" s="2">
        <v>123456789</v>
      </c>
    </row>
    <row r="178" spans="1:4" x14ac:dyDescent="0.45">
      <c r="A178" t="s">
        <v>311</v>
      </c>
      <c r="B178">
        <v>-0.77990000000000004</v>
      </c>
      <c r="C178" s="2">
        <v>123456789</v>
      </c>
      <c r="D178" s="2">
        <v>123456789</v>
      </c>
    </row>
    <row r="179" spans="1:4" x14ac:dyDescent="0.45">
      <c r="A179" t="s">
        <v>312</v>
      </c>
      <c r="B179">
        <v>-0.78634000000000004</v>
      </c>
      <c r="C179" s="2">
        <v>123456789</v>
      </c>
      <c r="D179" s="2">
        <v>123456789</v>
      </c>
    </row>
    <row r="180" spans="1:4" x14ac:dyDescent="0.45">
      <c r="A180" t="s">
        <v>313</v>
      </c>
      <c r="B180">
        <v>-0.73179000000000005</v>
      </c>
      <c r="C180" s="2">
        <v>123456789</v>
      </c>
      <c r="D180" s="2">
        <v>123456789</v>
      </c>
    </row>
    <row r="181" spans="1:4" x14ac:dyDescent="0.45">
      <c r="A181" t="s">
        <v>314</v>
      </c>
      <c r="B181">
        <v>-0.63943000000000005</v>
      </c>
      <c r="C181" s="2">
        <v>123456789</v>
      </c>
      <c r="D181" s="2">
        <v>123456789</v>
      </c>
    </row>
    <row r="182" spans="1:4" x14ac:dyDescent="0.45">
      <c r="A182" t="s">
        <v>315</v>
      </c>
      <c r="B182">
        <v>-0.52712999999999999</v>
      </c>
      <c r="C182" s="2">
        <v>123456789</v>
      </c>
      <c r="D182" s="2">
        <v>123456789</v>
      </c>
    </row>
    <row r="183" spans="1:4" x14ac:dyDescent="0.45">
      <c r="A183" t="s">
        <v>316</v>
      </c>
      <c r="B183">
        <v>-0.54776999999999998</v>
      </c>
      <c r="C183" s="2">
        <v>123456789</v>
      </c>
      <c r="D183" s="2">
        <v>123456789</v>
      </c>
    </row>
    <row r="184" spans="1:4" x14ac:dyDescent="0.45">
      <c r="A184" t="s">
        <v>317</v>
      </c>
      <c r="B184">
        <v>-0.46533000000000002</v>
      </c>
      <c r="C184" s="2">
        <v>123456789</v>
      </c>
      <c r="D184" s="2">
        <v>123456789</v>
      </c>
    </row>
    <row r="185" spans="1:4" x14ac:dyDescent="0.45">
      <c r="A185" t="s">
        <v>318</v>
      </c>
      <c r="B185">
        <v>-0.43580999999999998</v>
      </c>
      <c r="C185" s="2">
        <v>123456789</v>
      </c>
      <c r="D185" s="2">
        <v>123456789</v>
      </c>
    </row>
    <row r="186" spans="1:4" x14ac:dyDescent="0.45">
      <c r="A186" t="s">
        <v>319</v>
      </c>
      <c r="B186">
        <v>-0.32721</v>
      </c>
      <c r="C186" s="2">
        <v>123456789</v>
      </c>
      <c r="D186" s="2">
        <v>123456789</v>
      </c>
    </row>
    <row r="187" spans="1:4" x14ac:dyDescent="0.45">
      <c r="A187" t="s">
        <v>320</v>
      </c>
      <c r="B187">
        <v>-0.37759999999999999</v>
      </c>
      <c r="C187" s="2">
        <v>123456789</v>
      </c>
      <c r="D187" s="2">
        <v>123456789</v>
      </c>
    </row>
    <row r="188" spans="1:4" x14ac:dyDescent="0.45">
      <c r="A188" t="s">
        <v>321</v>
      </c>
      <c r="B188">
        <v>-0.35265999999999997</v>
      </c>
      <c r="C188" s="2">
        <v>123456789</v>
      </c>
      <c r="D188" s="2">
        <v>123456789</v>
      </c>
    </row>
    <row r="189" spans="1:4" x14ac:dyDescent="0.45">
      <c r="A189" t="s">
        <v>322</v>
      </c>
      <c r="B189">
        <v>-0.41513</v>
      </c>
      <c r="C189" s="2">
        <v>123456789</v>
      </c>
      <c r="D189" s="2">
        <v>123456789</v>
      </c>
    </row>
    <row r="190" spans="1:4" x14ac:dyDescent="0.45">
      <c r="A190" t="s">
        <v>323</v>
      </c>
      <c r="B190">
        <v>-0.48624000000000001</v>
      </c>
      <c r="C190" s="2">
        <v>123456789</v>
      </c>
      <c r="D190" s="2">
        <v>123456789</v>
      </c>
    </row>
    <row r="191" spans="1:4" x14ac:dyDescent="0.45">
      <c r="A191" t="s">
        <v>324</v>
      </c>
      <c r="B191">
        <v>-0.53485000000000005</v>
      </c>
      <c r="C191" s="2">
        <v>123456789</v>
      </c>
      <c r="D191" s="2">
        <v>123456789</v>
      </c>
    </row>
    <row r="192" spans="1:4" x14ac:dyDescent="0.45">
      <c r="A192" t="s">
        <v>325</v>
      </c>
      <c r="B192">
        <v>-0.57003999999999999</v>
      </c>
      <c r="C192" s="2">
        <v>123456789</v>
      </c>
      <c r="D192" s="2">
        <v>123456789</v>
      </c>
    </row>
    <row r="193" spans="1:4" x14ac:dyDescent="0.45">
      <c r="A193" t="s">
        <v>326</v>
      </c>
      <c r="B193">
        <v>-0.60311999999999999</v>
      </c>
      <c r="C193" s="2">
        <v>123456789</v>
      </c>
      <c r="D193" s="2">
        <v>123456789</v>
      </c>
    </row>
    <row r="194" spans="1:4" x14ac:dyDescent="0.45">
      <c r="A194" t="s">
        <v>327</v>
      </c>
      <c r="B194">
        <v>-0.56315000000000004</v>
      </c>
      <c r="C194" s="2">
        <v>123456789</v>
      </c>
      <c r="D194" s="2">
        <v>123456789</v>
      </c>
    </row>
    <row r="195" spans="1:4" x14ac:dyDescent="0.45">
      <c r="A195" t="s">
        <v>328</v>
      </c>
      <c r="B195">
        <v>-0.54556000000000004</v>
      </c>
      <c r="C195" s="2">
        <v>123456789</v>
      </c>
      <c r="D195" s="2">
        <v>123456789</v>
      </c>
    </row>
    <row r="196" spans="1:4" x14ac:dyDescent="0.45">
      <c r="A196" t="s">
        <v>329</v>
      </c>
      <c r="B196">
        <v>-0.58092999999999995</v>
      </c>
      <c r="C196" s="2">
        <v>123456789</v>
      </c>
      <c r="D196" s="2">
        <v>123456789</v>
      </c>
    </row>
    <row r="197" spans="1:4" x14ac:dyDescent="0.45">
      <c r="A197" t="s">
        <v>330</v>
      </c>
      <c r="B197">
        <v>-0.50197999999999998</v>
      </c>
      <c r="C197" s="2">
        <v>123456789</v>
      </c>
      <c r="D197" s="2">
        <v>123456789</v>
      </c>
    </row>
    <row r="198" spans="1:4" x14ac:dyDescent="0.45">
      <c r="A198" t="s">
        <v>331</v>
      </c>
      <c r="B198">
        <v>-0.54893000000000003</v>
      </c>
      <c r="C198" s="2">
        <v>123456789</v>
      </c>
      <c r="D198" s="2">
        <v>123456789</v>
      </c>
    </row>
    <row r="199" spans="1:4" x14ac:dyDescent="0.45">
      <c r="A199" t="s">
        <v>332</v>
      </c>
      <c r="B199">
        <v>-0.59677999999999998</v>
      </c>
      <c r="C199" s="2">
        <v>123456789</v>
      </c>
      <c r="D199" s="2">
        <v>123456789</v>
      </c>
    </row>
    <row r="200" spans="1:4" x14ac:dyDescent="0.45">
      <c r="A200" t="s">
        <v>333</v>
      </c>
      <c r="B200">
        <v>-0.55010000000000003</v>
      </c>
      <c r="C200" s="2">
        <v>123456789</v>
      </c>
      <c r="D200" s="2">
        <v>123456789</v>
      </c>
    </row>
    <row r="201" spans="1:4" x14ac:dyDescent="0.45">
      <c r="A201" t="s">
        <v>334</v>
      </c>
      <c r="B201">
        <v>-0.55633999999999995</v>
      </c>
      <c r="C201" s="2">
        <v>123456789</v>
      </c>
      <c r="D201" s="2">
        <v>123456789</v>
      </c>
    </row>
    <row r="202" spans="1:4" x14ac:dyDescent="0.45">
      <c r="A202" t="s">
        <v>335</v>
      </c>
      <c r="B202">
        <v>-0.35088000000000003</v>
      </c>
      <c r="C202" s="2">
        <v>123456789</v>
      </c>
      <c r="D202" s="2">
        <v>123456789</v>
      </c>
    </row>
    <row r="203" spans="1:4" x14ac:dyDescent="0.45">
      <c r="A203" t="s">
        <v>336</v>
      </c>
      <c r="B203">
        <v>-8.1729999999999997E-2</v>
      </c>
      <c r="C203" s="2">
        <v>123456789</v>
      </c>
      <c r="D203" s="2">
        <v>123456789</v>
      </c>
    </row>
    <row r="204" spans="1:4" x14ac:dyDescent="0.45">
      <c r="A204" t="s">
        <v>337</v>
      </c>
      <c r="B204">
        <v>-0.48424</v>
      </c>
      <c r="C204" s="2">
        <v>123456789</v>
      </c>
      <c r="D204" s="2">
        <v>123456789</v>
      </c>
    </row>
    <row r="205" spans="1:4" x14ac:dyDescent="0.45">
      <c r="A205" t="s">
        <v>338</v>
      </c>
      <c r="B205">
        <v>-0.54698000000000002</v>
      </c>
      <c r="C205" s="2">
        <v>123456789</v>
      </c>
      <c r="D205" s="2">
        <v>123456789</v>
      </c>
    </row>
    <row r="206" spans="1:4" x14ac:dyDescent="0.45">
      <c r="A206" t="s">
        <v>339</v>
      </c>
      <c r="B206">
        <v>-0.63088999999999995</v>
      </c>
      <c r="C206" s="2">
        <v>123456789</v>
      </c>
      <c r="D206" s="2">
        <v>123456789</v>
      </c>
    </row>
    <row r="207" spans="1:4" x14ac:dyDescent="0.45">
      <c r="A207" t="s">
        <v>340</v>
      </c>
      <c r="B207">
        <v>-0.68679999999999997</v>
      </c>
      <c r="C207" s="2">
        <v>123456789</v>
      </c>
      <c r="D207" s="2">
        <v>123456789</v>
      </c>
    </row>
    <row r="208" spans="1:4" x14ac:dyDescent="0.45">
      <c r="A208" t="s">
        <v>341</v>
      </c>
      <c r="B208">
        <v>-0.66064999999999996</v>
      </c>
      <c r="C208" s="2">
        <v>123456789</v>
      </c>
      <c r="D208" s="2">
        <v>123456789</v>
      </c>
    </row>
    <row r="209" spans="1:4" x14ac:dyDescent="0.45">
      <c r="A209" t="s">
        <v>342</v>
      </c>
      <c r="B209">
        <v>-0.59172000000000002</v>
      </c>
      <c r="C209" s="2">
        <v>123456789</v>
      </c>
      <c r="D209" s="2">
        <v>123456789</v>
      </c>
    </row>
    <row r="210" spans="1:4" x14ac:dyDescent="0.45">
      <c r="A210" t="s">
        <v>343</v>
      </c>
      <c r="B210">
        <v>-0.47835</v>
      </c>
      <c r="C210" s="2">
        <v>123456789</v>
      </c>
      <c r="D210" s="2">
        <v>123456789</v>
      </c>
    </row>
    <row r="211" spans="1:4" x14ac:dyDescent="0.45">
      <c r="A211" t="s">
        <v>344</v>
      </c>
      <c r="B211">
        <v>-0.29221999999999998</v>
      </c>
      <c r="C211" s="2">
        <v>123456789</v>
      </c>
      <c r="D211" s="2">
        <v>123456789</v>
      </c>
    </row>
    <row r="212" spans="1:4" x14ac:dyDescent="0.45">
      <c r="A212" t="s">
        <v>345</v>
      </c>
      <c r="B212">
        <v>-0.19084000000000001</v>
      </c>
      <c r="C212" s="2">
        <v>123456789</v>
      </c>
      <c r="D212" s="2">
        <v>123456789</v>
      </c>
    </row>
    <row r="213" spans="1:4" x14ac:dyDescent="0.45">
      <c r="A213" t="s">
        <v>346</v>
      </c>
      <c r="B213">
        <v>-0.16558999999999999</v>
      </c>
      <c r="C213" s="2">
        <v>123456789</v>
      </c>
      <c r="D213" s="2">
        <v>123456789</v>
      </c>
    </row>
    <row r="214" spans="1:4" x14ac:dyDescent="0.45">
      <c r="A214" t="s">
        <v>347</v>
      </c>
      <c r="B214">
        <v>-0.25341999999999998</v>
      </c>
      <c r="C214" s="2">
        <v>123456789</v>
      </c>
      <c r="D214" s="2">
        <v>123456789</v>
      </c>
    </row>
    <row r="215" spans="1:4" x14ac:dyDescent="0.45">
      <c r="A215" t="s">
        <v>348</v>
      </c>
      <c r="B215">
        <v>-0.20699000000000001</v>
      </c>
      <c r="C215" s="2">
        <v>123456789</v>
      </c>
      <c r="D215" s="2">
        <v>123456789</v>
      </c>
    </row>
    <row r="216" spans="1:4" x14ac:dyDescent="0.45">
      <c r="A216" t="s">
        <v>349</v>
      </c>
      <c r="B216">
        <v>-0.30936999999999998</v>
      </c>
      <c r="C216" s="2">
        <v>123456789</v>
      </c>
      <c r="D216" s="2">
        <v>123456789</v>
      </c>
    </row>
    <row r="217" spans="1:4" x14ac:dyDescent="0.45">
      <c r="A217" t="s">
        <v>350</v>
      </c>
      <c r="B217">
        <v>-0.32257999999999998</v>
      </c>
      <c r="C217" s="2">
        <v>123456789</v>
      </c>
      <c r="D217" s="2">
        <v>123456789</v>
      </c>
    </row>
    <row r="218" spans="1:4" x14ac:dyDescent="0.45">
      <c r="A218" t="s">
        <v>351</v>
      </c>
      <c r="B218">
        <v>-0.41714000000000001</v>
      </c>
      <c r="C218" s="2">
        <v>123456789</v>
      </c>
      <c r="D218" s="2">
        <v>123456789</v>
      </c>
    </row>
    <row r="219" spans="1:4" x14ac:dyDescent="0.45">
      <c r="A219" t="s">
        <v>352</v>
      </c>
      <c r="B219">
        <v>-0.40973999999999999</v>
      </c>
      <c r="C219" s="2">
        <v>123456789</v>
      </c>
      <c r="D219" s="2">
        <v>123456789</v>
      </c>
    </row>
    <row r="220" spans="1:4" x14ac:dyDescent="0.45">
      <c r="A220" t="s">
        <v>353</v>
      </c>
      <c r="B220">
        <v>-0.38785999999999998</v>
      </c>
      <c r="C220" s="2">
        <v>123456789</v>
      </c>
      <c r="D220" s="2">
        <v>123456789</v>
      </c>
    </row>
    <row r="221" spans="1:4" x14ac:dyDescent="0.45">
      <c r="A221" t="s">
        <v>354</v>
      </c>
      <c r="B221">
        <v>-0.46344000000000002</v>
      </c>
      <c r="C221" s="2">
        <v>123456789</v>
      </c>
      <c r="D221" s="2">
        <v>123456789</v>
      </c>
    </row>
    <row r="222" spans="1:4" x14ac:dyDescent="0.45">
      <c r="A222" t="s">
        <v>355</v>
      </c>
      <c r="B222">
        <v>-0.48131000000000002</v>
      </c>
      <c r="C222" s="2">
        <v>123456789</v>
      </c>
      <c r="D222" s="2">
        <v>123456789</v>
      </c>
    </row>
    <row r="223" spans="1:4" x14ac:dyDescent="0.45">
      <c r="A223" t="s">
        <v>356</v>
      </c>
      <c r="B223">
        <v>-0.44094916666666667</v>
      </c>
      <c r="C223" s="2">
        <v>123456789</v>
      </c>
      <c r="D223" s="2">
        <v>123456789</v>
      </c>
    </row>
    <row r="224" spans="1:4" x14ac:dyDescent="0.45">
      <c r="A224" t="s">
        <v>357</v>
      </c>
      <c r="B224">
        <v>-0.52879566666666677</v>
      </c>
      <c r="C224" s="2">
        <v>123456789</v>
      </c>
      <c r="D224" s="2">
        <v>123456789</v>
      </c>
    </row>
    <row r="225" spans="1:4" x14ac:dyDescent="0.45">
      <c r="A225" t="s">
        <v>438</v>
      </c>
      <c r="B225">
        <v>-0.52879566666666677</v>
      </c>
      <c r="C225" s="2">
        <v>123456789</v>
      </c>
      <c r="D225" s="2">
        <v>123456789</v>
      </c>
    </row>
    <row r="226" spans="1:4" x14ac:dyDescent="0.45">
      <c r="A226" t="s">
        <v>441</v>
      </c>
      <c r="B226">
        <v>-0.52879566666666677</v>
      </c>
      <c r="C226" s="2">
        <v>123456789</v>
      </c>
      <c r="D226" s="2">
        <v>123456789</v>
      </c>
    </row>
  </sheetData>
  <phoneticPr fontId="3"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CF41B-2BA0-4433-AAD4-6DC924C80BE6}">
  <sheetPr>
    <tabColor theme="9" tint="0.79998168889431442"/>
  </sheetPr>
  <dimension ref="A1:I226"/>
  <sheetViews>
    <sheetView topLeftCell="A213" workbookViewId="0">
      <selection activeCell="G221" sqref="G221"/>
    </sheetView>
  </sheetViews>
  <sheetFormatPr defaultRowHeight="14.25" x14ac:dyDescent="0.45"/>
  <sheetData>
    <row r="1" spans="1:9" x14ac:dyDescent="0.45">
      <c r="B1" t="s">
        <v>6</v>
      </c>
      <c r="C1" t="s">
        <v>133</v>
      </c>
      <c r="D1" t="s">
        <v>134</v>
      </c>
    </row>
    <row r="2" spans="1:9" x14ac:dyDescent="0.45">
      <c r="A2" t="s">
        <v>135</v>
      </c>
      <c r="B2">
        <v>4.073167325</v>
      </c>
      <c r="C2" s="2">
        <v>123456789</v>
      </c>
      <c r="D2" s="2">
        <v>123456789</v>
      </c>
    </row>
    <row r="3" spans="1:9" x14ac:dyDescent="0.45">
      <c r="A3" t="s">
        <v>136</v>
      </c>
      <c r="B3">
        <v>4.10705191</v>
      </c>
      <c r="C3" s="2">
        <v>123456789</v>
      </c>
      <c r="D3" s="2">
        <v>123456789</v>
      </c>
      <c r="I3" s="15"/>
    </row>
    <row r="4" spans="1:9" x14ac:dyDescent="0.45">
      <c r="A4" t="s">
        <v>137</v>
      </c>
      <c r="B4">
        <v>4.1545209669999998</v>
      </c>
      <c r="C4" s="2">
        <v>123456789</v>
      </c>
      <c r="D4" s="2">
        <v>123456789</v>
      </c>
    </row>
    <row r="5" spans="1:9" x14ac:dyDescent="0.45">
      <c r="A5" t="s">
        <v>138</v>
      </c>
      <c r="B5">
        <v>3.5091029690000002</v>
      </c>
      <c r="C5" s="2">
        <v>123456789</v>
      </c>
      <c r="D5" s="2">
        <v>123456789</v>
      </c>
    </row>
    <row r="6" spans="1:9" x14ac:dyDescent="0.45">
      <c r="A6" t="s">
        <v>139</v>
      </c>
      <c r="B6">
        <v>3.5735926839999999</v>
      </c>
      <c r="C6" s="2">
        <v>123456789</v>
      </c>
      <c r="D6" s="2">
        <v>123456789</v>
      </c>
    </row>
    <row r="7" spans="1:9" x14ac:dyDescent="0.45">
      <c r="A7" t="s">
        <v>140</v>
      </c>
      <c r="B7">
        <v>3.5897090629999999</v>
      </c>
      <c r="C7" s="2">
        <v>123456789</v>
      </c>
      <c r="D7" s="2">
        <v>123456789</v>
      </c>
    </row>
    <row r="8" spans="1:9" x14ac:dyDescent="0.45">
      <c r="A8" t="s">
        <v>141</v>
      </c>
      <c r="B8">
        <v>3.5656041539999999</v>
      </c>
      <c r="C8" s="2">
        <v>123456789</v>
      </c>
      <c r="D8" s="2">
        <v>123456789</v>
      </c>
    </row>
    <row r="9" spans="1:9" x14ac:dyDescent="0.45">
      <c r="A9" t="s">
        <v>142</v>
      </c>
      <c r="B9">
        <v>4.0393906700000004</v>
      </c>
      <c r="C9" s="2">
        <v>123456789</v>
      </c>
      <c r="D9" s="2">
        <v>123456789</v>
      </c>
    </row>
    <row r="10" spans="1:9" x14ac:dyDescent="0.45">
      <c r="A10" t="s">
        <v>143</v>
      </c>
      <c r="B10">
        <v>4.7037798210000004</v>
      </c>
      <c r="C10" s="2">
        <v>123456789</v>
      </c>
      <c r="D10" s="2">
        <v>123456789</v>
      </c>
    </row>
    <row r="11" spans="1:9" x14ac:dyDescent="0.45">
      <c r="A11" t="s">
        <v>144</v>
      </c>
      <c r="B11">
        <v>5.3038451110000002</v>
      </c>
      <c r="C11" s="2">
        <v>123456789</v>
      </c>
      <c r="D11" s="2">
        <v>123456789</v>
      </c>
    </row>
    <row r="12" spans="1:9" x14ac:dyDescent="0.45">
      <c r="A12" t="s">
        <v>145</v>
      </c>
      <c r="B12">
        <v>5.2515231929999997</v>
      </c>
      <c r="C12" s="2">
        <v>123456789</v>
      </c>
      <c r="D12" s="2">
        <v>123456789</v>
      </c>
    </row>
    <row r="13" spans="1:9" x14ac:dyDescent="0.45">
      <c r="A13" t="s">
        <v>146</v>
      </c>
      <c r="B13">
        <v>6.5310569459999996</v>
      </c>
      <c r="C13" s="2">
        <v>123456789</v>
      </c>
      <c r="D13" s="2">
        <v>123456789</v>
      </c>
    </row>
    <row r="14" spans="1:9" x14ac:dyDescent="0.45">
      <c r="A14" t="s">
        <v>147</v>
      </c>
      <c r="B14">
        <v>7.355396743</v>
      </c>
      <c r="C14" s="2">
        <v>123456789</v>
      </c>
      <c r="D14" s="2">
        <v>123456789</v>
      </c>
    </row>
    <row r="15" spans="1:9" x14ac:dyDescent="0.45">
      <c r="A15" t="s">
        <v>148</v>
      </c>
      <c r="B15">
        <v>6.6198371160000002</v>
      </c>
      <c r="C15" s="2">
        <v>123456789</v>
      </c>
      <c r="D15" s="2">
        <v>123456789</v>
      </c>
    </row>
    <row r="16" spans="1:9" x14ac:dyDescent="0.45">
      <c r="A16" t="s">
        <v>149</v>
      </c>
      <c r="B16">
        <v>5.6593800109999997</v>
      </c>
      <c r="C16" s="2">
        <v>123456789</v>
      </c>
      <c r="D16" s="2">
        <v>123456789</v>
      </c>
    </row>
    <row r="17" spans="1:4" x14ac:dyDescent="0.45">
      <c r="A17" t="s">
        <v>150</v>
      </c>
      <c r="B17">
        <v>5.0202866909999999</v>
      </c>
      <c r="C17" s="2">
        <v>123456789</v>
      </c>
      <c r="D17" s="2">
        <v>123456789</v>
      </c>
    </row>
    <row r="18" spans="1:4" x14ac:dyDescent="0.45">
      <c r="A18" t="s">
        <v>151</v>
      </c>
      <c r="B18">
        <v>2.196133986</v>
      </c>
      <c r="C18" s="2">
        <v>123456789</v>
      </c>
      <c r="D18" s="2">
        <v>123456789</v>
      </c>
    </row>
    <row r="19" spans="1:4" x14ac:dyDescent="0.45">
      <c r="A19" t="s">
        <v>152</v>
      </c>
      <c r="B19">
        <v>1.549671531</v>
      </c>
      <c r="C19" s="2">
        <v>123456789</v>
      </c>
      <c r="D19" s="2">
        <v>123456789</v>
      </c>
    </row>
    <row r="20" spans="1:4" x14ac:dyDescent="0.45">
      <c r="A20" t="s">
        <v>153</v>
      </c>
      <c r="B20">
        <v>1.198289296</v>
      </c>
      <c r="C20" s="2">
        <v>123456789</v>
      </c>
      <c r="D20" s="2">
        <v>123456789</v>
      </c>
    </row>
    <row r="21" spans="1:4" x14ac:dyDescent="0.45">
      <c r="A21" t="s">
        <v>154</v>
      </c>
      <c r="B21">
        <v>-0.55011343700000004</v>
      </c>
      <c r="C21" s="2">
        <v>123456789</v>
      </c>
      <c r="D21" s="2">
        <v>123456789</v>
      </c>
    </row>
    <row r="22" spans="1:4" x14ac:dyDescent="0.45">
      <c r="A22" t="s">
        <v>155</v>
      </c>
      <c r="B22">
        <v>-0.64332149299999997</v>
      </c>
      <c r="C22" s="2">
        <v>123456789</v>
      </c>
      <c r="D22" s="2">
        <v>123456789</v>
      </c>
    </row>
    <row r="23" spans="1:4" x14ac:dyDescent="0.45">
      <c r="A23" t="s">
        <v>156</v>
      </c>
      <c r="B23">
        <v>-0.57565428900000004</v>
      </c>
      <c r="C23" s="2">
        <v>123456789</v>
      </c>
      <c r="D23" s="2">
        <v>123456789</v>
      </c>
    </row>
    <row r="24" spans="1:4" x14ac:dyDescent="0.45">
      <c r="A24" t="s">
        <v>157</v>
      </c>
      <c r="B24">
        <v>0.4987684</v>
      </c>
      <c r="C24" s="2">
        <v>123456789</v>
      </c>
      <c r="D24" s="2">
        <v>123456789</v>
      </c>
    </row>
    <row r="25" spans="1:4" x14ac:dyDescent="0.45">
      <c r="A25" t="s">
        <v>158</v>
      </c>
      <c r="B25">
        <v>2.5019587570000001</v>
      </c>
      <c r="C25" s="2">
        <v>123456789</v>
      </c>
      <c r="D25" s="2">
        <v>123456789</v>
      </c>
    </row>
    <row r="26" spans="1:4" x14ac:dyDescent="0.45">
      <c r="A26" t="s">
        <v>159</v>
      </c>
      <c r="B26">
        <v>4.7260084129999997</v>
      </c>
      <c r="C26" s="2">
        <v>123456789</v>
      </c>
      <c r="D26" s="2">
        <v>123456789</v>
      </c>
    </row>
    <row r="27" spans="1:4" x14ac:dyDescent="0.45">
      <c r="A27" t="s">
        <v>160</v>
      </c>
      <c r="B27">
        <v>5.2367929279999998</v>
      </c>
      <c r="C27" s="2">
        <v>123456789</v>
      </c>
      <c r="D27" s="2">
        <v>123456789</v>
      </c>
    </row>
    <row r="28" spans="1:4" x14ac:dyDescent="0.45">
      <c r="A28" t="s">
        <v>161</v>
      </c>
      <c r="B28">
        <v>5.0109970810000002</v>
      </c>
      <c r="C28" s="2">
        <v>123456789</v>
      </c>
      <c r="D28" s="2">
        <v>123456789</v>
      </c>
    </row>
    <row r="29" spans="1:4" x14ac:dyDescent="0.45">
      <c r="A29" t="s">
        <v>162</v>
      </c>
      <c r="B29">
        <v>4.5725075259999999</v>
      </c>
      <c r="C29" s="2">
        <v>123456789</v>
      </c>
      <c r="D29" s="2">
        <v>123456789</v>
      </c>
    </row>
    <row r="30" spans="1:4" x14ac:dyDescent="0.45">
      <c r="A30" t="s">
        <v>163</v>
      </c>
      <c r="B30">
        <v>3.8241716540000001</v>
      </c>
      <c r="C30" s="2">
        <v>123456789</v>
      </c>
      <c r="D30" s="2">
        <v>123456789</v>
      </c>
    </row>
    <row r="31" spans="1:4" x14ac:dyDescent="0.45">
      <c r="A31" t="s">
        <v>164</v>
      </c>
      <c r="B31">
        <v>3.672562213</v>
      </c>
      <c r="C31" s="2">
        <v>123456789</v>
      </c>
      <c r="D31" s="2">
        <v>123456789</v>
      </c>
    </row>
    <row r="32" spans="1:4" x14ac:dyDescent="0.45">
      <c r="A32" t="s">
        <v>165</v>
      </c>
      <c r="B32">
        <v>3.710512456</v>
      </c>
      <c r="C32" s="2">
        <v>123456789</v>
      </c>
      <c r="D32" s="2">
        <v>123456789</v>
      </c>
    </row>
    <row r="33" spans="1:4" x14ac:dyDescent="0.45">
      <c r="A33" t="s">
        <v>166</v>
      </c>
      <c r="B33">
        <v>3.5765053080000002</v>
      </c>
      <c r="C33" s="2">
        <v>123456789</v>
      </c>
      <c r="D33" s="2">
        <v>123456789</v>
      </c>
    </row>
    <row r="34" spans="1:4" x14ac:dyDescent="0.45">
      <c r="A34" t="s">
        <v>167</v>
      </c>
      <c r="B34">
        <v>3.4664077469999999</v>
      </c>
      <c r="C34" s="2">
        <v>123456789</v>
      </c>
      <c r="D34" s="2">
        <v>123456789</v>
      </c>
    </row>
    <row r="35" spans="1:4" x14ac:dyDescent="0.45">
      <c r="A35" t="s">
        <v>168</v>
      </c>
      <c r="B35">
        <v>4.5659861380000004</v>
      </c>
      <c r="C35" s="2">
        <v>123456789</v>
      </c>
      <c r="D35" s="2">
        <v>123456789</v>
      </c>
    </row>
    <row r="36" spans="1:4" x14ac:dyDescent="0.45">
      <c r="A36" t="s">
        <v>169</v>
      </c>
      <c r="B36">
        <v>4.5988168509999996</v>
      </c>
      <c r="C36" s="2">
        <v>123456789</v>
      </c>
      <c r="D36" s="2">
        <v>123456789</v>
      </c>
    </row>
    <row r="37" spans="1:4" x14ac:dyDescent="0.45">
      <c r="A37" t="s">
        <v>170</v>
      </c>
      <c r="B37">
        <v>5.1336376130000003</v>
      </c>
      <c r="C37" s="2">
        <v>123456789</v>
      </c>
      <c r="D37" s="2">
        <v>123456789</v>
      </c>
    </row>
    <row r="38" spans="1:4" x14ac:dyDescent="0.45">
      <c r="A38" t="s">
        <v>171</v>
      </c>
      <c r="B38">
        <v>4.8930372870000003</v>
      </c>
      <c r="C38" s="2">
        <v>123456789</v>
      </c>
      <c r="D38" s="2">
        <v>123456789</v>
      </c>
    </row>
    <row r="39" spans="1:4" x14ac:dyDescent="0.45">
      <c r="A39" t="s">
        <v>172</v>
      </c>
      <c r="B39">
        <v>4.1619222889999996</v>
      </c>
      <c r="C39" s="2">
        <v>123456789</v>
      </c>
      <c r="D39" s="2">
        <v>123456789</v>
      </c>
    </row>
    <row r="40" spans="1:4" x14ac:dyDescent="0.45">
      <c r="A40" t="s">
        <v>173</v>
      </c>
      <c r="B40">
        <v>3.6383908749999998</v>
      </c>
      <c r="C40" s="2">
        <v>123456789</v>
      </c>
      <c r="D40" s="2">
        <v>123456789</v>
      </c>
    </row>
    <row r="41" spans="1:4" x14ac:dyDescent="0.45">
      <c r="A41" t="s">
        <v>174</v>
      </c>
      <c r="B41">
        <v>2.972463839</v>
      </c>
      <c r="C41" s="2">
        <v>123456789</v>
      </c>
      <c r="D41" s="2">
        <v>123456789</v>
      </c>
    </row>
    <row r="42" spans="1:4" x14ac:dyDescent="0.45">
      <c r="A42" t="s">
        <v>175</v>
      </c>
      <c r="B42">
        <v>2.984586883</v>
      </c>
      <c r="C42" s="2">
        <v>123456789</v>
      </c>
      <c r="D42" s="2">
        <v>123456789</v>
      </c>
    </row>
    <row r="43" spans="1:4" x14ac:dyDescent="0.45">
      <c r="A43" t="s">
        <v>176</v>
      </c>
      <c r="B43">
        <v>0.64483746900000005</v>
      </c>
      <c r="C43" s="2">
        <v>123456789</v>
      </c>
      <c r="D43" s="2">
        <v>123456789</v>
      </c>
    </row>
    <row r="44" spans="1:4" x14ac:dyDescent="0.45">
      <c r="A44" t="s">
        <v>177</v>
      </c>
      <c r="B44">
        <v>0.50736342700000003</v>
      </c>
      <c r="C44" s="2">
        <v>123456789</v>
      </c>
      <c r="D44" s="2">
        <v>123456789</v>
      </c>
    </row>
    <row r="45" spans="1:4" x14ac:dyDescent="0.45">
      <c r="A45" t="s">
        <v>178</v>
      </c>
      <c r="B45">
        <v>0.99268685800000001</v>
      </c>
      <c r="C45" s="2">
        <v>123456789</v>
      </c>
      <c r="D45" s="2">
        <v>123456789</v>
      </c>
    </row>
    <row r="46" spans="1:4" x14ac:dyDescent="0.45">
      <c r="A46" t="s">
        <v>179</v>
      </c>
      <c r="B46">
        <v>1.4584206980000001</v>
      </c>
      <c r="C46" s="2">
        <v>123456789</v>
      </c>
      <c r="D46" s="2">
        <v>123456789</v>
      </c>
    </row>
    <row r="47" spans="1:4" x14ac:dyDescent="0.45">
      <c r="A47" t="s">
        <v>180</v>
      </c>
      <c r="B47">
        <v>2.7874370559999999</v>
      </c>
      <c r="C47" s="2">
        <v>123456789</v>
      </c>
      <c r="D47" s="2">
        <v>123456789</v>
      </c>
    </row>
    <row r="48" spans="1:4" x14ac:dyDescent="0.45">
      <c r="A48" t="s">
        <v>181</v>
      </c>
      <c r="B48">
        <v>3.1322625230000001</v>
      </c>
      <c r="C48" s="2">
        <v>123456789</v>
      </c>
      <c r="D48" s="2">
        <v>123456789</v>
      </c>
    </row>
    <row r="49" spans="1:4" x14ac:dyDescent="0.45">
      <c r="A49" t="s">
        <v>182</v>
      </c>
      <c r="B49">
        <v>1.8910134970000001</v>
      </c>
      <c r="C49" s="2">
        <v>123456789</v>
      </c>
      <c r="D49" s="2">
        <v>123456789</v>
      </c>
    </row>
    <row r="50" spans="1:4" x14ac:dyDescent="0.45">
      <c r="A50" t="s">
        <v>183</v>
      </c>
      <c r="B50">
        <v>0.52174380600000003</v>
      </c>
      <c r="C50" s="2">
        <v>123456789</v>
      </c>
      <c r="D50" s="2">
        <v>123456789</v>
      </c>
    </row>
    <row r="51" spans="1:4" x14ac:dyDescent="0.45">
      <c r="A51" t="s">
        <v>184</v>
      </c>
      <c r="B51">
        <v>0.54122848599999995</v>
      </c>
      <c r="C51" s="2">
        <v>123456789</v>
      </c>
      <c r="D51" s="2">
        <v>123456789</v>
      </c>
    </row>
    <row r="52" spans="1:4" x14ac:dyDescent="0.45">
      <c r="A52" t="s">
        <v>185</v>
      </c>
      <c r="B52">
        <v>-0.26542410900000002</v>
      </c>
      <c r="C52" s="2">
        <v>123456789</v>
      </c>
      <c r="D52" s="2">
        <v>123456789</v>
      </c>
    </row>
    <row r="53" spans="1:4" x14ac:dyDescent="0.45">
      <c r="A53" t="s">
        <v>186</v>
      </c>
      <c r="B53">
        <v>-1.5854416E-2</v>
      </c>
      <c r="C53" s="2">
        <v>123456789</v>
      </c>
      <c r="D53" s="2">
        <v>123456789</v>
      </c>
    </row>
    <row r="54" spans="1:4" x14ac:dyDescent="0.45">
      <c r="A54" t="s">
        <v>187</v>
      </c>
      <c r="B54">
        <v>1.0960776720000001</v>
      </c>
      <c r="C54" s="2">
        <v>123456789</v>
      </c>
      <c r="D54" s="2">
        <v>123456789</v>
      </c>
    </row>
    <row r="55" spans="1:4" x14ac:dyDescent="0.45">
      <c r="A55" t="s">
        <v>188</v>
      </c>
      <c r="B55">
        <v>1.943297501</v>
      </c>
      <c r="C55" s="2">
        <v>123456789</v>
      </c>
      <c r="D55" s="2">
        <v>123456789</v>
      </c>
    </row>
    <row r="56" spans="1:4" x14ac:dyDescent="0.45">
      <c r="A56" t="s">
        <v>189</v>
      </c>
      <c r="B56">
        <v>3.4620448449999999</v>
      </c>
      <c r="C56" s="2">
        <v>123456789</v>
      </c>
      <c r="D56" s="2">
        <v>123456789</v>
      </c>
    </row>
    <row r="57" spans="1:4" x14ac:dyDescent="0.45">
      <c r="A57" t="s">
        <v>190</v>
      </c>
      <c r="B57">
        <v>4.7417664909999999</v>
      </c>
      <c r="C57" s="2">
        <v>123456789</v>
      </c>
      <c r="D57" s="2">
        <v>123456789</v>
      </c>
    </row>
    <row r="58" spans="1:4" x14ac:dyDescent="0.45">
      <c r="A58" t="s">
        <v>191</v>
      </c>
      <c r="B58">
        <v>5.4129968719999999</v>
      </c>
      <c r="C58" s="2">
        <v>123456789</v>
      </c>
      <c r="D58" s="2">
        <v>123456789</v>
      </c>
    </row>
    <row r="59" spans="1:4" x14ac:dyDescent="0.45">
      <c r="A59" t="s">
        <v>192</v>
      </c>
      <c r="B59">
        <v>4.9640801530000003</v>
      </c>
      <c r="C59" s="2">
        <v>123456789</v>
      </c>
      <c r="D59" s="2">
        <v>123456789</v>
      </c>
    </row>
    <row r="60" spans="1:4" x14ac:dyDescent="0.45">
      <c r="A60" t="s">
        <v>193</v>
      </c>
      <c r="B60">
        <v>4.8672998740000004</v>
      </c>
      <c r="C60" s="2">
        <v>123456789</v>
      </c>
      <c r="D60" s="2">
        <v>123456789</v>
      </c>
    </row>
    <row r="61" spans="1:4" x14ac:dyDescent="0.45">
      <c r="A61" t="s">
        <v>194</v>
      </c>
      <c r="B61">
        <v>4.0098231870000003</v>
      </c>
      <c r="C61" s="2">
        <v>123456789</v>
      </c>
      <c r="D61" s="2">
        <v>123456789</v>
      </c>
    </row>
    <row r="62" spans="1:4" x14ac:dyDescent="0.45">
      <c r="A62" t="s">
        <v>195</v>
      </c>
      <c r="B62">
        <v>3.5419339650000001</v>
      </c>
      <c r="C62" s="2">
        <v>123456789</v>
      </c>
      <c r="D62" s="2">
        <v>123456789</v>
      </c>
    </row>
    <row r="63" spans="1:4" x14ac:dyDescent="0.45">
      <c r="A63" t="s">
        <v>196</v>
      </c>
      <c r="B63">
        <v>3.97369934</v>
      </c>
      <c r="C63" s="2">
        <v>123456789</v>
      </c>
      <c r="D63" s="2">
        <v>123456789</v>
      </c>
    </row>
    <row r="64" spans="1:4" x14ac:dyDescent="0.45">
      <c r="A64" t="s">
        <v>197</v>
      </c>
      <c r="B64">
        <v>3.8746916439999999</v>
      </c>
      <c r="C64" s="2">
        <v>123456789</v>
      </c>
      <c r="D64" s="2">
        <v>123456789</v>
      </c>
    </row>
    <row r="65" spans="1:4" x14ac:dyDescent="0.45">
      <c r="A65" t="s">
        <v>198</v>
      </c>
      <c r="B65">
        <v>4.0891074439999997</v>
      </c>
      <c r="C65" s="2">
        <v>123456789</v>
      </c>
      <c r="D65" s="2">
        <v>123456789</v>
      </c>
    </row>
    <row r="66" spans="1:4" x14ac:dyDescent="0.45">
      <c r="A66" t="s">
        <v>199</v>
      </c>
      <c r="B66">
        <v>3.507380215</v>
      </c>
      <c r="C66" s="2">
        <v>123456789</v>
      </c>
      <c r="D66" s="2">
        <v>123456789</v>
      </c>
    </row>
    <row r="67" spans="1:4" x14ac:dyDescent="0.45">
      <c r="A67" t="s">
        <v>200</v>
      </c>
      <c r="B67">
        <v>3.0729005589999998</v>
      </c>
      <c r="C67" s="2">
        <v>123456789</v>
      </c>
      <c r="D67" s="2">
        <v>123456789</v>
      </c>
    </row>
    <row r="68" spans="1:4" x14ac:dyDescent="0.45">
      <c r="A68" t="s">
        <v>201</v>
      </c>
      <c r="B68">
        <v>2.6218120749999998</v>
      </c>
      <c r="C68" s="2">
        <v>123456789</v>
      </c>
      <c r="D68" s="2">
        <v>123456789</v>
      </c>
    </row>
    <row r="69" spans="1:4" x14ac:dyDescent="0.45">
      <c r="A69" t="s">
        <v>202</v>
      </c>
      <c r="B69">
        <v>2.40766547</v>
      </c>
      <c r="C69" s="2">
        <v>123456789</v>
      </c>
      <c r="D69" s="2">
        <v>123456789</v>
      </c>
    </row>
    <row r="70" spans="1:4" x14ac:dyDescent="0.45">
      <c r="A70" t="s">
        <v>203</v>
      </c>
      <c r="B70">
        <v>2.2779089560000001</v>
      </c>
      <c r="C70" s="2">
        <v>123456789</v>
      </c>
      <c r="D70" s="2">
        <v>123456789</v>
      </c>
    </row>
    <row r="71" spans="1:4" x14ac:dyDescent="0.45">
      <c r="A71" t="s">
        <v>204</v>
      </c>
      <c r="B71">
        <v>3.3020707809999998</v>
      </c>
      <c r="C71" s="2">
        <v>123456789</v>
      </c>
      <c r="D71" s="2">
        <v>123456789</v>
      </c>
    </row>
    <row r="72" spans="1:4" x14ac:dyDescent="0.45">
      <c r="A72" t="s">
        <v>205</v>
      </c>
      <c r="B72">
        <v>3.7298940059999999</v>
      </c>
      <c r="C72" s="2">
        <v>123456789</v>
      </c>
      <c r="D72" s="2">
        <v>123456789</v>
      </c>
    </row>
    <row r="73" spans="1:4" x14ac:dyDescent="0.45">
      <c r="A73" t="s">
        <v>206</v>
      </c>
      <c r="B73">
        <v>4.9607750580000003</v>
      </c>
      <c r="C73" s="2">
        <v>123456789</v>
      </c>
      <c r="D73" s="2">
        <v>123456789</v>
      </c>
    </row>
    <row r="74" spans="1:4" x14ac:dyDescent="0.45">
      <c r="A74" t="s">
        <v>207</v>
      </c>
      <c r="B74">
        <v>5.5098300589999996</v>
      </c>
      <c r="C74" s="2">
        <v>123456789</v>
      </c>
      <c r="D74" s="2">
        <v>123456789</v>
      </c>
    </row>
    <row r="75" spans="1:4" x14ac:dyDescent="0.45">
      <c r="A75" t="s">
        <v>208</v>
      </c>
      <c r="B75">
        <v>4.5348729140000001</v>
      </c>
      <c r="C75" s="2">
        <v>123456789</v>
      </c>
      <c r="D75" s="2">
        <v>123456789</v>
      </c>
    </row>
    <row r="76" spans="1:4" x14ac:dyDescent="0.45">
      <c r="A76" t="s">
        <v>209</v>
      </c>
      <c r="B76">
        <v>4.4674138010000002</v>
      </c>
      <c r="C76" s="2">
        <v>123456789</v>
      </c>
      <c r="D76" s="2">
        <v>123456789</v>
      </c>
    </row>
    <row r="77" spans="1:4" x14ac:dyDescent="0.45">
      <c r="A77" t="s">
        <v>210</v>
      </c>
      <c r="B77">
        <v>3.8024764179999999</v>
      </c>
      <c r="C77" s="2">
        <v>123456789</v>
      </c>
      <c r="D77" s="2">
        <v>123456789</v>
      </c>
    </row>
    <row r="78" spans="1:4" x14ac:dyDescent="0.45">
      <c r="A78" t="s">
        <v>211</v>
      </c>
      <c r="B78">
        <v>4.2193875600000004</v>
      </c>
      <c r="C78" s="2">
        <v>123456789</v>
      </c>
      <c r="D78" s="2">
        <v>123456789</v>
      </c>
    </row>
    <row r="79" spans="1:4" x14ac:dyDescent="0.45">
      <c r="A79" t="s">
        <v>212</v>
      </c>
      <c r="B79">
        <v>3.8959419120000001</v>
      </c>
      <c r="C79" s="2">
        <v>123456789</v>
      </c>
      <c r="D79" s="2">
        <v>123456789</v>
      </c>
    </row>
    <row r="80" spans="1:4" x14ac:dyDescent="0.45">
      <c r="A80" t="s">
        <v>213</v>
      </c>
      <c r="B80">
        <v>3.8519427529999999</v>
      </c>
      <c r="C80" s="2">
        <v>123456789</v>
      </c>
      <c r="D80" s="2">
        <v>123456789</v>
      </c>
    </row>
    <row r="81" spans="1:4" x14ac:dyDescent="0.45">
      <c r="A81" t="s">
        <v>214</v>
      </c>
      <c r="B81">
        <v>3.6296401239999998</v>
      </c>
      <c r="C81" s="2">
        <v>123456789</v>
      </c>
      <c r="D81" s="2">
        <v>123456789</v>
      </c>
    </row>
    <row r="82" spans="1:4" x14ac:dyDescent="0.45">
      <c r="A82" t="s">
        <v>215</v>
      </c>
      <c r="B82">
        <v>3.3315889699999999</v>
      </c>
      <c r="C82" s="2">
        <v>123456789</v>
      </c>
      <c r="D82" s="2">
        <v>123456789</v>
      </c>
    </row>
    <row r="83" spans="1:4" x14ac:dyDescent="0.45">
      <c r="A83" t="s">
        <v>216</v>
      </c>
      <c r="B83">
        <v>3.8701175280000002</v>
      </c>
      <c r="C83" s="2">
        <v>123456789</v>
      </c>
      <c r="D83" s="2">
        <v>123456789</v>
      </c>
    </row>
    <row r="84" spans="1:4" x14ac:dyDescent="0.45">
      <c r="A84" t="s">
        <v>217</v>
      </c>
      <c r="B84">
        <v>3.2428200569999999</v>
      </c>
      <c r="C84" s="2">
        <v>123456789</v>
      </c>
      <c r="D84" s="2">
        <v>123456789</v>
      </c>
    </row>
    <row r="85" spans="1:4" x14ac:dyDescent="0.45">
      <c r="A85" t="s">
        <v>218</v>
      </c>
      <c r="B85">
        <v>2.5034354470000002</v>
      </c>
      <c r="C85" s="2">
        <v>123456789</v>
      </c>
      <c r="D85" s="2">
        <v>123456789</v>
      </c>
    </row>
    <row r="86" spans="1:4" x14ac:dyDescent="0.45">
      <c r="A86" t="s">
        <v>219</v>
      </c>
      <c r="B86">
        <v>1.6178324449999999</v>
      </c>
      <c r="C86" s="2">
        <v>123456789</v>
      </c>
      <c r="D86" s="2">
        <v>123456789</v>
      </c>
    </row>
    <row r="87" spans="1:4" x14ac:dyDescent="0.45">
      <c r="A87" t="s">
        <v>220</v>
      </c>
      <c r="B87">
        <v>1.337168919</v>
      </c>
      <c r="C87" s="2">
        <v>123456789</v>
      </c>
      <c r="D87" s="2">
        <v>123456789</v>
      </c>
    </row>
    <row r="88" spans="1:4" x14ac:dyDescent="0.45">
      <c r="A88" t="s">
        <v>221</v>
      </c>
      <c r="B88">
        <v>1.2877825389999999</v>
      </c>
      <c r="C88" s="2">
        <v>123456789</v>
      </c>
      <c r="D88" s="2">
        <v>123456789</v>
      </c>
    </row>
    <row r="89" spans="1:4" x14ac:dyDescent="0.45">
      <c r="A89" t="s">
        <v>222</v>
      </c>
      <c r="B89">
        <v>1.692761768</v>
      </c>
      <c r="C89" s="2">
        <v>123456789</v>
      </c>
      <c r="D89" s="2">
        <v>123456789</v>
      </c>
    </row>
    <row r="90" spans="1:4" x14ac:dyDescent="0.45">
      <c r="A90" t="s">
        <v>223</v>
      </c>
      <c r="B90">
        <v>2.4929236760000002</v>
      </c>
      <c r="C90" s="2">
        <v>123456789</v>
      </c>
      <c r="D90" s="2">
        <v>123456789</v>
      </c>
    </row>
    <row r="91" spans="1:4" x14ac:dyDescent="0.45">
      <c r="A91" t="s">
        <v>224</v>
      </c>
      <c r="B91">
        <v>2.1346241909999999</v>
      </c>
      <c r="C91" s="2">
        <v>123456789</v>
      </c>
      <c r="D91" s="2">
        <v>123456789</v>
      </c>
    </row>
    <row r="92" spans="1:4" x14ac:dyDescent="0.45">
      <c r="A92" t="s">
        <v>225</v>
      </c>
      <c r="B92">
        <v>2.2648137199999998</v>
      </c>
      <c r="C92" s="2">
        <v>123456789</v>
      </c>
      <c r="D92" s="2">
        <v>123456789</v>
      </c>
    </row>
    <row r="93" spans="1:4" x14ac:dyDescent="0.45">
      <c r="A93" t="s">
        <v>226</v>
      </c>
      <c r="B93">
        <v>1.9563366710000001</v>
      </c>
      <c r="C93" s="2">
        <v>123456789</v>
      </c>
      <c r="D93" s="2">
        <v>123456789</v>
      </c>
    </row>
    <row r="94" spans="1:4" x14ac:dyDescent="0.45">
      <c r="A94" t="s">
        <v>227</v>
      </c>
      <c r="B94">
        <v>1.3157001420000001</v>
      </c>
      <c r="C94" s="2">
        <v>123456789</v>
      </c>
      <c r="D94" s="2">
        <v>123456789</v>
      </c>
    </row>
    <row r="95" spans="1:4" x14ac:dyDescent="0.45">
      <c r="A95" t="s">
        <v>228</v>
      </c>
      <c r="B95">
        <v>1.4263337599999999</v>
      </c>
      <c r="C95" s="2">
        <v>123456789</v>
      </c>
      <c r="D95" s="2">
        <v>123456789</v>
      </c>
    </row>
    <row r="96" spans="1:4" x14ac:dyDescent="0.45">
      <c r="A96" t="s">
        <v>229</v>
      </c>
      <c r="B96">
        <v>1.346877527</v>
      </c>
      <c r="C96" s="2">
        <v>123456789</v>
      </c>
      <c r="D96" s="2">
        <v>123456789</v>
      </c>
    </row>
    <row r="97" spans="1:4" x14ac:dyDescent="0.45">
      <c r="A97" t="s">
        <v>230</v>
      </c>
      <c r="B97">
        <v>1.885679514</v>
      </c>
      <c r="C97" s="2">
        <v>123456789</v>
      </c>
      <c r="D97" s="2">
        <v>123456789</v>
      </c>
    </row>
    <row r="98" spans="1:4" x14ac:dyDescent="0.45">
      <c r="A98" t="s">
        <v>231</v>
      </c>
      <c r="B98">
        <v>2.6157911920000001</v>
      </c>
      <c r="C98" s="2">
        <v>123456789</v>
      </c>
      <c r="D98" s="2">
        <v>123456789</v>
      </c>
    </row>
    <row r="99" spans="1:4" x14ac:dyDescent="0.45">
      <c r="A99" t="s">
        <v>232</v>
      </c>
      <c r="B99">
        <v>2.7917286180000001</v>
      </c>
      <c r="C99" s="2">
        <v>123456789</v>
      </c>
      <c r="D99" s="2">
        <v>123456789</v>
      </c>
    </row>
    <row r="100" spans="1:4" x14ac:dyDescent="0.45">
      <c r="A100" t="s">
        <v>233</v>
      </c>
      <c r="B100">
        <v>3.304876669</v>
      </c>
      <c r="C100" s="2">
        <v>123456789</v>
      </c>
      <c r="D100" s="2">
        <v>123456789</v>
      </c>
    </row>
    <row r="101" spans="1:4" x14ac:dyDescent="0.45">
      <c r="A101" t="s">
        <v>234</v>
      </c>
      <c r="B101">
        <v>3.43468274</v>
      </c>
      <c r="C101" s="2">
        <v>123456789</v>
      </c>
      <c r="D101" s="2">
        <v>123456789</v>
      </c>
    </row>
    <row r="102" spans="1:4" x14ac:dyDescent="0.45">
      <c r="A102" t="s">
        <v>235</v>
      </c>
      <c r="B102">
        <v>2.9172021880000001</v>
      </c>
      <c r="C102" s="2">
        <v>123456789</v>
      </c>
      <c r="D102" s="2">
        <v>123456789</v>
      </c>
    </row>
    <row r="103" spans="1:4" x14ac:dyDescent="0.45">
      <c r="A103" t="s">
        <v>236</v>
      </c>
      <c r="B103">
        <v>2.6383037759999999</v>
      </c>
      <c r="C103" s="2">
        <v>123456789</v>
      </c>
      <c r="D103" s="2">
        <v>123456789</v>
      </c>
    </row>
    <row r="104" spans="1:4" x14ac:dyDescent="0.45">
      <c r="A104" t="s">
        <v>237</v>
      </c>
      <c r="B104">
        <v>2.6352731139999999</v>
      </c>
      <c r="C104" s="2">
        <v>123456789</v>
      </c>
      <c r="D104" s="2">
        <v>123456789</v>
      </c>
    </row>
    <row r="105" spans="1:4" x14ac:dyDescent="0.45">
      <c r="A105" t="s">
        <v>238</v>
      </c>
      <c r="B105">
        <v>2.243102387</v>
      </c>
      <c r="C105" s="2">
        <v>123456789</v>
      </c>
      <c r="D105" s="2">
        <v>123456789</v>
      </c>
    </row>
    <row r="106" spans="1:4" x14ac:dyDescent="0.45">
      <c r="A106" t="s">
        <v>239</v>
      </c>
      <c r="B106">
        <v>2.5292685029999999</v>
      </c>
      <c r="C106" s="2">
        <v>123456789</v>
      </c>
      <c r="D106" s="2">
        <v>123456789</v>
      </c>
    </row>
    <row r="107" spans="1:4" x14ac:dyDescent="0.45">
      <c r="A107" t="s">
        <v>240</v>
      </c>
      <c r="B107">
        <v>3.387073988</v>
      </c>
      <c r="C107" s="2">
        <v>123456789</v>
      </c>
      <c r="D107" s="2">
        <v>123456789</v>
      </c>
    </row>
    <row r="108" spans="1:4" x14ac:dyDescent="0.45">
      <c r="A108" t="s">
        <v>241</v>
      </c>
      <c r="B108">
        <v>3.2034346089999999</v>
      </c>
      <c r="C108" s="2">
        <v>123456789</v>
      </c>
      <c r="D108" s="2">
        <v>123456789</v>
      </c>
    </row>
    <row r="109" spans="1:4" x14ac:dyDescent="0.45">
      <c r="A109" t="s">
        <v>242</v>
      </c>
      <c r="B109">
        <v>3.6295317169999999</v>
      </c>
      <c r="C109" s="2">
        <v>123456789</v>
      </c>
      <c r="D109" s="2">
        <v>123456789</v>
      </c>
    </row>
    <row r="110" spans="1:4" x14ac:dyDescent="0.45">
      <c r="A110" t="s">
        <v>243</v>
      </c>
      <c r="B110">
        <v>3.5086328130000002</v>
      </c>
      <c r="C110" s="2">
        <v>123456789</v>
      </c>
      <c r="D110" s="2">
        <v>123456789</v>
      </c>
    </row>
    <row r="111" spans="1:4" x14ac:dyDescent="0.45">
      <c r="A111" t="s">
        <v>244</v>
      </c>
      <c r="B111">
        <v>3.6688292869999999</v>
      </c>
      <c r="C111" s="2">
        <v>123456789</v>
      </c>
      <c r="D111" s="2">
        <v>123456789</v>
      </c>
    </row>
    <row r="112" spans="1:4" x14ac:dyDescent="0.45">
      <c r="A112" t="s">
        <v>245</v>
      </c>
      <c r="B112">
        <v>3.89022114</v>
      </c>
      <c r="C112" s="2">
        <v>123456789</v>
      </c>
      <c r="D112" s="2">
        <v>123456789</v>
      </c>
    </row>
    <row r="113" spans="1:4" x14ac:dyDescent="0.45">
      <c r="A113" t="s">
        <v>246</v>
      </c>
      <c r="B113">
        <v>3.8236253690000002</v>
      </c>
      <c r="C113" s="2">
        <v>123456789</v>
      </c>
      <c r="D113" s="2">
        <v>123456789</v>
      </c>
    </row>
    <row r="114" spans="1:4" x14ac:dyDescent="0.45">
      <c r="A114" t="s">
        <v>247</v>
      </c>
      <c r="B114">
        <v>3.6634882059999998</v>
      </c>
      <c r="C114" s="2">
        <v>123456789</v>
      </c>
      <c r="D114" s="2">
        <v>123456789</v>
      </c>
    </row>
    <row r="115" spans="1:4" x14ac:dyDescent="0.45">
      <c r="A115" t="s">
        <v>248</v>
      </c>
      <c r="B115">
        <v>2.7534349339999999</v>
      </c>
      <c r="C115" s="2">
        <v>123456789</v>
      </c>
      <c r="D115" s="2">
        <v>123456789</v>
      </c>
    </row>
    <row r="116" spans="1:4" x14ac:dyDescent="0.45">
      <c r="A116" t="s">
        <v>249</v>
      </c>
      <c r="B116">
        <v>2.543774977</v>
      </c>
      <c r="C116" s="2">
        <v>123456789</v>
      </c>
      <c r="D116" s="2">
        <v>123456789</v>
      </c>
    </row>
    <row r="117" spans="1:4" x14ac:dyDescent="0.45">
      <c r="A117" t="s">
        <v>250</v>
      </c>
      <c r="B117">
        <v>2.41922595</v>
      </c>
      <c r="C117" s="2">
        <v>123456789</v>
      </c>
      <c r="D117" s="2">
        <v>123456789</v>
      </c>
    </row>
    <row r="118" spans="1:4" x14ac:dyDescent="0.45">
      <c r="A118" t="s">
        <v>251</v>
      </c>
      <c r="B118">
        <v>2.665803774</v>
      </c>
      <c r="C118" s="2">
        <v>123456789</v>
      </c>
      <c r="D118" s="2">
        <v>123456789</v>
      </c>
    </row>
    <row r="119" spans="1:4" x14ac:dyDescent="0.45">
      <c r="A119" t="s">
        <v>252</v>
      </c>
      <c r="B119">
        <v>2.9681216830000001</v>
      </c>
      <c r="C119" s="2">
        <v>123456789</v>
      </c>
      <c r="D119" s="2">
        <v>123456789</v>
      </c>
    </row>
    <row r="120" spans="1:4" x14ac:dyDescent="0.45">
      <c r="A120" t="s">
        <v>253</v>
      </c>
      <c r="B120">
        <v>3.5096179969999999</v>
      </c>
      <c r="C120" s="2">
        <v>123456789</v>
      </c>
      <c r="D120" s="2">
        <v>123456789</v>
      </c>
    </row>
    <row r="121" spans="1:4" x14ac:dyDescent="0.45">
      <c r="A121" t="s">
        <v>254</v>
      </c>
      <c r="B121">
        <v>3.991171552</v>
      </c>
      <c r="C121" s="2">
        <v>123456789</v>
      </c>
      <c r="D121" s="2">
        <v>123456789</v>
      </c>
    </row>
    <row r="122" spans="1:4" x14ac:dyDescent="0.45">
      <c r="A122" t="s">
        <v>255</v>
      </c>
      <c r="B122">
        <v>4.3797327340000001</v>
      </c>
      <c r="C122" s="2">
        <v>123456789</v>
      </c>
      <c r="D122" s="2">
        <v>123456789</v>
      </c>
    </row>
    <row r="123" spans="1:4" x14ac:dyDescent="0.45">
      <c r="A123" t="s">
        <v>256</v>
      </c>
      <c r="B123">
        <v>4.9262318550000002</v>
      </c>
      <c r="C123" s="2">
        <v>123456789</v>
      </c>
      <c r="D123" s="2">
        <v>123456789</v>
      </c>
    </row>
    <row r="124" spans="1:4" x14ac:dyDescent="0.45">
      <c r="A124" t="s">
        <v>257</v>
      </c>
      <c r="B124">
        <v>4.1760337859999996</v>
      </c>
      <c r="C124" s="2">
        <v>123456789</v>
      </c>
      <c r="D124" s="2">
        <v>123456789</v>
      </c>
    </row>
    <row r="125" spans="1:4" x14ac:dyDescent="0.45">
      <c r="A125" t="s">
        <v>258</v>
      </c>
      <c r="B125">
        <v>3.405418488</v>
      </c>
      <c r="C125" s="2">
        <v>123456789</v>
      </c>
      <c r="D125" s="2">
        <v>123456789</v>
      </c>
    </row>
    <row r="126" spans="1:4" x14ac:dyDescent="0.45">
      <c r="A126" t="s">
        <v>259</v>
      </c>
      <c r="B126">
        <v>2.6732604950000001</v>
      </c>
      <c r="C126" s="2">
        <v>123456789</v>
      </c>
      <c r="D126" s="2">
        <v>123456789</v>
      </c>
    </row>
    <row r="127" spans="1:4" x14ac:dyDescent="0.45">
      <c r="A127" t="s">
        <v>260</v>
      </c>
      <c r="B127">
        <v>1.5003392659999999</v>
      </c>
      <c r="C127" s="2">
        <v>123456789</v>
      </c>
      <c r="D127" s="2">
        <v>123456789</v>
      </c>
    </row>
    <row r="128" spans="1:4" x14ac:dyDescent="0.45">
      <c r="A128" t="s">
        <v>261</v>
      </c>
      <c r="B128">
        <v>0.88425272399999999</v>
      </c>
      <c r="C128" s="2">
        <v>123456789</v>
      </c>
      <c r="D128" s="2">
        <v>123456789</v>
      </c>
    </row>
    <row r="129" spans="1:4" x14ac:dyDescent="0.45">
      <c r="A129" t="s">
        <v>262</v>
      </c>
      <c r="B129">
        <v>0.46988808100000001</v>
      </c>
      <c r="C129" s="2">
        <v>123456789</v>
      </c>
      <c r="D129" s="2">
        <v>123456789</v>
      </c>
    </row>
    <row r="130" spans="1:4" x14ac:dyDescent="0.45">
      <c r="A130" t="s">
        <v>263</v>
      </c>
      <c r="B130">
        <v>0.76987744800000002</v>
      </c>
      <c r="C130" s="2">
        <v>123456789</v>
      </c>
      <c r="D130" s="2">
        <v>123456789</v>
      </c>
    </row>
    <row r="131" spans="1:4" x14ac:dyDescent="0.45">
      <c r="A131" t="s">
        <v>264</v>
      </c>
      <c r="B131">
        <v>1.4310231630000001</v>
      </c>
      <c r="C131" s="2">
        <v>123456789</v>
      </c>
      <c r="D131" s="2">
        <v>123456789</v>
      </c>
    </row>
    <row r="132" spans="1:4" x14ac:dyDescent="0.45">
      <c r="A132" t="s">
        <v>265</v>
      </c>
      <c r="B132">
        <v>2.033144847</v>
      </c>
      <c r="C132" s="2">
        <v>123456789</v>
      </c>
      <c r="D132" s="2">
        <v>123456789</v>
      </c>
    </row>
    <row r="133" spans="1:4" x14ac:dyDescent="0.45">
      <c r="A133" t="s">
        <v>266</v>
      </c>
      <c r="B133">
        <v>2.2263918390000002</v>
      </c>
      <c r="C133" s="2">
        <v>123456789</v>
      </c>
      <c r="D133" s="2">
        <v>123456789</v>
      </c>
    </row>
    <row r="134" spans="1:4" x14ac:dyDescent="0.45">
      <c r="A134" t="s">
        <v>267</v>
      </c>
      <c r="B134">
        <v>1.815780438</v>
      </c>
      <c r="C134" s="2">
        <v>123456789</v>
      </c>
      <c r="D134" s="2">
        <v>123456789</v>
      </c>
    </row>
    <row r="135" spans="1:4" x14ac:dyDescent="0.45">
      <c r="A135" t="s">
        <v>268</v>
      </c>
      <c r="B135">
        <v>1.5731912429999999</v>
      </c>
      <c r="C135" s="2">
        <v>123456789</v>
      </c>
      <c r="D135" s="2">
        <v>123456789</v>
      </c>
    </row>
    <row r="136" spans="1:4" x14ac:dyDescent="0.45">
      <c r="A136" t="s">
        <v>269</v>
      </c>
      <c r="B136">
        <v>2.1423991600000001</v>
      </c>
      <c r="C136" s="2">
        <v>123456789</v>
      </c>
      <c r="D136" s="2">
        <v>123456789</v>
      </c>
    </row>
    <row r="137" spans="1:4" x14ac:dyDescent="0.45">
      <c r="A137" t="s">
        <v>270</v>
      </c>
      <c r="B137">
        <v>2.8820253880000002</v>
      </c>
      <c r="C137" s="2">
        <v>123456789</v>
      </c>
      <c r="D137" s="2">
        <v>123456789</v>
      </c>
    </row>
    <row r="138" spans="1:4" x14ac:dyDescent="0.45">
      <c r="A138" t="s">
        <v>271</v>
      </c>
      <c r="B138">
        <v>3.4094946770000001</v>
      </c>
      <c r="C138" s="2">
        <v>123456789</v>
      </c>
      <c r="D138" s="2">
        <v>123456789</v>
      </c>
    </row>
    <row r="139" spans="1:4" x14ac:dyDescent="0.45">
      <c r="A139" t="s">
        <v>272</v>
      </c>
      <c r="B139">
        <v>3.6209064299999998</v>
      </c>
      <c r="C139" s="2">
        <v>123456789</v>
      </c>
      <c r="D139" s="2">
        <v>123456789</v>
      </c>
    </row>
    <row r="140" spans="1:4" x14ac:dyDescent="0.45">
      <c r="A140" t="s">
        <v>273</v>
      </c>
      <c r="B140">
        <v>3.1503358129999999</v>
      </c>
      <c r="C140" s="2">
        <v>123456789</v>
      </c>
      <c r="D140" s="2">
        <v>123456789</v>
      </c>
    </row>
    <row r="141" spans="1:4" x14ac:dyDescent="0.45">
      <c r="A141" t="s">
        <v>274</v>
      </c>
      <c r="B141">
        <v>2.8133828329999999</v>
      </c>
      <c r="C141" s="2">
        <v>123456789</v>
      </c>
      <c r="D141" s="2">
        <v>123456789</v>
      </c>
    </row>
    <row r="142" spans="1:4" x14ac:dyDescent="0.45">
      <c r="A142" t="s">
        <v>275</v>
      </c>
      <c r="B142">
        <v>2.7985511829999998</v>
      </c>
      <c r="C142" s="2">
        <v>123456789</v>
      </c>
      <c r="D142" s="2">
        <v>123456789</v>
      </c>
    </row>
    <row r="143" spans="1:4" x14ac:dyDescent="0.45">
      <c r="A143" t="s">
        <v>276</v>
      </c>
      <c r="B143">
        <v>2.7690326060000001</v>
      </c>
      <c r="C143" s="2">
        <v>123456789</v>
      </c>
      <c r="D143" s="2">
        <v>123456789</v>
      </c>
    </row>
    <row r="144" spans="1:4" x14ac:dyDescent="0.45">
      <c r="A144" t="s">
        <v>277</v>
      </c>
      <c r="B144">
        <v>3.1000685429999999</v>
      </c>
      <c r="C144" s="2">
        <v>123456789</v>
      </c>
      <c r="D144" s="2">
        <v>123456789</v>
      </c>
    </row>
    <row r="145" spans="1:4" x14ac:dyDescent="0.45">
      <c r="A145" t="s">
        <v>278</v>
      </c>
      <c r="B145">
        <v>3.1645157570000002</v>
      </c>
      <c r="C145" s="2">
        <v>123456789</v>
      </c>
      <c r="D145" s="2">
        <v>123456789</v>
      </c>
    </row>
    <row r="146" spans="1:4" x14ac:dyDescent="0.45">
      <c r="A146" t="s">
        <v>279</v>
      </c>
      <c r="B146">
        <v>3.454967822</v>
      </c>
      <c r="C146" s="2">
        <v>123456789</v>
      </c>
      <c r="D146" s="2">
        <v>123456789</v>
      </c>
    </row>
    <row r="147" spans="1:4" x14ac:dyDescent="0.45">
      <c r="A147" t="s">
        <v>280</v>
      </c>
      <c r="B147">
        <v>3.4711422179999998</v>
      </c>
      <c r="C147" s="2">
        <v>123456789</v>
      </c>
      <c r="D147" s="2">
        <v>123456789</v>
      </c>
    </row>
    <row r="148" spans="1:4" x14ac:dyDescent="0.45">
      <c r="A148" t="s">
        <v>281</v>
      </c>
      <c r="B148">
        <v>2.8719351780000002</v>
      </c>
      <c r="C148" s="2">
        <v>123456789</v>
      </c>
      <c r="D148" s="2">
        <v>123456789</v>
      </c>
    </row>
    <row r="149" spans="1:4" x14ac:dyDescent="0.45">
      <c r="A149" t="s">
        <v>282</v>
      </c>
      <c r="B149">
        <v>3.082415884</v>
      </c>
      <c r="C149" s="2">
        <v>123456789</v>
      </c>
      <c r="D149" s="2">
        <v>123456789</v>
      </c>
    </row>
    <row r="150" spans="1:4" x14ac:dyDescent="0.45">
      <c r="A150" t="s">
        <v>283</v>
      </c>
      <c r="B150">
        <v>2.7532629769999999</v>
      </c>
      <c r="C150" s="2">
        <v>123456789</v>
      </c>
      <c r="D150" s="2">
        <v>123456789</v>
      </c>
    </row>
    <row r="151" spans="1:4" x14ac:dyDescent="0.45">
      <c r="A151" t="s">
        <v>284</v>
      </c>
      <c r="B151">
        <v>2.705900733</v>
      </c>
      <c r="C151" s="2">
        <v>123456789</v>
      </c>
      <c r="D151" s="2">
        <v>123456789</v>
      </c>
    </row>
    <row r="152" spans="1:4" x14ac:dyDescent="0.45">
      <c r="A152" t="s">
        <v>285</v>
      </c>
      <c r="B152">
        <v>2.8668138189999999</v>
      </c>
      <c r="C152" s="2">
        <v>123456789</v>
      </c>
      <c r="D152" s="2">
        <v>123456789</v>
      </c>
    </row>
    <row r="153" spans="1:4" x14ac:dyDescent="0.45">
      <c r="A153" t="s">
        <v>286</v>
      </c>
      <c r="B153">
        <v>2.6203328780000001</v>
      </c>
      <c r="C153" s="2">
        <v>123456789</v>
      </c>
      <c r="D153" s="2">
        <v>123456789</v>
      </c>
    </row>
    <row r="154" spans="1:4" x14ac:dyDescent="0.45">
      <c r="A154" t="s">
        <v>287</v>
      </c>
      <c r="B154">
        <v>2.1236277530000001</v>
      </c>
      <c r="C154" s="2">
        <v>123456789</v>
      </c>
      <c r="D154" s="2">
        <v>123456789</v>
      </c>
    </row>
    <row r="155" spans="1:4" x14ac:dyDescent="0.45">
      <c r="A155" t="s">
        <v>288</v>
      </c>
      <c r="B155">
        <v>1.4265517640000001</v>
      </c>
      <c r="C155" s="2">
        <v>123456789</v>
      </c>
      <c r="D155" s="2">
        <v>123456789</v>
      </c>
    </row>
    <row r="156" spans="1:4" x14ac:dyDescent="0.45">
      <c r="A156" t="s">
        <v>289</v>
      </c>
      <c r="B156">
        <v>0.39803014199999998</v>
      </c>
      <c r="C156" s="2">
        <v>123456789</v>
      </c>
      <c r="D156" s="2">
        <v>123456789</v>
      </c>
    </row>
    <row r="157" spans="1:4" x14ac:dyDescent="0.45">
      <c r="A157" t="s">
        <v>290</v>
      </c>
      <c r="B157">
        <v>-2.2902058940000001</v>
      </c>
      <c r="C157" s="2">
        <v>123456789</v>
      </c>
      <c r="D157" s="2">
        <v>123456789</v>
      </c>
    </row>
    <row r="158" spans="1:4" x14ac:dyDescent="0.45">
      <c r="A158" t="s">
        <v>291</v>
      </c>
      <c r="B158">
        <v>-4.8171522629999997</v>
      </c>
      <c r="C158" s="2">
        <v>123456789</v>
      </c>
      <c r="D158" s="2">
        <v>123456789</v>
      </c>
    </row>
    <row r="159" spans="1:4" x14ac:dyDescent="0.45">
      <c r="A159" t="s">
        <v>292</v>
      </c>
      <c r="B159">
        <v>-4.5789547229999998</v>
      </c>
      <c r="C159" s="2">
        <v>123456789</v>
      </c>
      <c r="D159" s="2">
        <v>123456789</v>
      </c>
    </row>
    <row r="160" spans="1:4" x14ac:dyDescent="0.45">
      <c r="A160" t="s">
        <v>293</v>
      </c>
      <c r="B160">
        <v>-3.5203970999999998</v>
      </c>
      <c r="C160" s="2">
        <v>123456789</v>
      </c>
      <c r="D160" s="2">
        <v>123456789</v>
      </c>
    </row>
    <row r="161" spans="1:4" x14ac:dyDescent="0.45">
      <c r="A161" t="s">
        <v>294</v>
      </c>
      <c r="B161">
        <v>-0.71019678799999997</v>
      </c>
      <c r="C161" s="2">
        <v>123456789</v>
      </c>
      <c r="D161" s="2">
        <v>123456789</v>
      </c>
    </row>
    <row r="162" spans="1:4" x14ac:dyDescent="0.45">
      <c r="A162" t="s">
        <v>295</v>
      </c>
      <c r="B162">
        <v>2.3572971009999999</v>
      </c>
      <c r="C162" s="2">
        <v>123456789</v>
      </c>
      <c r="D162" s="2">
        <v>123456789</v>
      </c>
    </row>
    <row r="163" spans="1:4" x14ac:dyDescent="0.45">
      <c r="A163" t="s">
        <v>296</v>
      </c>
      <c r="B163">
        <v>3.2646892329999999</v>
      </c>
      <c r="C163" s="2">
        <v>123456789</v>
      </c>
      <c r="D163" s="2">
        <v>123456789</v>
      </c>
    </row>
    <row r="164" spans="1:4" x14ac:dyDescent="0.45">
      <c r="A164" t="s">
        <v>297</v>
      </c>
      <c r="B164">
        <v>3.5204119880000002</v>
      </c>
      <c r="C164" s="2">
        <v>123456789</v>
      </c>
      <c r="D164" s="2">
        <v>123456789</v>
      </c>
    </row>
    <row r="165" spans="1:4" x14ac:dyDescent="0.45">
      <c r="A165" t="s">
        <v>298</v>
      </c>
      <c r="B165">
        <v>3.1681589620000001</v>
      </c>
      <c r="C165" s="2">
        <v>123456789</v>
      </c>
      <c r="D165" s="2">
        <v>123456789</v>
      </c>
    </row>
    <row r="166" spans="1:4" x14ac:dyDescent="0.45">
      <c r="A166" t="s">
        <v>299</v>
      </c>
      <c r="B166">
        <v>2.8530609560000002</v>
      </c>
      <c r="C166" s="2">
        <v>123456789</v>
      </c>
      <c r="D166" s="2">
        <v>123456789</v>
      </c>
    </row>
    <row r="167" spans="1:4" x14ac:dyDescent="0.45">
      <c r="A167" t="s">
        <v>300</v>
      </c>
      <c r="B167">
        <v>2.0776872759999998</v>
      </c>
      <c r="C167" s="2">
        <v>123456789</v>
      </c>
      <c r="D167" s="2">
        <v>123456789</v>
      </c>
    </row>
    <row r="168" spans="1:4" x14ac:dyDescent="0.45">
      <c r="A168" t="s">
        <v>301</v>
      </c>
      <c r="B168">
        <v>1.778345769</v>
      </c>
      <c r="C168" s="2">
        <v>123456789</v>
      </c>
      <c r="D168" s="2">
        <v>123456789</v>
      </c>
    </row>
    <row r="169" spans="1:4" x14ac:dyDescent="0.45">
      <c r="A169" t="s">
        <v>302</v>
      </c>
      <c r="B169">
        <v>1.691174738</v>
      </c>
      <c r="C169" s="2">
        <v>123456789</v>
      </c>
      <c r="D169" s="2">
        <v>123456789</v>
      </c>
    </row>
    <row r="170" spans="1:4" x14ac:dyDescent="0.45">
      <c r="A170" t="s">
        <v>303</v>
      </c>
      <c r="B170">
        <v>1.9100740899999999</v>
      </c>
      <c r="C170" s="2">
        <v>123456789</v>
      </c>
      <c r="D170" s="2">
        <v>123456789</v>
      </c>
    </row>
    <row r="171" spans="1:4" x14ac:dyDescent="0.45">
      <c r="A171" t="s">
        <v>304</v>
      </c>
      <c r="B171">
        <v>1.6472983889999999</v>
      </c>
      <c r="C171" s="2">
        <v>123456789</v>
      </c>
      <c r="D171" s="2">
        <v>123456789</v>
      </c>
    </row>
    <row r="172" spans="1:4" x14ac:dyDescent="0.45">
      <c r="A172" t="s">
        <v>305</v>
      </c>
      <c r="B172">
        <v>1.233876465</v>
      </c>
      <c r="C172" s="2">
        <v>123456789</v>
      </c>
      <c r="D172" s="2">
        <v>123456789</v>
      </c>
    </row>
    <row r="173" spans="1:4" x14ac:dyDescent="0.45">
      <c r="A173" t="s">
        <v>306</v>
      </c>
      <c r="B173">
        <v>0.82478128500000003</v>
      </c>
      <c r="C173" s="2">
        <v>123456789</v>
      </c>
      <c r="D173" s="2">
        <v>123456789</v>
      </c>
    </row>
    <row r="174" spans="1:4" x14ac:dyDescent="0.45">
      <c r="A174" t="s">
        <v>307</v>
      </c>
      <c r="B174">
        <v>0.89096839999999999</v>
      </c>
      <c r="C174" s="2">
        <v>123456789</v>
      </c>
      <c r="D174" s="2">
        <v>123456789</v>
      </c>
    </row>
    <row r="175" spans="1:4" x14ac:dyDescent="0.45">
      <c r="A175" t="s">
        <v>308</v>
      </c>
      <c r="B175">
        <v>1.420862297</v>
      </c>
      <c r="C175" s="2">
        <v>123456789</v>
      </c>
      <c r="D175" s="2">
        <v>123456789</v>
      </c>
    </row>
    <row r="176" spans="1:4" x14ac:dyDescent="0.45">
      <c r="A176" t="s">
        <v>309</v>
      </c>
      <c r="B176">
        <v>1.9943140420000001</v>
      </c>
      <c r="C176" s="2">
        <v>123456789</v>
      </c>
      <c r="D176" s="2">
        <v>123456789</v>
      </c>
    </row>
    <row r="177" spans="1:4" x14ac:dyDescent="0.45">
      <c r="A177" t="s">
        <v>310</v>
      </c>
      <c r="B177">
        <v>2.4903636119999999</v>
      </c>
      <c r="C177" s="2">
        <v>123456789</v>
      </c>
      <c r="D177" s="2">
        <v>123456789</v>
      </c>
    </row>
    <row r="178" spans="1:4" x14ac:dyDescent="0.45">
      <c r="A178" t="s">
        <v>311</v>
      </c>
      <c r="B178">
        <v>2.2376610380000002</v>
      </c>
      <c r="C178" s="2">
        <v>123456789</v>
      </c>
      <c r="D178" s="2">
        <v>123456789</v>
      </c>
    </row>
    <row r="179" spans="1:4" x14ac:dyDescent="0.45">
      <c r="A179" t="s">
        <v>312</v>
      </c>
      <c r="B179">
        <v>2.1549612329999999</v>
      </c>
      <c r="C179" s="2">
        <v>123456789</v>
      </c>
      <c r="D179" s="2">
        <v>123456789</v>
      </c>
    </row>
    <row r="180" spans="1:4" x14ac:dyDescent="0.45">
      <c r="A180" t="s">
        <v>313</v>
      </c>
      <c r="B180">
        <v>2.2137958379999998</v>
      </c>
      <c r="C180" s="2">
        <v>123456789</v>
      </c>
      <c r="D180" s="2">
        <v>123456789</v>
      </c>
    </row>
    <row r="181" spans="1:4" x14ac:dyDescent="0.45">
      <c r="A181" t="s">
        <v>314</v>
      </c>
      <c r="B181">
        <v>2.2111863330000001</v>
      </c>
      <c r="C181" s="2">
        <v>123456789</v>
      </c>
      <c r="D181" s="2">
        <v>123456789</v>
      </c>
    </row>
    <row r="182" spans="1:4" x14ac:dyDescent="0.45">
      <c r="A182" t="s">
        <v>315</v>
      </c>
      <c r="B182">
        <v>2.7103228380000002</v>
      </c>
      <c r="C182" s="2">
        <v>123456789</v>
      </c>
      <c r="D182" s="2">
        <v>123456789</v>
      </c>
    </row>
    <row r="183" spans="1:4" x14ac:dyDescent="0.45">
      <c r="A183" t="s">
        <v>316</v>
      </c>
      <c r="B183">
        <v>2.7515765220000001</v>
      </c>
      <c r="C183" s="2">
        <v>123456789</v>
      </c>
      <c r="D183" s="2">
        <v>123456789</v>
      </c>
    </row>
    <row r="184" spans="1:4" x14ac:dyDescent="0.45">
      <c r="A184" t="s">
        <v>317</v>
      </c>
      <c r="B184">
        <v>2.4834150720000001</v>
      </c>
      <c r="C184" s="2">
        <v>123456789</v>
      </c>
      <c r="D184" s="2">
        <v>123456789</v>
      </c>
    </row>
    <row r="185" spans="1:4" x14ac:dyDescent="0.45">
      <c r="A185" t="s">
        <v>318</v>
      </c>
      <c r="B185">
        <v>2.2908319220000002</v>
      </c>
      <c r="C185" s="2">
        <v>123456789</v>
      </c>
      <c r="D185" s="2">
        <v>123456789</v>
      </c>
    </row>
    <row r="186" spans="1:4" x14ac:dyDescent="0.45">
      <c r="A186" t="s">
        <v>319</v>
      </c>
      <c r="B186">
        <v>1.921473041</v>
      </c>
      <c r="C186" s="2">
        <v>123456789</v>
      </c>
      <c r="D186" s="2">
        <v>123456789</v>
      </c>
    </row>
    <row r="187" spans="1:4" x14ac:dyDescent="0.45">
      <c r="A187" t="s">
        <v>320</v>
      </c>
      <c r="B187">
        <v>1.727761549</v>
      </c>
      <c r="C187" s="2">
        <v>123456789</v>
      </c>
      <c r="D187" s="2">
        <v>123456789</v>
      </c>
    </row>
    <row r="188" spans="1:4" x14ac:dyDescent="0.45">
      <c r="A188" t="s">
        <v>321</v>
      </c>
      <c r="B188">
        <v>1.66249256</v>
      </c>
      <c r="C188" s="2">
        <v>123456789</v>
      </c>
      <c r="D188" s="2">
        <v>123456789</v>
      </c>
    </row>
    <row r="189" spans="1:4" x14ac:dyDescent="0.45">
      <c r="A189" t="s">
        <v>322</v>
      </c>
      <c r="B189">
        <v>2.151969958</v>
      </c>
      <c r="C189" s="2">
        <v>123456789</v>
      </c>
      <c r="D189" s="2">
        <v>123456789</v>
      </c>
    </row>
    <row r="190" spans="1:4" x14ac:dyDescent="0.45">
      <c r="A190" t="s">
        <v>323</v>
      </c>
      <c r="B190">
        <v>2.3574736970000001</v>
      </c>
      <c r="C190" s="2">
        <v>123456789</v>
      </c>
      <c r="D190" s="2">
        <v>123456789</v>
      </c>
    </row>
    <row r="191" spans="1:4" x14ac:dyDescent="0.45">
      <c r="A191" t="s">
        <v>324</v>
      </c>
      <c r="B191">
        <v>2.699790948</v>
      </c>
      <c r="C191" s="2">
        <v>123456789</v>
      </c>
      <c r="D191" s="2">
        <v>123456789</v>
      </c>
    </row>
    <row r="192" spans="1:4" x14ac:dyDescent="0.45">
      <c r="A192" t="s">
        <v>325</v>
      </c>
      <c r="B192">
        <v>3.0668426659999999</v>
      </c>
      <c r="C192" s="2">
        <v>123456789</v>
      </c>
      <c r="D192" s="2">
        <v>123456789</v>
      </c>
    </row>
    <row r="193" spans="1:4" x14ac:dyDescent="0.45">
      <c r="A193" t="s">
        <v>326</v>
      </c>
      <c r="B193">
        <v>3.0872346140000002</v>
      </c>
      <c r="C193" s="2">
        <v>123456789</v>
      </c>
      <c r="D193" s="2">
        <v>123456789</v>
      </c>
    </row>
    <row r="194" spans="1:4" x14ac:dyDescent="0.45">
      <c r="A194" t="s">
        <v>327</v>
      </c>
      <c r="B194">
        <v>3.0089521349999999</v>
      </c>
      <c r="C194" s="2">
        <v>123456789</v>
      </c>
      <c r="D194" s="2">
        <v>123456789</v>
      </c>
    </row>
    <row r="195" spans="1:4" x14ac:dyDescent="0.45">
      <c r="A195" t="s">
        <v>328</v>
      </c>
      <c r="B195">
        <v>2.796367</v>
      </c>
      <c r="C195" s="2">
        <v>123456789</v>
      </c>
      <c r="D195" s="2">
        <v>123456789</v>
      </c>
    </row>
    <row r="196" spans="1:4" x14ac:dyDescent="0.45">
      <c r="A196" t="s">
        <v>329</v>
      </c>
      <c r="B196">
        <v>2.2732635600000002</v>
      </c>
      <c r="C196" s="2">
        <v>123456789</v>
      </c>
      <c r="D196" s="2">
        <v>123456789</v>
      </c>
    </row>
    <row r="197" spans="1:4" x14ac:dyDescent="0.45">
      <c r="A197" t="s">
        <v>330</v>
      </c>
      <c r="B197">
        <v>1.5671598520000001</v>
      </c>
      <c r="C197" s="2">
        <v>123456789</v>
      </c>
      <c r="D197" s="2">
        <v>123456789</v>
      </c>
    </row>
    <row r="198" spans="1:4" x14ac:dyDescent="0.45">
      <c r="A198" t="s">
        <v>331</v>
      </c>
      <c r="B198">
        <v>1.5738226070000001</v>
      </c>
      <c r="C198" s="2">
        <v>123456789</v>
      </c>
      <c r="D198" s="2">
        <v>123456789</v>
      </c>
    </row>
    <row r="199" spans="1:4" x14ac:dyDescent="0.45">
      <c r="A199" t="s">
        <v>332</v>
      </c>
      <c r="B199">
        <v>1.7326915249999999</v>
      </c>
      <c r="C199" s="2">
        <v>123456789</v>
      </c>
      <c r="D199" s="2">
        <v>123456789</v>
      </c>
    </row>
    <row r="200" spans="1:4" x14ac:dyDescent="0.45">
      <c r="A200" t="s">
        <v>333</v>
      </c>
      <c r="B200">
        <v>2.0175215839999998</v>
      </c>
      <c r="C200" s="2">
        <v>123456789</v>
      </c>
      <c r="D200" s="2">
        <v>123456789</v>
      </c>
    </row>
    <row r="201" spans="1:4" x14ac:dyDescent="0.45">
      <c r="A201" t="s">
        <v>334</v>
      </c>
      <c r="B201">
        <v>1.9409096370000001</v>
      </c>
      <c r="C201" s="2">
        <v>123456789</v>
      </c>
      <c r="D201" s="2">
        <v>123456789</v>
      </c>
    </row>
    <row r="202" spans="1:4" x14ac:dyDescent="0.45">
      <c r="A202" t="s">
        <v>335</v>
      </c>
      <c r="B202">
        <v>-0.36999096100000001</v>
      </c>
      <c r="C202" s="2">
        <v>123456789</v>
      </c>
      <c r="D202" s="2">
        <v>123456789</v>
      </c>
    </row>
    <row r="203" spans="1:4" x14ac:dyDescent="0.45">
      <c r="A203" t="s">
        <v>336</v>
      </c>
      <c r="B203">
        <v>-10.891728371999999</v>
      </c>
      <c r="C203" s="2">
        <v>123456789</v>
      </c>
      <c r="D203" s="2">
        <v>123456789</v>
      </c>
    </row>
    <row r="204" spans="1:4" x14ac:dyDescent="0.45">
      <c r="A204" t="s">
        <v>337</v>
      </c>
      <c r="B204">
        <v>-3.1887470859999998</v>
      </c>
      <c r="C204" s="2">
        <v>123456789</v>
      </c>
      <c r="D204" s="2">
        <v>123456789</v>
      </c>
    </row>
    <row r="205" spans="1:4" x14ac:dyDescent="0.45">
      <c r="A205" t="s">
        <v>338</v>
      </c>
      <c r="B205">
        <v>-2.0227093150000002</v>
      </c>
      <c r="C205" s="2">
        <v>123456789</v>
      </c>
      <c r="D205" s="2">
        <v>123456789</v>
      </c>
    </row>
    <row r="206" spans="1:4" x14ac:dyDescent="0.45">
      <c r="A206" t="s">
        <v>339</v>
      </c>
      <c r="B206">
        <v>0.72955761600000002</v>
      </c>
      <c r="C206" s="2">
        <v>123456789</v>
      </c>
      <c r="D206" s="2">
        <v>123456789</v>
      </c>
    </row>
    <row r="207" spans="1:4" x14ac:dyDescent="0.45">
      <c r="A207" t="s">
        <v>340</v>
      </c>
      <c r="B207">
        <v>13.95580925</v>
      </c>
      <c r="C207" s="2">
        <v>123456789</v>
      </c>
      <c r="D207" s="2">
        <v>123456789</v>
      </c>
    </row>
    <row r="208" spans="1:4" x14ac:dyDescent="0.45">
      <c r="A208" t="s">
        <v>341</v>
      </c>
      <c r="B208">
        <v>5.5029999460000001</v>
      </c>
      <c r="C208" s="2">
        <v>123456789</v>
      </c>
      <c r="D208" s="2">
        <v>123456789</v>
      </c>
    </row>
    <row r="209" spans="1:4" x14ac:dyDescent="0.45">
      <c r="A209" t="s">
        <v>342</v>
      </c>
      <c r="B209">
        <v>5.7196022280000003</v>
      </c>
      <c r="C209" s="2">
        <v>123456789</v>
      </c>
      <c r="D209" s="2">
        <v>123456789</v>
      </c>
    </row>
    <row r="210" spans="1:4" x14ac:dyDescent="0.45">
      <c r="A210" t="s">
        <v>343</v>
      </c>
      <c r="B210">
        <v>4.8598506490000002</v>
      </c>
      <c r="C210" s="2">
        <v>123456789</v>
      </c>
      <c r="D210" s="2">
        <v>123456789</v>
      </c>
    </row>
    <row r="211" spans="1:4" x14ac:dyDescent="0.45">
      <c r="A211" t="s">
        <v>344</v>
      </c>
      <c r="B211">
        <v>3.6257060239999999</v>
      </c>
      <c r="C211" s="2">
        <v>123456789</v>
      </c>
      <c r="D211" s="2">
        <v>123456789</v>
      </c>
    </row>
    <row r="212" spans="1:4" x14ac:dyDescent="0.45">
      <c r="A212" t="s">
        <v>345</v>
      </c>
      <c r="B212">
        <v>2.957245151</v>
      </c>
      <c r="C212" s="2">
        <v>123456789</v>
      </c>
      <c r="D212" s="2">
        <v>123456789</v>
      </c>
    </row>
    <row r="213" spans="1:4" x14ac:dyDescent="0.45">
      <c r="A213" t="s">
        <v>346</v>
      </c>
      <c r="B213">
        <v>1.725225995</v>
      </c>
      <c r="C213" s="2">
        <v>123456789</v>
      </c>
      <c r="D213" s="2">
        <v>123456789</v>
      </c>
    </row>
    <row r="214" spans="1:4" x14ac:dyDescent="0.45">
      <c r="A214" t="s">
        <v>347</v>
      </c>
      <c r="B214">
        <v>1.919875647</v>
      </c>
      <c r="C214" s="2">
        <v>123456789</v>
      </c>
      <c r="D214" s="2">
        <v>123456789</v>
      </c>
    </row>
    <row r="215" spans="1:4" x14ac:dyDescent="0.45">
      <c r="A215" t="s">
        <v>348</v>
      </c>
      <c r="B215">
        <v>1.7848952600000001</v>
      </c>
      <c r="C215" s="2">
        <v>123456789</v>
      </c>
      <c r="D215" s="2">
        <v>123456789</v>
      </c>
    </row>
    <row r="216" spans="1:4" x14ac:dyDescent="0.45">
      <c r="A216" t="s">
        <v>349</v>
      </c>
      <c r="B216">
        <v>1.7351017950000001</v>
      </c>
      <c r="C216" s="2">
        <v>123456789</v>
      </c>
      <c r="D216" s="2">
        <v>123456789</v>
      </c>
    </row>
    <row r="217" spans="1:4" x14ac:dyDescent="0.45">
      <c r="A217" t="s">
        <v>350</v>
      </c>
      <c r="B217">
        <v>1.8045334260000001</v>
      </c>
      <c r="C217" s="2">
        <v>123456789</v>
      </c>
      <c r="D217" s="2">
        <v>123456789</v>
      </c>
    </row>
    <row r="218" spans="1:4" x14ac:dyDescent="0.45">
      <c r="A218" t="s">
        <v>351</v>
      </c>
      <c r="B218">
        <v>1.670047217</v>
      </c>
      <c r="C218" s="2">
        <v>123456789</v>
      </c>
      <c r="D218" s="2">
        <v>123456789</v>
      </c>
    </row>
    <row r="219" spans="1:4" x14ac:dyDescent="0.45">
      <c r="A219" t="s">
        <v>352</v>
      </c>
      <c r="B219">
        <v>1.664718763</v>
      </c>
      <c r="C219" s="2">
        <v>123456789</v>
      </c>
      <c r="D219" s="2">
        <v>123456789</v>
      </c>
    </row>
    <row r="220" spans="1:4" x14ac:dyDescent="0.45">
      <c r="A220" t="s">
        <v>353</v>
      </c>
      <c r="B220">
        <v>1.778083326</v>
      </c>
      <c r="C220" s="2">
        <v>123456789</v>
      </c>
      <c r="D220" s="2">
        <v>123456789</v>
      </c>
    </row>
    <row r="221" spans="1:4" x14ac:dyDescent="0.45">
      <c r="A221" t="s">
        <v>354</v>
      </c>
      <c r="B221">
        <v>1.8924629019999999</v>
      </c>
      <c r="C221" s="2">
        <v>123456789</v>
      </c>
      <c r="D221" s="2">
        <v>123456789</v>
      </c>
    </row>
    <row r="222" spans="1:4" x14ac:dyDescent="0.45">
      <c r="A222" t="s">
        <v>355</v>
      </c>
      <c r="B222">
        <v>1.767441504</v>
      </c>
      <c r="C222" s="2">
        <v>123456789</v>
      </c>
      <c r="D222" s="2">
        <v>123456789</v>
      </c>
    </row>
    <row r="223" spans="1:4" x14ac:dyDescent="0.45">
      <c r="A223" t="s">
        <v>356</v>
      </c>
      <c r="B223">
        <v>1.8335395489999999</v>
      </c>
      <c r="C223" s="2">
        <v>123456789</v>
      </c>
      <c r="D223" s="2">
        <v>123456789</v>
      </c>
    </row>
    <row r="224" spans="1:4" x14ac:dyDescent="0.45">
      <c r="A224" s="4" t="s">
        <v>357</v>
      </c>
      <c r="B224" s="4">
        <v>1.8335395489999999</v>
      </c>
      <c r="C224" s="2">
        <v>123456789</v>
      </c>
      <c r="D224" s="2">
        <v>123456789</v>
      </c>
    </row>
    <row r="225" spans="1:4" x14ac:dyDescent="0.45">
      <c r="A225" s="4" t="s">
        <v>438</v>
      </c>
      <c r="B225" s="4">
        <v>1.8335395489999999</v>
      </c>
      <c r="C225" s="2">
        <v>123456789</v>
      </c>
      <c r="D225" s="2">
        <v>123456789</v>
      </c>
    </row>
    <row r="226" spans="1:4" x14ac:dyDescent="0.45">
      <c r="A226" s="4" t="s">
        <v>441</v>
      </c>
      <c r="B226" s="4">
        <v>1.8335395489999999</v>
      </c>
      <c r="C226" s="2">
        <v>123456789</v>
      </c>
      <c r="D226" s="2">
        <v>123456789</v>
      </c>
    </row>
  </sheetData>
  <phoneticPr fontId="3"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778C7-15D9-4073-BC1A-6FFAAB351D1B}">
  <sheetPr>
    <tabColor theme="9" tint="0.79998168889431442"/>
  </sheetPr>
  <dimension ref="A1:D226"/>
  <sheetViews>
    <sheetView topLeftCell="A211" workbookViewId="0">
      <selection activeCell="E228" sqref="E228"/>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f>SUMPRODUCT(d3y_cre_to_gdp_all_ALL_ctry!B14:R14,uk_export_weight!B14:R14)/SUM(uk_export_weight!B14:R14)</f>
        <v>4.1804380031724184</v>
      </c>
      <c r="C14" s="2">
        <v>123456789</v>
      </c>
      <c r="D14" s="2">
        <v>123456789</v>
      </c>
    </row>
    <row r="15" spans="1:4" x14ac:dyDescent="0.45">
      <c r="A15" t="s">
        <v>148</v>
      </c>
      <c r="B15">
        <f>SUMPRODUCT(d3y_cre_to_gdp_all_ALL_ctry!B15:R15,uk_export_weight!B15:R15)/SUM(uk_export_weight!B15:R15)</f>
        <v>4.8930319037500318</v>
      </c>
      <c r="C15" s="2">
        <v>123456789</v>
      </c>
      <c r="D15" s="2">
        <v>123456789</v>
      </c>
    </row>
    <row r="16" spans="1:4" x14ac:dyDescent="0.45">
      <c r="A16" t="s">
        <v>149</v>
      </c>
      <c r="B16">
        <f>SUMPRODUCT(d3y_cre_to_gdp_all_ALL_ctry!B16:R16,uk_export_weight!B16:R16)/SUM(uk_export_weight!B16:R16)</f>
        <v>5.3447333373238006</v>
      </c>
      <c r="C16" s="2">
        <v>123456789</v>
      </c>
      <c r="D16" s="2">
        <v>123456789</v>
      </c>
    </row>
    <row r="17" spans="1:4" x14ac:dyDescent="0.45">
      <c r="A17" t="s">
        <v>150</v>
      </c>
      <c r="B17">
        <f>SUMPRODUCT(d3y_cre_to_gdp_all_ALL_ctry!B17:R17,uk_export_weight!B17:R17)/SUM(uk_export_weight!B17:R17)</f>
        <v>4.6514073863466319</v>
      </c>
      <c r="C17" s="2">
        <v>123456789</v>
      </c>
      <c r="D17" s="2">
        <v>123456789</v>
      </c>
    </row>
    <row r="18" spans="1:4" x14ac:dyDescent="0.45">
      <c r="A18" t="s">
        <v>151</v>
      </c>
      <c r="B18">
        <f>SUMPRODUCT(d3y_cre_to_gdp_all_ALL_ctry!B18:R18,uk_export_weight!B18:R18)/SUM(uk_export_weight!B18:R18)</f>
        <v>4.7403004639876078</v>
      </c>
      <c r="C18" s="2">
        <v>123456789</v>
      </c>
      <c r="D18" s="2">
        <v>123456789</v>
      </c>
    </row>
    <row r="19" spans="1:4" x14ac:dyDescent="0.45">
      <c r="A19" t="s">
        <v>152</v>
      </c>
      <c r="B19">
        <f>SUMPRODUCT(d3y_cre_to_gdp_all_ALL_ctry!B19:R19,uk_export_weight!B19:R19)/SUM(uk_export_weight!B19:R19)</f>
        <v>4.5620523982855028</v>
      </c>
      <c r="C19" s="2">
        <v>123456789</v>
      </c>
      <c r="D19" s="2">
        <v>123456789</v>
      </c>
    </row>
    <row r="20" spans="1:4" x14ac:dyDescent="0.45">
      <c r="A20" t="s">
        <v>153</v>
      </c>
      <c r="B20">
        <f>SUMPRODUCT(d3y_cre_to_gdp_all_ALL_ctry!B20:R20,uk_export_weight!B20:R20)/SUM(uk_export_weight!B20:R20)</f>
        <v>4.4059708681628953</v>
      </c>
      <c r="C20" s="2">
        <v>123456789</v>
      </c>
      <c r="D20" s="2">
        <v>123456789</v>
      </c>
    </row>
    <row r="21" spans="1:4" x14ac:dyDescent="0.45">
      <c r="A21" t="s">
        <v>154</v>
      </c>
      <c r="B21">
        <f>SUMPRODUCT(d3y_cre_to_gdp_all_ALL_ctry!B21:R21,uk_export_weight!B21:R21)/SUM(uk_export_weight!B21:R21)</f>
        <v>1.9943919079585133</v>
      </c>
      <c r="C21" s="2">
        <v>123456789</v>
      </c>
      <c r="D21" s="2">
        <v>123456789</v>
      </c>
    </row>
    <row r="22" spans="1:4" x14ac:dyDescent="0.45">
      <c r="A22" t="s">
        <v>155</v>
      </c>
      <c r="B22">
        <f>SUMPRODUCT(d3y_cre_to_gdp_all_ALL_ctry!B22:R22,uk_export_weight!B22:R22)/SUM(uk_export_weight!B22:R22)</f>
        <v>1.2330366783737403</v>
      </c>
      <c r="C22" s="2">
        <v>123456789</v>
      </c>
      <c r="D22" s="2">
        <v>123456789</v>
      </c>
    </row>
    <row r="23" spans="1:4" x14ac:dyDescent="0.45">
      <c r="A23" t="s">
        <v>156</v>
      </c>
      <c r="B23">
        <f>SUMPRODUCT(d3y_cre_to_gdp_all_ALL_ctry!B23:R23,uk_export_weight!B23:R23)/SUM(uk_export_weight!B23:R23)</f>
        <v>0.21500380764028745</v>
      </c>
      <c r="C23" s="2">
        <v>123456789</v>
      </c>
      <c r="D23" s="2">
        <v>123456789</v>
      </c>
    </row>
    <row r="24" spans="1:4" x14ac:dyDescent="0.45">
      <c r="A24" t="s">
        <v>157</v>
      </c>
      <c r="B24">
        <f>SUMPRODUCT(d3y_cre_to_gdp_all_ALL_ctry!B24:R24,uk_export_weight!B24:R24)/SUM(uk_export_weight!B24:R24)</f>
        <v>-0.24933224218866015</v>
      </c>
      <c r="C24" s="2">
        <v>123456789</v>
      </c>
      <c r="D24" s="2">
        <v>123456789</v>
      </c>
    </row>
    <row r="25" spans="1:4" x14ac:dyDescent="0.45">
      <c r="A25" t="s">
        <v>158</v>
      </c>
      <c r="B25">
        <f>SUMPRODUCT(d3y_cre_to_gdp_all_ALL_ctry!B25:R25,uk_export_weight!B25:R25)/SUM(uk_export_weight!B25:R25)</f>
        <v>-5.3142155692669302E-3</v>
      </c>
      <c r="C25" s="2">
        <v>123456789</v>
      </c>
      <c r="D25" s="2">
        <v>123456789</v>
      </c>
    </row>
    <row r="26" spans="1:4" x14ac:dyDescent="0.45">
      <c r="A26" t="s">
        <v>159</v>
      </c>
      <c r="B26">
        <f>SUMPRODUCT(d3y_cre_to_gdp_all_ALL_ctry!B26:R26,uk_export_weight!B26:R26)/SUM(uk_export_weight!B26:R26)</f>
        <v>-0.58460743134087134</v>
      </c>
      <c r="C26" s="2">
        <v>123456789</v>
      </c>
      <c r="D26" s="2">
        <v>123456789</v>
      </c>
    </row>
    <row r="27" spans="1:4" x14ac:dyDescent="0.45">
      <c r="A27" t="s">
        <v>160</v>
      </c>
      <c r="B27">
        <f>SUMPRODUCT(d3y_cre_to_gdp_all_ALL_ctry!B27:R27,uk_export_weight!B27:R27)/SUM(uk_export_weight!B27:R27)</f>
        <v>-1.3460592353257914</v>
      </c>
      <c r="C27" s="2">
        <v>123456789</v>
      </c>
      <c r="D27" s="2">
        <v>123456789</v>
      </c>
    </row>
    <row r="28" spans="1:4" x14ac:dyDescent="0.45">
      <c r="A28" t="s">
        <v>161</v>
      </c>
      <c r="B28">
        <f>SUMPRODUCT(d3y_cre_to_gdp_all_ALL_ctry!B28:R28,uk_export_weight!B28:R28)/SUM(uk_export_weight!B28:R28)</f>
        <v>-1.5974496499730737</v>
      </c>
      <c r="C28" s="2">
        <v>123456789</v>
      </c>
      <c r="D28" s="2">
        <v>123456789</v>
      </c>
    </row>
    <row r="29" spans="1:4" x14ac:dyDescent="0.45">
      <c r="A29" t="s">
        <v>162</v>
      </c>
      <c r="B29">
        <f>SUMPRODUCT(d3y_cre_to_gdp_all_ALL_ctry!B29:R29,uk_export_weight!B29:R29)/SUM(uk_export_weight!B29:R29)</f>
        <v>-1.5068949919224588</v>
      </c>
      <c r="C29" s="2">
        <v>123456789</v>
      </c>
      <c r="D29" s="2">
        <v>123456789</v>
      </c>
    </row>
    <row r="30" spans="1:4" x14ac:dyDescent="0.45">
      <c r="A30" t="s">
        <v>163</v>
      </c>
      <c r="B30">
        <f>SUMPRODUCT(d3y_cre_to_gdp_all_ALL_ctry!B30:R30,uk_export_weight!B30:R30)/SUM(uk_export_weight!B30:R30)</f>
        <v>-1.5020954079358009</v>
      </c>
      <c r="C30" s="2">
        <v>123456789</v>
      </c>
      <c r="D30" s="2">
        <v>123456789</v>
      </c>
    </row>
    <row r="31" spans="1:4" x14ac:dyDescent="0.45">
      <c r="A31" t="s">
        <v>164</v>
      </c>
      <c r="B31">
        <f>SUMPRODUCT(d3y_cre_to_gdp_all_ALL_ctry!B31:R31,uk_export_weight!B31:R31)/SUM(uk_export_weight!B31:R31)</f>
        <v>-1.2772531377078862</v>
      </c>
      <c r="C31" s="2">
        <v>123456789</v>
      </c>
      <c r="D31" s="2">
        <v>123456789</v>
      </c>
    </row>
    <row r="32" spans="1:4" x14ac:dyDescent="0.45">
      <c r="A32" t="s">
        <v>165</v>
      </c>
      <c r="B32">
        <f>SUMPRODUCT(d3y_cre_to_gdp_all_ALL_ctry!B32:R32,uk_export_weight!B32:R32)/SUM(uk_export_weight!B32:R32)</f>
        <v>-0.97039363766961129</v>
      </c>
      <c r="C32" s="2">
        <v>123456789</v>
      </c>
      <c r="D32" s="2">
        <v>123456789</v>
      </c>
    </row>
    <row r="33" spans="1:4" x14ac:dyDescent="0.45">
      <c r="A33" t="s">
        <v>166</v>
      </c>
      <c r="B33">
        <f>SUMPRODUCT(d3y_cre_to_gdp_all_ALL_ctry!B33:R33,uk_export_weight!B33:R33)/SUM(uk_export_weight!B33:R33)</f>
        <v>1.0526878233966939</v>
      </c>
      <c r="C33" s="2">
        <v>123456789</v>
      </c>
      <c r="D33" s="2">
        <v>123456789</v>
      </c>
    </row>
    <row r="34" spans="1:4" x14ac:dyDescent="0.45">
      <c r="A34" t="s">
        <v>167</v>
      </c>
      <c r="B34">
        <f>SUMPRODUCT(d3y_cre_to_gdp_all_ALL_ctry!B34:R34,uk_export_weight!B34:R34)/SUM(uk_export_weight!B34:R34)</f>
        <v>1.5188920993717612</v>
      </c>
      <c r="C34" s="2">
        <v>123456789</v>
      </c>
      <c r="D34" s="2">
        <v>123456789</v>
      </c>
    </row>
    <row r="35" spans="1:4" x14ac:dyDescent="0.45">
      <c r="A35" t="s">
        <v>168</v>
      </c>
      <c r="B35">
        <f>SUMPRODUCT(d3y_cre_to_gdp_all_ALL_ctry!B35:R35,uk_export_weight!B35:R35)/SUM(uk_export_weight!B35:R35)</f>
        <v>1.4215111820343751</v>
      </c>
      <c r="C35" s="2">
        <v>123456789</v>
      </c>
      <c r="D35" s="2">
        <v>123456789</v>
      </c>
    </row>
    <row r="36" spans="1:4" x14ac:dyDescent="0.45">
      <c r="A36" t="s">
        <v>169</v>
      </c>
      <c r="B36">
        <f>SUMPRODUCT(d3y_cre_to_gdp_all_ALL_ctry!B36:R36,uk_export_weight!B36:R36)/SUM(uk_export_weight!B36:R36)</f>
        <v>1.0100398168733722</v>
      </c>
      <c r="C36" s="2">
        <v>123456789</v>
      </c>
      <c r="D36" s="2">
        <v>123456789</v>
      </c>
    </row>
    <row r="37" spans="1:4" x14ac:dyDescent="0.45">
      <c r="A37" t="s">
        <v>170</v>
      </c>
      <c r="B37">
        <f>SUMPRODUCT(d3y_cre_to_gdp_all_ALL_ctry!B37:R37,uk_export_weight!B37:R37)/SUM(uk_export_weight!B37:R37)</f>
        <v>0.73841747294543802</v>
      </c>
      <c r="C37" s="2">
        <v>123456789</v>
      </c>
      <c r="D37" s="2">
        <v>123456789</v>
      </c>
    </row>
    <row r="38" spans="1:4" x14ac:dyDescent="0.45">
      <c r="A38" t="s">
        <v>171</v>
      </c>
      <c r="B38">
        <f>SUMPRODUCT(d3y_cre_to_gdp_all_ALL_ctry!B38:R38,uk_export_weight!B38:R38)/SUM(uk_export_weight!B38:R38)</f>
        <v>1.0107166667555594</v>
      </c>
      <c r="C38" s="2">
        <v>123456789</v>
      </c>
      <c r="D38" s="2">
        <v>123456789</v>
      </c>
    </row>
    <row r="39" spans="1:4" x14ac:dyDescent="0.45">
      <c r="A39" t="s">
        <v>172</v>
      </c>
      <c r="B39">
        <f>SUMPRODUCT(d3y_cre_to_gdp_all_ALL_ctry!B39:R39,uk_export_weight!B39:R39)/SUM(uk_export_weight!B39:R39)</f>
        <v>1.7669512995151839</v>
      </c>
      <c r="C39" s="2">
        <v>123456789</v>
      </c>
      <c r="D39" s="2">
        <v>123456789</v>
      </c>
    </row>
    <row r="40" spans="1:4" x14ac:dyDescent="0.45">
      <c r="A40" t="s">
        <v>173</v>
      </c>
      <c r="B40">
        <f>SUMPRODUCT(d3y_cre_to_gdp_all_ALL_ctry!B40:R40,uk_export_weight!B40:R40)/SUM(uk_export_weight!B40:R40)</f>
        <v>1.8357845359560077</v>
      </c>
      <c r="C40" s="2">
        <v>123456789</v>
      </c>
      <c r="D40" s="2">
        <v>123456789</v>
      </c>
    </row>
    <row r="41" spans="1:4" x14ac:dyDescent="0.45">
      <c r="A41" t="s">
        <v>174</v>
      </c>
      <c r="B41">
        <f>SUMPRODUCT(d3y_cre_to_gdp_all_ALL_ctry!B41:R41,uk_export_weight!B41:R41)/SUM(uk_export_weight!B41:R41)</f>
        <v>2.3925050535220005</v>
      </c>
      <c r="C41" s="2">
        <v>123456789</v>
      </c>
      <c r="D41" s="2">
        <v>123456789</v>
      </c>
    </row>
    <row r="42" spans="1:4" x14ac:dyDescent="0.45">
      <c r="A42" t="s">
        <v>175</v>
      </c>
      <c r="B42">
        <f>SUMPRODUCT(d3y_cre_to_gdp_all_ALL_ctry!B42:R42,uk_export_weight!B42:R42)/SUM(uk_export_weight!B42:R42)</f>
        <v>1.8073951255023375</v>
      </c>
      <c r="C42" s="2">
        <v>123456789</v>
      </c>
      <c r="D42" s="2">
        <v>123456789</v>
      </c>
    </row>
    <row r="43" spans="1:4" x14ac:dyDescent="0.45">
      <c r="A43" t="s">
        <v>176</v>
      </c>
      <c r="B43">
        <f>SUMPRODUCT(d3y_cre_to_gdp_all_ALL_ctry!B43:R43,uk_export_weight!B43:R43)/SUM(uk_export_weight!B43:R43)</f>
        <v>1.9801066997361074</v>
      </c>
      <c r="C43" s="2">
        <v>123456789</v>
      </c>
      <c r="D43" s="2">
        <v>123456789</v>
      </c>
    </row>
    <row r="44" spans="1:4" x14ac:dyDescent="0.45">
      <c r="A44" t="s">
        <v>177</v>
      </c>
      <c r="B44">
        <f>SUMPRODUCT(d3y_cre_to_gdp_all_ALL_ctry!B44:R44,uk_export_weight!B44:R44)/SUM(uk_export_weight!B44:R44)</f>
        <v>1.7498708048613749</v>
      </c>
      <c r="C44" s="2">
        <v>123456789</v>
      </c>
      <c r="D44" s="2">
        <v>123456789</v>
      </c>
    </row>
    <row r="45" spans="1:4" x14ac:dyDescent="0.45">
      <c r="A45" t="s">
        <v>178</v>
      </c>
      <c r="B45">
        <f>SUMPRODUCT(d3y_cre_to_gdp_all_ALL_ctry!B45:R45,uk_export_weight!B45:R45)/SUM(uk_export_weight!B45:R45)</f>
        <v>2.1069261714856533</v>
      </c>
      <c r="C45" s="2">
        <v>123456789</v>
      </c>
      <c r="D45" s="2">
        <v>123456789</v>
      </c>
    </row>
    <row r="46" spans="1:4" x14ac:dyDescent="0.45">
      <c r="A46" t="s">
        <v>179</v>
      </c>
      <c r="B46">
        <f>SUMPRODUCT(d3y_cre_to_gdp_all_ALL_ctry!B46:R46,uk_export_weight!B46:R46)/SUM(uk_export_weight!B46:R46)</f>
        <v>2.9438286011057548</v>
      </c>
      <c r="C46" s="2">
        <v>123456789</v>
      </c>
      <c r="D46" s="2">
        <v>123456789</v>
      </c>
    </row>
    <row r="47" spans="1:4" x14ac:dyDescent="0.45">
      <c r="A47" t="s">
        <v>180</v>
      </c>
      <c r="B47">
        <f>SUMPRODUCT(d3y_cre_to_gdp_all_ALL_ctry!B47:R47,uk_export_weight!B47:R47)/SUM(uk_export_weight!B47:R47)</f>
        <v>3.4283475661733922</v>
      </c>
      <c r="C47" s="2">
        <v>123456789</v>
      </c>
      <c r="D47" s="2">
        <v>123456789</v>
      </c>
    </row>
    <row r="48" spans="1:4" x14ac:dyDescent="0.45">
      <c r="A48" t="s">
        <v>181</v>
      </c>
      <c r="B48">
        <f>SUMPRODUCT(d3y_cre_to_gdp_all_ALL_ctry!B48:R48,uk_export_weight!B48:R48)/SUM(uk_export_weight!B48:R48)</f>
        <v>3.8407576385099622</v>
      </c>
      <c r="C48" s="2">
        <v>123456789</v>
      </c>
      <c r="D48" s="2">
        <v>123456789</v>
      </c>
    </row>
    <row r="49" spans="1:4" x14ac:dyDescent="0.45">
      <c r="A49" t="s">
        <v>182</v>
      </c>
      <c r="B49">
        <f>SUMPRODUCT(d3y_cre_to_gdp_all_ALL_ctry!B49:R49,uk_export_weight!B49:R49)/SUM(uk_export_weight!B49:R49)</f>
        <v>3.1595528762608529</v>
      </c>
      <c r="C49" s="2">
        <v>123456789</v>
      </c>
      <c r="D49" s="2">
        <v>123456789</v>
      </c>
    </row>
    <row r="50" spans="1:4" x14ac:dyDescent="0.45">
      <c r="A50" t="s">
        <v>183</v>
      </c>
      <c r="B50">
        <f>SUMPRODUCT(d3y_cre_to_gdp_all_ALL_ctry!B50:R50,uk_export_weight!B50:R50)/SUM(uk_export_weight!B50:R50)</f>
        <v>2.8529247163446776</v>
      </c>
      <c r="C50" s="2">
        <v>123456789</v>
      </c>
      <c r="D50" s="2">
        <v>123456789</v>
      </c>
    </row>
    <row r="51" spans="1:4" x14ac:dyDescent="0.45">
      <c r="A51" t="s">
        <v>184</v>
      </c>
      <c r="B51">
        <f>SUMPRODUCT(d3y_cre_to_gdp_all_ALL_ctry!B51:R51,uk_export_weight!B51:R51)/SUM(uk_export_weight!B51:R51)</f>
        <v>2.6126046232660451</v>
      </c>
      <c r="C51" s="2">
        <v>123456789</v>
      </c>
      <c r="D51" s="2">
        <v>123456789</v>
      </c>
    </row>
    <row r="52" spans="1:4" x14ac:dyDescent="0.45">
      <c r="A52" t="s">
        <v>185</v>
      </c>
      <c r="B52">
        <f>SUMPRODUCT(d3y_cre_to_gdp_all_ALL_ctry!B52:R52,uk_export_weight!B52:R52)/SUM(uk_export_weight!B52:R52)</f>
        <v>3.3723478903981117</v>
      </c>
      <c r="C52" s="2">
        <v>123456789</v>
      </c>
      <c r="D52" s="2">
        <v>123456789</v>
      </c>
    </row>
    <row r="53" spans="1:4" x14ac:dyDescent="0.45">
      <c r="A53" t="s">
        <v>186</v>
      </c>
      <c r="B53">
        <f>SUMPRODUCT(d3y_cre_to_gdp_all_ALL_ctry!B53:R53,uk_export_weight!B53:R53)/SUM(uk_export_weight!B53:R53)</f>
        <v>3.7412928188754804</v>
      </c>
      <c r="C53" s="2">
        <v>123456789</v>
      </c>
      <c r="D53" s="2">
        <v>123456789</v>
      </c>
    </row>
    <row r="54" spans="1:4" x14ac:dyDescent="0.45">
      <c r="A54" t="s">
        <v>187</v>
      </c>
      <c r="B54">
        <f>SUMPRODUCT(d3y_cre_to_gdp_all_ALL_ctry!B54:R54,uk_export_weight!B54:R54)/SUM(uk_export_weight!B54:R54)</f>
        <v>3.9018891061919359</v>
      </c>
      <c r="C54" s="2">
        <v>123456789</v>
      </c>
      <c r="D54" s="2">
        <v>123456789</v>
      </c>
    </row>
    <row r="55" spans="1:4" x14ac:dyDescent="0.45">
      <c r="A55" t="s">
        <v>188</v>
      </c>
      <c r="B55">
        <f>SUMPRODUCT(d3y_cre_to_gdp_all_ALL_ctry!B55:R55,uk_export_weight!B55:R55)/SUM(uk_export_weight!B55:R55)</f>
        <v>3.8457622142628085</v>
      </c>
      <c r="C55" s="2">
        <v>123456789</v>
      </c>
      <c r="D55" s="2">
        <v>123456789</v>
      </c>
    </row>
    <row r="56" spans="1:4" x14ac:dyDescent="0.45">
      <c r="A56" t="s">
        <v>189</v>
      </c>
      <c r="B56">
        <f>SUMPRODUCT(d3y_cre_to_gdp_all_ALL_ctry!B56:R56,uk_export_weight!B56:R56)/SUM(uk_export_weight!B56:R56)</f>
        <v>3.8038048608633255</v>
      </c>
      <c r="C56" s="2">
        <v>123456789</v>
      </c>
      <c r="D56" s="2">
        <v>123456789</v>
      </c>
    </row>
    <row r="57" spans="1:4" x14ac:dyDescent="0.45">
      <c r="A57" t="s">
        <v>190</v>
      </c>
      <c r="B57">
        <f>SUMPRODUCT(d3y_cre_to_gdp_all_ALL_ctry!B57:R57,uk_export_weight!B57:R57)/SUM(uk_export_weight!B57:R57)</f>
        <v>3.3846400874431439</v>
      </c>
      <c r="C57" s="2">
        <v>123456789</v>
      </c>
      <c r="D57" s="2">
        <v>123456789</v>
      </c>
    </row>
    <row r="58" spans="1:4" x14ac:dyDescent="0.45">
      <c r="A58" t="s">
        <v>191</v>
      </c>
      <c r="B58">
        <f>SUMPRODUCT(d3y_cre_to_gdp_all_ALL_ctry!B58:R58,uk_export_weight!B58:R58)/SUM(uk_export_weight!B58:R58)</f>
        <v>2.7713029458874505</v>
      </c>
      <c r="C58" s="2">
        <v>123456789</v>
      </c>
      <c r="D58" s="2">
        <v>123456789</v>
      </c>
    </row>
    <row r="59" spans="1:4" x14ac:dyDescent="0.45">
      <c r="A59" t="s">
        <v>192</v>
      </c>
      <c r="B59">
        <f>SUMPRODUCT(d3y_cre_to_gdp_all_ALL_ctry!B59:R59,uk_export_weight!B59:R59)/SUM(uk_export_weight!B59:R59)</f>
        <v>3.1226257927319545</v>
      </c>
      <c r="C59" s="2">
        <v>123456789</v>
      </c>
      <c r="D59" s="2">
        <v>123456789</v>
      </c>
    </row>
    <row r="60" spans="1:4" x14ac:dyDescent="0.45">
      <c r="A60" t="s">
        <v>193</v>
      </c>
      <c r="B60">
        <f>SUMPRODUCT(d3y_cre_to_gdp_all_ALL_ctry!B60:R60,uk_export_weight!B60:R60)/SUM(uk_export_weight!B60:R60)</f>
        <v>3.4467703979561697</v>
      </c>
      <c r="C60" s="2">
        <v>123456789</v>
      </c>
      <c r="D60" s="2">
        <v>123456789</v>
      </c>
    </row>
    <row r="61" spans="1:4" x14ac:dyDescent="0.45">
      <c r="A61" t="s">
        <v>194</v>
      </c>
      <c r="B61">
        <f>SUMPRODUCT(d3y_cre_to_gdp_all_ALL_ctry!B61:R61,uk_export_weight!B61:R61)/SUM(uk_export_weight!B61:R61)</f>
        <v>4.2740752247779454</v>
      </c>
      <c r="C61" s="2">
        <v>123456789</v>
      </c>
      <c r="D61" s="2">
        <v>123456789</v>
      </c>
    </row>
    <row r="62" spans="1:4" x14ac:dyDescent="0.45">
      <c r="A62" t="s">
        <v>195</v>
      </c>
      <c r="B62">
        <f>SUMPRODUCT(d3y_cre_to_gdp_all_ALL_ctry!B62:R62,uk_export_weight!B62:R62)/SUM(uk_export_weight!B62:R62)</f>
        <v>4.6176121824640131</v>
      </c>
      <c r="C62" s="2">
        <v>123456789</v>
      </c>
      <c r="D62" s="2">
        <v>123456789</v>
      </c>
    </row>
    <row r="63" spans="1:4" x14ac:dyDescent="0.45">
      <c r="A63" t="s">
        <v>196</v>
      </c>
      <c r="B63">
        <f>SUMPRODUCT(d3y_cre_to_gdp_all_ALL_ctry!B63:R63,uk_export_weight!B63:R63)/SUM(uk_export_weight!B63:R63)</f>
        <v>4.6130348498231584</v>
      </c>
      <c r="C63" s="2">
        <v>123456789</v>
      </c>
      <c r="D63" s="2">
        <v>123456789</v>
      </c>
    </row>
    <row r="64" spans="1:4" x14ac:dyDescent="0.45">
      <c r="A64" t="s">
        <v>197</v>
      </c>
      <c r="B64">
        <f>SUMPRODUCT(d3y_cre_to_gdp_all_ALL_ctry!B64:R64,uk_export_weight!B64:R64)/SUM(uk_export_weight!B64:R64)</f>
        <v>4.1069417223614328</v>
      </c>
      <c r="C64" s="2">
        <v>123456789</v>
      </c>
      <c r="D64" s="2">
        <v>123456789</v>
      </c>
    </row>
    <row r="65" spans="1:4" x14ac:dyDescent="0.45">
      <c r="A65" t="s">
        <v>198</v>
      </c>
      <c r="B65">
        <f>SUMPRODUCT(d3y_cre_to_gdp_all_ALL_ctry!B65:R65,uk_export_weight!B65:R65)/SUM(uk_export_weight!B65:R65)</f>
        <v>4.5926759645019297</v>
      </c>
      <c r="C65" s="2">
        <v>123456789</v>
      </c>
      <c r="D65" s="2">
        <v>123456789</v>
      </c>
    </row>
    <row r="66" spans="1:4" x14ac:dyDescent="0.45">
      <c r="A66" t="s">
        <v>199</v>
      </c>
      <c r="B66">
        <f>SUMPRODUCT(d3y_cre_to_gdp_all_ALL_ctry!B66:R66,uk_export_weight!B66:R66)/SUM(uk_export_weight!B66:R66)</f>
        <v>4.1432024785485684</v>
      </c>
      <c r="C66" s="2">
        <v>123456789</v>
      </c>
      <c r="D66" s="2">
        <v>123456789</v>
      </c>
    </row>
    <row r="67" spans="1:4" x14ac:dyDescent="0.45">
      <c r="A67" t="s">
        <v>200</v>
      </c>
      <c r="B67">
        <f>SUMPRODUCT(d3y_cre_to_gdp_all_ALL_ctry!B67:R67,uk_export_weight!B67:R67)/SUM(uk_export_weight!B67:R67)</f>
        <v>4.4445142441865766</v>
      </c>
      <c r="C67" s="2">
        <v>123456789</v>
      </c>
      <c r="D67" s="2">
        <v>123456789</v>
      </c>
    </row>
    <row r="68" spans="1:4" x14ac:dyDescent="0.45">
      <c r="A68" t="s">
        <v>201</v>
      </c>
      <c r="B68">
        <f>SUMPRODUCT(d3y_cre_to_gdp_all_ALL_ctry!B68:R68,uk_export_weight!B68:R68)/SUM(uk_export_weight!B68:R68)</f>
        <v>4.9824326859503367</v>
      </c>
      <c r="C68" s="2">
        <v>123456789</v>
      </c>
      <c r="D68" s="2">
        <v>123456789</v>
      </c>
    </row>
    <row r="69" spans="1:4" x14ac:dyDescent="0.45">
      <c r="A69" t="s">
        <v>202</v>
      </c>
      <c r="B69">
        <f>SUMPRODUCT(d3y_cre_to_gdp_all_ALL_ctry!B69:R69,uk_export_weight!B69:R69)/SUM(uk_export_weight!B69:R69)</f>
        <v>5.2485089184399474</v>
      </c>
      <c r="C69" s="2">
        <v>123456789</v>
      </c>
      <c r="D69" s="2">
        <v>123456789</v>
      </c>
    </row>
    <row r="70" spans="1:4" x14ac:dyDescent="0.45">
      <c r="A70" t="s">
        <v>203</v>
      </c>
      <c r="B70">
        <f>SUMPRODUCT(d3y_cre_to_gdp_all_ALL_ctry!B70:R70,uk_export_weight!B70:R70)/SUM(uk_export_weight!B70:R70)</f>
        <v>5.9258127981757074</v>
      </c>
      <c r="C70" s="2">
        <v>123456789</v>
      </c>
      <c r="D70" s="2">
        <v>123456789</v>
      </c>
    </row>
    <row r="71" spans="1:4" x14ac:dyDescent="0.45">
      <c r="A71" t="s">
        <v>204</v>
      </c>
      <c r="B71">
        <f>SUMPRODUCT(d3y_cre_to_gdp_all_ALL_ctry!B71:R71,uk_export_weight!B71:R71)/SUM(uk_export_weight!B71:R71)</f>
        <v>6.2230608528350295</v>
      </c>
      <c r="C71" s="2">
        <v>123456789</v>
      </c>
      <c r="D71" s="2">
        <v>123456789</v>
      </c>
    </row>
    <row r="72" spans="1:4" x14ac:dyDescent="0.45">
      <c r="A72" t="s">
        <v>205</v>
      </c>
      <c r="B72">
        <f>SUMPRODUCT(d3y_cre_to_gdp_all_ALL_ctry!B72:R72,uk_export_weight!B72:R72)/SUM(uk_export_weight!B72:R72)</f>
        <v>6.4269699336027051</v>
      </c>
      <c r="C72" s="2">
        <v>123456789</v>
      </c>
      <c r="D72" s="2">
        <v>123456789</v>
      </c>
    </row>
    <row r="73" spans="1:4" x14ac:dyDescent="0.45">
      <c r="A73" t="s">
        <v>206</v>
      </c>
      <c r="B73">
        <f>SUMPRODUCT(d3y_cre_to_gdp_all_ALL_ctry!B73:R73,uk_export_weight!B73:R73)/SUM(uk_export_weight!B73:R73)</f>
        <v>6.2724360692455825</v>
      </c>
      <c r="C73" s="2">
        <v>123456789</v>
      </c>
      <c r="D73" s="2">
        <v>123456789</v>
      </c>
    </row>
    <row r="74" spans="1:4" x14ac:dyDescent="0.45">
      <c r="A74" t="s">
        <v>207</v>
      </c>
      <c r="B74">
        <f>SUMPRODUCT(d3y_cre_to_gdp_all_ALL_ctry!B74:R74,uk_export_weight!B74:R74)/SUM(uk_export_weight!B74:R74)</f>
        <v>6.3214746581792109</v>
      </c>
      <c r="C74" s="2">
        <v>123456789</v>
      </c>
      <c r="D74" s="2">
        <v>123456789</v>
      </c>
    </row>
    <row r="75" spans="1:4" x14ac:dyDescent="0.45">
      <c r="A75" t="s">
        <v>208</v>
      </c>
      <c r="B75">
        <f>SUMPRODUCT(d3y_cre_to_gdp_all_ALL_ctry!B75:R75,uk_export_weight!B75:R75)/SUM(uk_export_weight!B75:R75)</f>
        <v>7.1584728310803989</v>
      </c>
      <c r="C75" s="2">
        <v>123456789</v>
      </c>
      <c r="D75" s="2">
        <v>123456789</v>
      </c>
    </row>
    <row r="76" spans="1:4" x14ac:dyDescent="0.45">
      <c r="A76" t="s">
        <v>209</v>
      </c>
      <c r="B76">
        <f>SUMPRODUCT(d3y_cre_to_gdp_all_ALL_ctry!B76:R76,uk_export_weight!B76:R76)/SUM(uk_export_weight!B76:R76)</f>
        <v>7.7107798829454461</v>
      </c>
      <c r="C76" s="2">
        <v>123456789</v>
      </c>
      <c r="D76" s="2">
        <v>123456789</v>
      </c>
    </row>
    <row r="77" spans="1:4" x14ac:dyDescent="0.45">
      <c r="A77" t="s">
        <v>210</v>
      </c>
      <c r="B77">
        <f>SUMPRODUCT(d3y_cre_to_gdp_all_ALL_ctry!B77:R77,uk_export_weight!B77:R77)/SUM(uk_export_weight!B77:R77)</f>
        <v>7.6382372935542735</v>
      </c>
      <c r="C77" s="2">
        <v>123456789</v>
      </c>
      <c r="D77" s="2">
        <v>123456789</v>
      </c>
    </row>
    <row r="78" spans="1:4" x14ac:dyDescent="0.45">
      <c r="A78" t="s">
        <v>211</v>
      </c>
      <c r="B78">
        <f>SUMPRODUCT(d3y_cre_to_gdp_all_ALL_ctry!B78:R78,uk_export_weight!B78:R78)/SUM(uk_export_weight!B78:R78)</f>
        <v>8.4367767276963139</v>
      </c>
      <c r="C78" s="2">
        <v>123456789</v>
      </c>
      <c r="D78" s="2">
        <v>123456789</v>
      </c>
    </row>
    <row r="79" spans="1:4" x14ac:dyDescent="0.45">
      <c r="A79" t="s">
        <v>212</v>
      </c>
      <c r="B79">
        <f>SUMPRODUCT(d3y_cre_to_gdp_all_ALL_ctry!B79:R79,uk_export_weight!B79:R79)/SUM(uk_export_weight!B79:R79)</f>
        <v>9.2762631588293694</v>
      </c>
      <c r="C79" s="2">
        <v>123456789</v>
      </c>
      <c r="D79" s="2">
        <v>123456789</v>
      </c>
    </row>
    <row r="80" spans="1:4" x14ac:dyDescent="0.45">
      <c r="A80" t="s">
        <v>213</v>
      </c>
      <c r="B80">
        <f>SUMPRODUCT(d3y_cre_to_gdp_all_ALL_ctry!B80:R80,uk_export_weight!B80:R80)/SUM(uk_export_weight!B80:R80)</f>
        <v>9.0182225294867582</v>
      </c>
      <c r="C80" s="2">
        <v>123456789</v>
      </c>
      <c r="D80" s="2">
        <v>123456789</v>
      </c>
    </row>
    <row r="81" spans="1:4" x14ac:dyDescent="0.45">
      <c r="A81" t="s">
        <v>214</v>
      </c>
      <c r="B81">
        <f>SUMPRODUCT(d3y_cre_to_gdp_all_ALL_ctry!B81:R81,uk_export_weight!B81:R81)/SUM(uk_export_weight!B81:R81)</f>
        <v>9.5028987577877597</v>
      </c>
      <c r="C81" s="2">
        <v>123456789</v>
      </c>
      <c r="D81" s="2">
        <v>123456789</v>
      </c>
    </row>
    <row r="82" spans="1:4" x14ac:dyDescent="0.45">
      <c r="A82" t="s">
        <v>215</v>
      </c>
      <c r="B82">
        <f>SUMPRODUCT(d3y_cre_to_gdp_all_ALL_ctry!B82:R82,uk_export_weight!B82:R82)/SUM(uk_export_weight!B82:R82)</f>
        <v>9.4165524898037987</v>
      </c>
      <c r="C82" s="2">
        <v>123456789</v>
      </c>
      <c r="D82" s="2">
        <v>123456789</v>
      </c>
    </row>
    <row r="83" spans="1:4" x14ac:dyDescent="0.45">
      <c r="A83" t="s">
        <v>216</v>
      </c>
      <c r="B83">
        <f>SUMPRODUCT(d3y_cre_to_gdp_all_ALL_ctry!B83:R83,uk_export_weight!B83:R83)/SUM(uk_export_weight!B83:R83)</f>
        <v>8.4913953771675743</v>
      </c>
      <c r="C83" s="2">
        <v>123456789</v>
      </c>
      <c r="D83" s="2">
        <v>123456789</v>
      </c>
    </row>
    <row r="84" spans="1:4" x14ac:dyDescent="0.45">
      <c r="A84" t="s">
        <v>217</v>
      </c>
      <c r="B84">
        <f>SUMPRODUCT(d3y_cre_to_gdp_all_ALL_ctry!B84:R84,uk_export_weight!B84:R84)/SUM(uk_export_weight!B84:R84)</f>
        <v>8.0144365475327444</v>
      </c>
      <c r="C84" s="2">
        <v>123456789</v>
      </c>
      <c r="D84" s="2">
        <v>123456789</v>
      </c>
    </row>
    <row r="85" spans="1:4" x14ac:dyDescent="0.45">
      <c r="A85" t="s">
        <v>218</v>
      </c>
      <c r="B85">
        <f>SUMPRODUCT(d3y_cre_to_gdp_all_ALL_ctry!B85:R85,uk_export_weight!B85:R85)/SUM(uk_export_weight!B85:R85)</f>
        <v>8.5556191996653013</v>
      </c>
      <c r="C85" s="2">
        <v>123456789</v>
      </c>
      <c r="D85" s="2">
        <v>123456789</v>
      </c>
    </row>
    <row r="86" spans="1:4" x14ac:dyDescent="0.45">
      <c r="A86" t="s">
        <v>219</v>
      </c>
      <c r="B86">
        <f>SUMPRODUCT(d3y_cre_to_gdp_all_ALL_ctry!B86:R86,uk_export_weight!B86:R86)/SUM(uk_export_weight!B86:R86)</f>
        <v>7.8772042098450017</v>
      </c>
      <c r="C86" s="2">
        <v>123456789</v>
      </c>
      <c r="D86" s="2">
        <v>123456789</v>
      </c>
    </row>
    <row r="87" spans="1:4" x14ac:dyDescent="0.45">
      <c r="A87" t="s">
        <v>220</v>
      </c>
      <c r="B87">
        <f>SUMPRODUCT(d3y_cre_to_gdp_all_ALL_ctry!B87:R87,uk_export_weight!B87:R87)/SUM(uk_export_weight!B87:R87)</f>
        <v>7.3702940713752989</v>
      </c>
      <c r="C87" s="2">
        <v>123456789</v>
      </c>
      <c r="D87" s="2">
        <v>123456789</v>
      </c>
    </row>
    <row r="88" spans="1:4" x14ac:dyDescent="0.45">
      <c r="A88" t="s">
        <v>221</v>
      </c>
      <c r="B88">
        <f>SUMPRODUCT(d3y_cre_to_gdp_all_ALL_ctry!B88:R88,uk_export_weight!B88:R88)/SUM(uk_export_weight!B88:R88)</f>
        <v>7.0836825222937945</v>
      </c>
      <c r="C88" s="2">
        <v>123456789</v>
      </c>
      <c r="D88" s="2">
        <v>123456789</v>
      </c>
    </row>
    <row r="89" spans="1:4" x14ac:dyDescent="0.45">
      <c r="A89" t="s">
        <v>222</v>
      </c>
      <c r="B89">
        <f>SUMPRODUCT(d3y_cre_to_gdp_all_ALL_ctry!B89:R89,uk_export_weight!B89:R89)/SUM(uk_export_weight!B89:R89)</f>
        <v>6.0443852944438081</v>
      </c>
      <c r="C89" s="2">
        <v>123456789</v>
      </c>
      <c r="D89" s="2">
        <v>123456789</v>
      </c>
    </row>
    <row r="90" spans="1:4" x14ac:dyDescent="0.45">
      <c r="A90" t="s">
        <v>223</v>
      </c>
      <c r="B90">
        <f>SUMPRODUCT(d3y_cre_to_gdp_all_ALL_ctry!B90:R90,uk_export_weight!B90:R90)/SUM(uk_export_weight!B90:R90)</f>
        <v>5.8279181410984569</v>
      </c>
      <c r="C90" s="2">
        <v>123456789</v>
      </c>
      <c r="D90" s="2">
        <v>123456789</v>
      </c>
    </row>
    <row r="91" spans="1:4" x14ac:dyDescent="0.45">
      <c r="A91" t="s">
        <v>224</v>
      </c>
      <c r="B91">
        <f>SUMPRODUCT(d3y_cre_to_gdp_all_ALL_ctry!B91:R91,uk_export_weight!B91:R91)/SUM(uk_export_weight!B91:R91)</f>
        <v>4.6830637465974982</v>
      </c>
      <c r="C91" s="2">
        <v>123456789</v>
      </c>
      <c r="D91" s="2">
        <v>123456789</v>
      </c>
    </row>
    <row r="92" spans="1:4" x14ac:dyDescent="0.45">
      <c r="A92" t="s">
        <v>225</v>
      </c>
      <c r="B92">
        <f>SUMPRODUCT(d3y_cre_to_gdp_all_ALL_ctry!B92:R92,uk_export_weight!B92:R92)/SUM(uk_export_weight!B92:R92)</f>
        <v>4.6866156766229503</v>
      </c>
      <c r="C92" s="2">
        <v>123456789</v>
      </c>
      <c r="D92" s="2">
        <v>123456789</v>
      </c>
    </row>
    <row r="93" spans="1:4" x14ac:dyDescent="0.45">
      <c r="A93" t="s">
        <v>226</v>
      </c>
      <c r="B93">
        <f>SUMPRODUCT(d3y_cre_to_gdp_all_ALL_ctry!B93:R93,uk_export_weight!B93:R93)/SUM(uk_export_weight!B93:R93)</f>
        <v>3.769867610401616</v>
      </c>
      <c r="C93" s="2">
        <v>123456789</v>
      </c>
      <c r="D93" s="2">
        <v>123456789</v>
      </c>
    </row>
    <row r="94" spans="1:4" x14ac:dyDescent="0.45">
      <c r="A94" t="s">
        <v>227</v>
      </c>
      <c r="B94">
        <f>SUMPRODUCT(d3y_cre_to_gdp_all_ALL_ctry!B94:R94,uk_export_weight!B94:R94)/SUM(uk_export_weight!B94:R94)</f>
        <v>3.5569880526049493</v>
      </c>
      <c r="C94" s="2">
        <v>123456789</v>
      </c>
      <c r="D94" s="2">
        <v>123456789</v>
      </c>
    </row>
    <row r="95" spans="1:4" x14ac:dyDescent="0.45">
      <c r="A95" t="s">
        <v>228</v>
      </c>
      <c r="B95">
        <f>SUMPRODUCT(d3y_cre_to_gdp_all_ALL_ctry!B95:R95,uk_export_weight!B95:R95)/SUM(uk_export_weight!B95:R95)</f>
        <v>4.355697594890211</v>
      </c>
      <c r="C95" s="2">
        <v>123456789</v>
      </c>
      <c r="D95" s="2">
        <v>123456789</v>
      </c>
    </row>
    <row r="96" spans="1:4" x14ac:dyDescent="0.45">
      <c r="A96" t="s">
        <v>229</v>
      </c>
      <c r="B96">
        <f>SUMPRODUCT(d3y_cre_to_gdp_all_ALL_ctry!B96:R96,uk_export_weight!B96:R96)/SUM(uk_export_weight!B96:R96)</f>
        <v>4.9901435659546882</v>
      </c>
      <c r="C96" s="2">
        <v>123456789</v>
      </c>
      <c r="D96" s="2">
        <v>123456789</v>
      </c>
    </row>
    <row r="97" spans="1:4" x14ac:dyDescent="0.45">
      <c r="A97" t="s">
        <v>230</v>
      </c>
      <c r="B97">
        <f>SUMPRODUCT(d3y_cre_to_gdp_all_ALL_ctry!B97:R97,uk_export_weight!B97:R97)/SUM(uk_export_weight!B97:R97)</f>
        <v>3.7835933938178425</v>
      </c>
      <c r="C97" s="2">
        <v>123456789</v>
      </c>
      <c r="D97" s="2">
        <v>123456789</v>
      </c>
    </row>
    <row r="98" spans="1:4" x14ac:dyDescent="0.45">
      <c r="A98" t="s">
        <v>231</v>
      </c>
      <c r="B98">
        <f>SUMPRODUCT(d3y_cre_to_gdp_all_ALL_ctry!B98:R98,uk_export_weight!B98:R98)/SUM(uk_export_weight!B98:R98)</f>
        <v>3.137771192096412</v>
      </c>
      <c r="C98" s="2">
        <v>123456789</v>
      </c>
      <c r="D98" s="2">
        <v>123456789</v>
      </c>
    </row>
    <row r="99" spans="1:4" x14ac:dyDescent="0.45">
      <c r="A99" t="s">
        <v>232</v>
      </c>
      <c r="B99">
        <f>SUMPRODUCT(d3y_cre_to_gdp_all_ALL_ctry!B99:R99,uk_export_weight!B99:R99)/SUM(uk_export_weight!B99:R99)</f>
        <v>2.172946522570645</v>
      </c>
      <c r="C99" s="2">
        <v>123456789</v>
      </c>
      <c r="D99" s="2">
        <v>123456789</v>
      </c>
    </row>
    <row r="100" spans="1:4" x14ac:dyDescent="0.45">
      <c r="A100" t="s">
        <v>233</v>
      </c>
      <c r="B100">
        <f>SUMPRODUCT(d3y_cre_to_gdp_all_ALL_ctry!B100:R100,uk_export_weight!B100:R100)/SUM(uk_export_weight!B100:R100)</f>
        <v>1.5989603693538132</v>
      </c>
      <c r="C100" s="2">
        <v>123456789</v>
      </c>
      <c r="D100" s="2">
        <v>123456789</v>
      </c>
    </row>
    <row r="101" spans="1:4" x14ac:dyDescent="0.45">
      <c r="A101" t="s">
        <v>234</v>
      </c>
      <c r="B101">
        <f>SUMPRODUCT(d3y_cre_to_gdp_all_ALL_ctry!B101:R101,uk_export_weight!B101:R101)/SUM(uk_export_weight!B101:R101)</f>
        <v>1.4330757583312397</v>
      </c>
      <c r="C101" s="2">
        <v>123456789</v>
      </c>
      <c r="D101" s="2">
        <v>123456789</v>
      </c>
    </row>
    <row r="102" spans="1:4" x14ac:dyDescent="0.45">
      <c r="A102" t="s">
        <v>235</v>
      </c>
      <c r="B102">
        <f>SUMPRODUCT(d3y_cre_to_gdp_all_ALL_ctry!B102:R102,uk_export_weight!B102:R102)/SUM(uk_export_weight!B102:R102)</f>
        <v>0.18958448483416332</v>
      </c>
      <c r="C102" s="2">
        <v>123456789</v>
      </c>
      <c r="D102" s="2">
        <v>123456789</v>
      </c>
    </row>
    <row r="103" spans="1:4" x14ac:dyDescent="0.45">
      <c r="A103" t="s">
        <v>236</v>
      </c>
      <c r="B103">
        <f>SUMPRODUCT(d3y_cre_to_gdp_all_ALL_ctry!B103:R103,uk_export_weight!B103:R103)/SUM(uk_export_weight!B103:R103)</f>
        <v>0.43593900234280542</v>
      </c>
      <c r="C103" s="2">
        <v>123456789</v>
      </c>
      <c r="D103" s="2">
        <v>123456789</v>
      </c>
    </row>
    <row r="104" spans="1:4" x14ac:dyDescent="0.45">
      <c r="A104" t="s">
        <v>237</v>
      </c>
      <c r="B104">
        <f>SUMPRODUCT(d3y_cre_to_gdp_all_ALL_ctry!B104:R104,uk_export_weight!B104:R104)/SUM(uk_export_weight!B104:R104)</f>
        <v>0.23529029551198877</v>
      </c>
      <c r="C104" s="2">
        <v>123456789</v>
      </c>
      <c r="D104" s="2">
        <v>123456789</v>
      </c>
    </row>
    <row r="105" spans="1:4" x14ac:dyDescent="0.45">
      <c r="A105" t="s">
        <v>238</v>
      </c>
      <c r="B105">
        <f>SUMPRODUCT(d3y_cre_to_gdp_all_ALL_ctry!B105:R105,uk_export_weight!B105:R105)/SUM(uk_export_weight!B105:R105)</f>
        <v>-0.36515661991332499</v>
      </c>
      <c r="C105" s="2">
        <v>123456789</v>
      </c>
      <c r="D105" s="2">
        <v>123456789</v>
      </c>
    </row>
    <row r="106" spans="1:4" x14ac:dyDescent="0.45">
      <c r="A106" t="s">
        <v>239</v>
      </c>
      <c r="B106">
        <f>SUMPRODUCT(d3y_cre_to_gdp_all_ALL_ctry!B106:R106,uk_export_weight!B106:R106)/SUM(uk_export_weight!B106:R106)</f>
        <v>-1.2402477404165473</v>
      </c>
      <c r="C106" s="2">
        <v>123456789</v>
      </c>
      <c r="D106" s="2">
        <v>123456789</v>
      </c>
    </row>
    <row r="107" spans="1:4" x14ac:dyDescent="0.45">
      <c r="A107" t="s">
        <v>240</v>
      </c>
      <c r="B107">
        <f>SUMPRODUCT(d3y_cre_to_gdp_all_ALL_ctry!B107:R107,uk_export_weight!B107:R107)/SUM(uk_export_weight!B107:R107)</f>
        <v>-1.7132548806175381</v>
      </c>
      <c r="C107" s="2">
        <v>123456789</v>
      </c>
      <c r="D107" s="2">
        <v>123456789</v>
      </c>
    </row>
    <row r="108" spans="1:4" x14ac:dyDescent="0.45">
      <c r="A108" t="s">
        <v>241</v>
      </c>
      <c r="B108">
        <f>SUMPRODUCT(d3y_cre_to_gdp_all_ALL_ctry!B108:R108,uk_export_weight!B108:R108)/SUM(uk_export_weight!B108:R108)</f>
        <v>-2.2279877319535104</v>
      </c>
      <c r="C108" s="2">
        <v>123456789</v>
      </c>
      <c r="D108" s="2">
        <v>123456789</v>
      </c>
    </row>
    <row r="109" spans="1:4" x14ac:dyDescent="0.45">
      <c r="A109" t="s">
        <v>242</v>
      </c>
      <c r="B109">
        <f>SUMPRODUCT(d3y_cre_to_gdp_all_ALL_ctry!B109:R109,uk_export_weight!B109:R109)/SUM(uk_export_weight!B109:R109)</f>
        <v>-2.1433729228653009</v>
      </c>
      <c r="C109" s="2">
        <v>123456789</v>
      </c>
      <c r="D109" s="2">
        <v>123456789</v>
      </c>
    </row>
    <row r="110" spans="1:4" x14ac:dyDescent="0.45">
      <c r="A110" t="s">
        <v>243</v>
      </c>
      <c r="B110">
        <f>SUMPRODUCT(d3y_cre_to_gdp_all_ALL_ctry!B110:R110,uk_export_weight!B110:R110)/SUM(uk_export_weight!B110:R110)</f>
        <v>9.4858871922827007E-2</v>
      </c>
      <c r="C110" s="2">
        <v>123456789</v>
      </c>
      <c r="D110" s="2">
        <v>123456789</v>
      </c>
    </row>
    <row r="111" spans="1:4" x14ac:dyDescent="0.45">
      <c r="A111" t="s">
        <v>244</v>
      </c>
      <c r="B111">
        <f>SUMPRODUCT(d3y_cre_to_gdp_all_ALL_ctry!B111:R111,uk_export_weight!B111:R111)/SUM(uk_export_weight!B111:R111)</f>
        <v>1.12544425852692</v>
      </c>
      <c r="C111" s="2">
        <v>123456789</v>
      </c>
      <c r="D111" s="2">
        <v>123456789</v>
      </c>
    </row>
    <row r="112" spans="1:4" x14ac:dyDescent="0.45">
      <c r="A112" t="s">
        <v>245</v>
      </c>
      <c r="B112">
        <f>SUMPRODUCT(d3y_cre_to_gdp_all_ALL_ctry!B112:R112,uk_export_weight!B112:R112)/SUM(uk_export_weight!B112:R112)</f>
        <v>1.8699313847194661</v>
      </c>
      <c r="C112" s="2">
        <v>123456789</v>
      </c>
      <c r="D112" s="2">
        <v>123456789</v>
      </c>
    </row>
    <row r="113" spans="1:4" x14ac:dyDescent="0.45">
      <c r="A113" t="s">
        <v>246</v>
      </c>
      <c r="B113">
        <f>SUMPRODUCT(d3y_cre_to_gdp_all_ALL_ctry!B113:R113,uk_export_weight!B113:R113)/SUM(uk_export_weight!B113:R113)</f>
        <v>1.7432877433888889</v>
      </c>
      <c r="C113" s="2">
        <v>123456789</v>
      </c>
      <c r="D113" s="2">
        <v>123456789</v>
      </c>
    </row>
    <row r="114" spans="1:4" x14ac:dyDescent="0.45">
      <c r="A114" t="s">
        <v>247</v>
      </c>
      <c r="B114">
        <f>SUMPRODUCT(d3y_cre_to_gdp_all_ALL_ctry!B114:R114,uk_export_weight!B114:R114)/SUM(uk_export_weight!B114:R114)</f>
        <v>3.62912086882814</v>
      </c>
      <c r="C114" s="2">
        <v>123456789</v>
      </c>
      <c r="D114" s="2">
        <v>123456789</v>
      </c>
    </row>
    <row r="115" spans="1:4" x14ac:dyDescent="0.45">
      <c r="A115" t="s">
        <v>248</v>
      </c>
      <c r="B115">
        <f>SUMPRODUCT(d3y_cre_to_gdp_all_ALL_ctry!B115:R115,uk_export_weight!B115:R115)/SUM(uk_export_weight!B115:R115)</f>
        <v>4.0316504239904321</v>
      </c>
      <c r="C115" s="2">
        <v>123456789</v>
      </c>
      <c r="D115" s="2">
        <v>123456789</v>
      </c>
    </row>
    <row r="116" spans="1:4" x14ac:dyDescent="0.45">
      <c r="A116" t="s">
        <v>249</v>
      </c>
      <c r="B116">
        <f>SUMPRODUCT(d3y_cre_to_gdp_all_ALL_ctry!B116:R116,uk_export_weight!B116:R116)/SUM(uk_export_weight!B116:R116)</f>
        <v>4.8743593208989715</v>
      </c>
      <c r="C116" s="2">
        <v>123456789</v>
      </c>
      <c r="D116" s="2">
        <v>123456789</v>
      </c>
    </row>
    <row r="117" spans="1:4" x14ac:dyDescent="0.45">
      <c r="A117" t="s">
        <v>250</v>
      </c>
      <c r="B117">
        <f>SUMPRODUCT(d3y_cre_to_gdp_all_ALL_ctry!B117:R117,uk_export_weight!B117:R117)/SUM(uk_export_weight!B117:R117)</f>
        <v>5.7990399086228281</v>
      </c>
      <c r="C117" s="2">
        <v>123456789</v>
      </c>
      <c r="D117" s="2">
        <v>123456789</v>
      </c>
    </row>
    <row r="118" spans="1:4" x14ac:dyDescent="0.45">
      <c r="A118" t="s">
        <v>251</v>
      </c>
      <c r="B118">
        <f>SUMPRODUCT(d3y_cre_to_gdp_all_ALL_ctry!B118:R118,uk_export_weight!B118:R118)/SUM(uk_export_weight!B118:R118)</f>
        <v>6.2416365924803658</v>
      </c>
      <c r="C118" s="2">
        <v>123456789</v>
      </c>
      <c r="D118" s="2">
        <v>123456789</v>
      </c>
    </row>
    <row r="119" spans="1:4" x14ac:dyDescent="0.45">
      <c r="A119" t="s">
        <v>252</v>
      </c>
      <c r="B119">
        <f>SUMPRODUCT(d3y_cre_to_gdp_all_ALL_ctry!B119:R119,uk_export_weight!B119:R119)/SUM(uk_export_weight!B119:R119)</f>
        <v>7.9384439178044559</v>
      </c>
      <c r="C119" s="2">
        <v>123456789</v>
      </c>
      <c r="D119" s="2">
        <v>123456789</v>
      </c>
    </row>
    <row r="120" spans="1:4" x14ac:dyDescent="0.45">
      <c r="A120" t="s">
        <v>253</v>
      </c>
      <c r="B120">
        <f>SUMPRODUCT(d3y_cre_to_gdp_all_ALL_ctry!B120:R120,uk_export_weight!B120:R120)/SUM(uk_export_weight!B120:R120)</f>
        <v>9.2790270476825558</v>
      </c>
      <c r="C120" s="2">
        <v>123456789</v>
      </c>
      <c r="D120" s="2">
        <v>123456789</v>
      </c>
    </row>
    <row r="121" spans="1:4" x14ac:dyDescent="0.45">
      <c r="A121" t="s">
        <v>254</v>
      </c>
      <c r="B121">
        <f>SUMPRODUCT(d3y_cre_to_gdp_all_ALL_ctry!B121:R121,uk_export_weight!B121:R121)/SUM(uk_export_weight!B121:R121)</f>
        <v>10.744822028780941</v>
      </c>
      <c r="C121" s="2">
        <v>123456789</v>
      </c>
      <c r="D121" s="2">
        <v>123456789</v>
      </c>
    </row>
    <row r="122" spans="1:4" x14ac:dyDescent="0.45">
      <c r="A122" t="s">
        <v>255</v>
      </c>
      <c r="B122">
        <f>SUMPRODUCT(d3y_cre_to_gdp_all_ALL_ctry!B122:R122,uk_export_weight!B122:R122)/SUM(uk_export_weight!B122:R122)</f>
        <v>11.108779009430275</v>
      </c>
      <c r="C122" s="2">
        <v>123456789</v>
      </c>
      <c r="D122" s="2">
        <v>123456789</v>
      </c>
    </row>
    <row r="123" spans="1:4" x14ac:dyDescent="0.45">
      <c r="A123" t="s">
        <v>256</v>
      </c>
      <c r="B123">
        <f>SUMPRODUCT(d3y_cre_to_gdp_all_ALL_ctry!B123:R123,uk_export_weight!B123:R123)/SUM(uk_export_weight!B123:R123)</f>
        <v>12.018535343678336</v>
      </c>
      <c r="C123" s="2">
        <v>123456789</v>
      </c>
      <c r="D123" s="2">
        <v>123456789</v>
      </c>
    </row>
    <row r="124" spans="1:4" x14ac:dyDescent="0.45">
      <c r="A124" t="s">
        <v>257</v>
      </c>
      <c r="B124">
        <f>SUMPRODUCT(d3y_cre_to_gdp_all_ALL_ctry!B124:R124,uk_export_weight!B124:R124)/SUM(uk_export_weight!B124:R124)</f>
        <v>12.921204797483465</v>
      </c>
      <c r="C124" s="2">
        <v>123456789</v>
      </c>
      <c r="D124" s="2">
        <v>123456789</v>
      </c>
    </row>
    <row r="125" spans="1:4" x14ac:dyDescent="0.45">
      <c r="A125" t="s">
        <v>258</v>
      </c>
      <c r="B125">
        <f>SUMPRODUCT(d3y_cre_to_gdp_all_ALL_ctry!B125:R125,uk_export_weight!B125:R125)/SUM(uk_export_weight!B125:R125)</f>
        <v>14.602181587739562</v>
      </c>
      <c r="C125" s="2">
        <v>123456789</v>
      </c>
      <c r="D125" s="2">
        <v>123456789</v>
      </c>
    </row>
    <row r="126" spans="1:4" x14ac:dyDescent="0.45">
      <c r="A126" t="s">
        <v>259</v>
      </c>
      <c r="B126">
        <f>SUMPRODUCT(d3y_cre_to_gdp_all_ALL_ctry!B126:R126,uk_export_weight!B126:R126)/SUM(uk_export_weight!B126:R126)</f>
        <v>14.87245537437791</v>
      </c>
      <c r="C126" s="2">
        <v>123456789</v>
      </c>
      <c r="D126" s="2">
        <v>123456789</v>
      </c>
    </row>
    <row r="127" spans="1:4" x14ac:dyDescent="0.45">
      <c r="A127" t="s">
        <v>260</v>
      </c>
      <c r="B127">
        <f>SUMPRODUCT(d3y_cre_to_gdp_all_ALL_ctry!B127:R127,uk_export_weight!B127:R127)/SUM(uk_export_weight!B127:R127)</f>
        <v>15.151603257412869</v>
      </c>
      <c r="C127" s="2">
        <v>123456789</v>
      </c>
      <c r="D127" s="2">
        <v>123456789</v>
      </c>
    </row>
    <row r="128" spans="1:4" x14ac:dyDescent="0.45">
      <c r="A128" t="s">
        <v>261</v>
      </c>
      <c r="B128">
        <f>SUMPRODUCT(d3y_cre_to_gdp_all_ALL_ctry!B128:R128,uk_export_weight!B128:R128)/SUM(uk_export_weight!B128:R128)</f>
        <v>15.811704460638852</v>
      </c>
      <c r="C128" s="2">
        <v>123456789</v>
      </c>
      <c r="D128" s="2">
        <v>123456789</v>
      </c>
    </row>
    <row r="129" spans="1:4" x14ac:dyDescent="0.45">
      <c r="A129" t="s">
        <v>262</v>
      </c>
      <c r="B129">
        <f>SUMPRODUCT(d3y_cre_to_gdp_all_ALL_ctry!B129:R129,uk_export_weight!B129:R129)/SUM(uk_export_weight!B129:R129)</f>
        <v>15.395421333472566</v>
      </c>
      <c r="C129" s="2">
        <v>123456789</v>
      </c>
      <c r="D129" s="2">
        <v>123456789</v>
      </c>
    </row>
    <row r="130" spans="1:4" x14ac:dyDescent="0.45">
      <c r="A130" t="s">
        <v>263</v>
      </c>
      <c r="B130">
        <f>SUMPRODUCT(d3y_cre_to_gdp_all_ALL_ctry!B130:R130,uk_export_weight!B130:R130)/SUM(uk_export_weight!B130:R130)</f>
        <v>15.800957718608643</v>
      </c>
      <c r="C130" s="2">
        <v>123456789</v>
      </c>
      <c r="D130" s="2">
        <v>123456789</v>
      </c>
    </row>
    <row r="131" spans="1:4" x14ac:dyDescent="0.45">
      <c r="A131" t="s">
        <v>264</v>
      </c>
      <c r="B131">
        <f>SUMPRODUCT(d3y_cre_to_gdp_all_ALL_ctry!B131:R131,uk_export_weight!B131:R131)/SUM(uk_export_weight!B131:R131)</f>
        <v>14.667201868835063</v>
      </c>
      <c r="C131" s="2">
        <v>123456789</v>
      </c>
      <c r="D131" s="2">
        <v>123456789</v>
      </c>
    </row>
    <row r="132" spans="1:4" x14ac:dyDescent="0.45">
      <c r="A132" t="s">
        <v>265</v>
      </c>
      <c r="B132">
        <f>SUMPRODUCT(d3y_cre_to_gdp_all_ALL_ctry!B132:R132,uk_export_weight!B132:R132)/SUM(uk_export_weight!B132:R132)</f>
        <v>13.770652546510163</v>
      </c>
      <c r="C132" s="2">
        <v>123456789</v>
      </c>
      <c r="D132" s="2">
        <v>123456789</v>
      </c>
    </row>
    <row r="133" spans="1:4" x14ac:dyDescent="0.45">
      <c r="A133" t="s">
        <v>266</v>
      </c>
      <c r="B133">
        <f>SUMPRODUCT(d3y_cre_to_gdp_all_ALL_ctry!B133:R133,uk_export_weight!B133:R133)/SUM(uk_export_weight!B133:R133)</f>
        <v>12.93025112957144</v>
      </c>
      <c r="C133" s="2">
        <v>123456789</v>
      </c>
      <c r="D133" s="2">
        <v>123456789</v>
      </c>
    </row>
    <row r="134" spans="1:4" x14ac:dyDescent="0.45">
      <c r="A134" t="s">
        <v>267</v>
      </c>
      <c r="B134">
        <f>SUMPRODUCT(d3y_cre_to_gdp_all_ALL_ctry!B134:R134,uk_export_weight!B134:R134)/SUM(uk_export_weight!B134:R134)</f>
        <v>12.457782217717487</v>
      </c>
      <c r="C134" s="2">
        <v>123456789</v>
      </c>
      <c r="D134" s="2">
        <v>123456789</v>
      </c>
    </row>
    <row r="135" spans="1:4" x14ac:dyDescent="0.45">
      <c r="A135" t="s">
        <v>268</v>
      </c>
      <c r="B135">
        <f>SUMPRODUCT(d3y_cre_to_gdp_all_ALL_ctry!B135:R135,uk_export_weight!B135:R135)/SUM(uk_export_weight!B135:R135)</f>
        <v>12.429495120917258</v>
      </c>
      <c r="C135" s="2">
        <v>123456789</v>
      </c>
      <c r="D135" s="2">
        <v>123456789</v>
      </c>
    </row>
    <row r="136" spans="1:4" x14ac:dyDescent="0.45">
      <c r="A136" t="s">
        <v>269</v>
      </c>
      <c r="B136">
        <f>SUMPRODUCT(d3y_cre_to_gdp_all_ALL_ctry!B136:R136,uk_export_weight!B136:R136)/SUM(uk_export_weight!B136:R136)</f>
        <v>11.601024296643242</v>
      </c>
      <c r="C136" s="2">
        <v>123456789</v>
      </c>
      <c r="D136" s="2">
        <v>123456789</v>
      </c>
    </row>
    <row r="137" spans="1:4" x14ac:dyDescent="0.45">
      <c r="A137" t="s">
        <v>270</v>
      </c>
      <c r="B137">
        <f>SUMPRODUCT(d3y_cre_to_gdp_all_ALL_ctry!B137:R137,uk_export_weight!B137:R137)/SUM(uk_export_weight!B137:R137)</f>
        <v>9.7364572499391269</v>
      </c>
      <c r="C137" s="2">
        <v>123456789</v>
      </c>
      <c r="D137" s="2">
        <v>123456789</v>
      </c>
    </row>
    <row r="138" spans="1:4" x14ac:dyDescent="0.45">
      <c r="A138" t="s">
        <v>271</v>
      </c>
      <c r="B138">
        <f>SUMPRODUCT(d3y_cre_to_gdp_all_ALL_ctry!B138:R138,uk_export_weight!B138:R138)/SUM(uk_export_weight!B138:R138)</f>
        <v>8.8770783596365046</v>
      </c>
      <c r="C138" s="2">
        <v>123456789</v>
      </c>
      <c r="D138" s="2">
        <v>123456789</v>
      </c>
    </row>
    <row r="139" spans="1:4" x14ac:dyDescent="0.45">
      <c r="A139" t="s">
        <v>272</v>
      </c>
      <c r="B139">
        <f>SUMPRODUCT(d3y_cre_to_gdp_all_ALL_ctry!B139:R139,uk_export_weight!B139:R139)/SUM(uk_export_weight!B139:R139)</f>
        <v>8.2223888058263661</v>
      </c>
      <c r="C139" s="2">
        <v>123456789</v>
      </c>
      <c r="D139" s="2">
        <v>123456789</v>
      </c>
    </row>
    <row r="140" spans="1:4" x14ac:dyDescent="0.45">
      <c r="A140" t="s">
        <v>273</v>
      </c>
      <c r="B140">
        <f>SUMPRODUCT(d3y_cre_to_gdp_all_ALL_ctry!B140:R140,uk_export_weight!B140:R140)/SUM(uk_export_weight!B140:R140)</f>
        <v>7.1319768380676622</v>
      </c>
      <c r="C140" s="2">
        <v>123456789</v>
      </c>
      <c r="D140" s="2">
        <v>123456789</v>
      </c>
    </row>
    <row r="141" spans="1:4" x14ac:dyDescent="0.45">
      <c r="A141" t="s">
        <v>274</v>
      </c>
      <c r="B141">
        <f>SUMPRODUCT(d3y_cre_to_gdp_all_ALL_ctry!B141:R141,uk_export_weight!B141:R141)/SUM(uk_export_weight!B141:R141)</f>
        <v>7.2522946541797548</v>
      </c>
      <c r="C141" s="2">
        <v>123456789</v>
      </c>
      <c r="D141" s="2">
        <v>123456789</v>
      </c>
    </row>
    <row r="142" spans="1:4" x14ac:dyDescent="0.45">
      <c r="A142" t="s">
        <v>275</v>
      </c>
      <c r="B142">
        <f>SUMPRODUCT(d3y_cre_to_gdp_all_ALL_ctry!B142:R142,uk_export_weight!B142:R142)/SUM(uk_export_weight!B142:R142)</f>
        <v>7.3035693753331614</v>
      </c>
      <c r="C142" s="2">
        <v>123456789</v>
      </c>
      <c r="D142" s="2">
        <v>123456789</v>
      </c>
    </row>
    <row r="143" spans="1:4" x14ac:dyDescent="0.45">
      <c r="A143" t="s">
        <v>276</v>
      </c>
      <c r="B143">
        <f>SUMPRODUCT(d3y_cre_to_gdp_all_ALL_ctry!B143:R143,uk_export_weight!B143:R143)/SUM(uk_export_weight!B143:R143)</f>
        <v>8.4889903187954072</v>
      </c>
      <c r="C143" s="2">
        <v>123456789</v>
      </c>
      <c r="D143" s="2">
        <v>123456789</v>
      </c>
    </row>
    <row r="144" spans="1:4" x14ac:dyDescent="0.45">
      <c r="A144" t="s">
        <v>277</v>
      </c>
      <c r="B144">
        <f>SUMPRODUCT(d3y_cre_to_gdp_all_ALL_ctry!B144:R144,uk_export_weight!B144:R144)/SUM(uk_export_weight!B144:R144)</f>
        <v>8.8499148110435524</v>
      </c>
      <c r="C144" s="2">
        <v>123456789</v>
      </c>
      <c r="D144" s="2">
        <v>123456789</v>
      </c>
    </row>
    <row r="145" spans="1:4" x14ac:dyDescent="0.45">
      <c r="A145" t="s">
        <v>278</v>
      </c>
      <c r="B145">
        <f>SUMPRODUCT(d3y_cre_to_gdp_all_ALL_ctry!B145:R145,uk_export_weight!B145:R145)/SUM(uk_export_weight!B145:R145)</f>
        <v>9.419558741066874</v>
      </c>
      <c r="C145" s="2">
        <v>123456789</v>
      </c>
      <c r="D145" s="2">
        <v>123456789</v>
      </c>
    </row>
    <row r="146" spans="1:4" x14ac:dyDescent="0.45">
      <c r="A146" t="s">
        <v>279</v>
      </c>
      <c r="B146">
        <f>SUMPRODUCT(d3y_cre_to_gdp_all_ALL_ctry!B146:R146,uk_export_weight!B146:R146)/SUM(uk_export_weight!B146:R146)</f>
        <v>10.029767983209805</v>
      </c>
      <c r="C146" s="2">
        <v>123456789</v>
      </c>
      <c r="D146" s="2">
        <v>123456789</v>
      </c>
    </row>
    <row r="147" spans="1:4" x14ac:dyDescent="0.45">
      <c r="A147" t="s">
        <v>280</v>
      </c>
      <c r="B147">
        <f>SUMPRODUCT(d3y_cre_to_gdp_all_ALL_ctry!B147:R147,uk_export_weight!B147:R147)/SUM(uk_export_weight!B147:R147)</f>
        <v>10.354094012779322</v>
      </c>
      <c r="C147" s="2">
        <v>123456789</v>
      </c>
      <c r="D147" s="2">
        <v>123456789</v>
      </c>
    </row>
    <row r="148" spans="1:4" x14ac:dyDescent="0.45">
      <c r="A148" t="s">
        <v>281</v>
      </c>
      <c r="B148">
        <f>SUMPRODUCT(d3y_cre_to_gdp_all_ALL_ctry!B148:R148,uk_export_weight!B148:R148)/SUM(uk_export_weight!B148:R148)</f>
        <v>11.100252402173124</v>
      </c>
      <c r="C148" s="2">
        <v>123456789</v>
      </c>
      <c r="D148" s="2">
        <v>123456789</v>
      </c>
    </row>
    <row r="149" spans="1:4" x14ac:dyDescent="0.45">
      <c r="A149" t="s">
        <v>282</v>
      </c>
      <c r="B149">
        <f>SUMPRODUCT(d3y_cre_to_gdp_all_ALL_ctry!B149:R149,uk_export_weight!B149:R149)/SUM(uk_export_weight!B149:R149)</f>
        <v>12.439952964149469</v>
      </c>
      <c r="C149" s="2">
        <v>123456789</v>
      </c>
      <c r="D149" s="2">
        <v>123456789</v>
      </c>
    </row>
    <row r="150" spans="1:4" x14ac:dyDescent="0.45">
      <c r="A150" t="s">
        <v>283</v>
      </c>
      <c r="B150">
        <f>SUMPRODUCT(d3y_cre_to_gdp_all_ALL_ctry!B150:R150,uk_export_weight!B150:R150)/SUM(uk_export_weight!B150:R150)</f>
        <v>13.174693764669014</v>
      </c>
      <c r="C150" s="2">
        <v>123456789</v>
      </c>
      <c r="D150" s="2">
        <v>123456789</v>
      </c>
    </row>
    <row r="151" spans="1:4" x14ac:dyDescent="0.45">
      <c r="A151" t="s">
        <v>284</v>
      </c>
      <c r="B151">
        <f>SUMPRODUCT(d3y_cre_to_gdp_all_ALL_ctry!B151:R151,uk_export_weight!B151:R151)/SUM(uk_export_weight!B151:R151)</f>
        <v>14.815565509575796</v>
      </c>
      <c r="C151" s="2">
        <v>123456789</v>
      </c>
      <c r="D151" s="2">
        <v>123456789</v>
      </c>
    </row>
    <row r="152" spans="1:4" x14ac:dyDescent="0.45">
      <c r="A152" t="s">
        <v>285</v>
      </c>
      <c r="B152">
        <f>SUMPRODUCT(d3y_cre_to_gdp_all_ALL_ctry!B152:R152,uk_export_weight!B152:R152)/SUM(uk_export_weight!B152:R152)</f>
        <v>15.550136836774794</v>
      </c>
      <c r="C152" s="2">
        <v>123456789</v>
      </c>
      <c r="D152" s="2">
        <v>123456789</v>
      </c>
    </row>
    <row r="153" spans="1:4" x14ac:dyDescent="0.45">
      <c r="A153" t="s">
        <v>286</v>
      </c>
      <c r="B153">
        <f>SUMPRODUCT(d3y_cre_to_gdp_all_ALL_ctry!B153:R153,uk_export_weight!B153:R153)/SUM(uk_export_weight!B153:R153)</f>
        <v>15.845777796826141</v>
      </c>
      <c r="C153" s="2">
        <v>123456789</v>
      </c>
      <c r="D153" s="2">
        <v>123456789</v>
      </c>
    </row>
    <row r="154" spans="1:4" x14ac:dyDescent="0.45">
      <c r="A154" t="s">
        <v>287</v>
      </c>
      <c r="B154">
        <f>SUMPRODUCT(d3y_cre_to_gdp_all_ALL_ctry!B154:R154,uk_export_weight!B154:R154)/SUM(uk_export_weight!B154:R154)</f>
        <v>15.632279070396168</v>
      </c>
      <c r="C154" s="2">
        <v>123456789</v>
      </c>
      <c r="D154" s="2">
        <v>123456789</v>
      </c>
    </row>
    <row r="155" spans="1:4" x14ac:dyDescent="0.45">
      <c r="A155" t="s">
        <v>288</v>
      </c>
      <c r="B155">
        <f>SUMPRODUCT(d3y_cre_to_gdp_all_ALL_ctry!B155:R155,uk_export_weight!B155:R155)/SUM(uk_export_weight!B155:R155)</f>
        <v>14.689703923615786</v>
      </c>
      <c r="C155" s="2">
        <v>123456789</v>
      </c>
      <c r="D155" s="2">
        <v>123456789</v>
      </c>
    </row>
    <row r="156" spans="1:4" x14ac:dyDescent="0.45">
      <c r="A156" t="s">
        <v>289</v>
      </c>
      <c r="B156">
        <f>SUMPRODUCT(d3y_cre_to_gdp_all_ALL_ctry!B156:R156,uk_export_weight!B156:R156)/SUM(uk_export_weight!B156:R156)</f>
        <v>14.994953097464432</v>
      </c>
      <c r="C156" s="2">
        <v>123456789</v>
      </c>
      <c r="D156" s="2">
        <v>123456789</v>
      </c>
    </row>
    <row r="157" spans="1:4" x14ac:dyDescent="0.45">
      <c r="A157" t="s">
        <v>290</v>
      </c>
      <c r="B157">
        <f>SUMPRODUCT(d3y_cre_to_gdp_all_ALL_ctry!B157:R157,uk_export_weight!B157:R157)/SUM(uk_export_weight!B157:R157)</f>
        <v>14.10762380233651</v>
      </c>
      <c r="C157" s="2">
        <v>123456789</v>
      </c>
      <c r="D157" s="2">
        <v>123456789</v>
      </c>
    </row>
    <row r="158" spans="1:4" x14ac:dyDescent="0.45">
      <c r="A158" t="s">
        <v>291</v>
      </c>
      <c r="B158">
        <f>SUMPRODUCT(d3y_cre_to_gdp_all_ALL_ctry!B158:R158,uk_export_weight!B158:R158)/SUM(uk_export_weight!B158:R158)</f>
        <v>14.386501553524877</v>
      </c>
      <c r="C158" s="2">
        <v>123456789</v>
      </c>
      <c r="D158" s="2">
        <v>123456789</v>
      </c>
    </row>
    <row r="159" spans="1:4" x14ac:dyDescent="0.45">
      <c r="A159" t="s">
        <v>292</v>
      </c>
      <c r="B159">
        <f>SUMPRODUCT(d3y_cre_to_gdp_all_ALL_ctry!B159:R159,uk_export_weight!B159:R159)/SUM(uk_export_weight!B159:R159)</f>
        <v>14.56280512098337</v>
      </c>
      <c r="C159" s="2">
        <v>123456789</v>
      </c>
      <c r="D159" s="2">
        <v>123456789</v>
      </c>
    </row>
    <row r="160" spans="1:4" x14ac:dyDescent="0.45">
      <c r="A160" t="s">
        <v>293</v>
      </c>
      <c r="B160">
        <f>SUMPRODUCT(d3y_cre_to_gdp_all_ALL_ctry!B160:R160,uk_export_weight!B160:R160)/SUM(uk_export_weight!B160:R160)</f>
        <v>14.47544719377726</v>
      </c>
      <c r="C160" s="2">
        <v>123456789</v>
      </c>
      <c r="D160" s="2">
        <v>123456789</v>
      </c>
    </row>
    <row r="161" spans="1:4" x14ac:dyDescent="0.45">
      <c r="A161" t="s">
        <v>294</v>
      </c>
      <c r="B161">
        <f>SUMPRODUCT(d3y_cre_to_gdp_all_ALL_ctry!B161:R161,uk_export_weight!B161:R161)/SUM(uk_export_weight!B161:R161)</f>
        <v>13.308995081578042</v>
      </c>
      <c r="C161" s="2">
        <v>123456789</v>
      </c>
      <c r="D161" s="2">
        <v>123456789</v>
      </c>
    </row>
    <row r="162" spans="1:4" x14ac:dyDescent="0.45">
      <c r="A162" t="s">
        <v>295</v>
      </c>
      <c r="B162">
        <f>SUMPRODUCT(d3y_cre_to_gdp_all_ALL_ctry!B162:R162,uk_export_weight!B162:R162)/SUM(uk_export_weight!B162:R162)</f>
        <v>11.722389688868393</v>
      </c>
      <c r="C162" s="2">
        <v>123456789</v>
      </c>
      <c r="D162" s="2">
        <v>123456789</v>
      </c>
    </row>
    <row r="163" spans="1:4" x14ac:dyDescent="0.45">
      <c r="A163" t="s">
        <v>296</v>
      </c>
      <c r="B163">
        <f>SUMPRODUCT(d3y_cre_to_gdp_all_ALL_ctry!B163:R163,uk_export_weight!B163:R163)/SUM(uk_export_weight!B163:R163)</f>
        <v>9.0071260024952853</v>
      </c>
      <c r="C163" s="2">
        <v>123456789</v>
      </c>
      <c r="D163" s="2">
        <v>123456789</v>
      </c>
    </row>
    <row r="164" spans="1:4" x14ac:dyDescent="0.45">
      <c r="A164" t="s">
        <v>297</v>
      </c>
      <c r="B164">
        <f>SUMPRODUCT(d3y_cre_to_gdp_all_ALL_ctry!B164:R164,uk_export_weight!B164:R164)/SUM(uk_export_weight!B164:R164)</f>
        <v>6.8750127318035599</v>
      </c>
      <c r="C164" s="2">
        <v>123456789</v>
      </c>
      <c r="D164" s="2">
        <v>123456789</v>
      </c>
    </row>
    <row r="165" spans="1:4" x14ac:dyDescent="0.45">
      <c r="A165" t="s">
        <v>298</v>
      </c>
      <c r="B165">
        <f>SUMPRODUCT(d3y_cre_to_gdp_all_ALL_ctry!B165:R165,uk_export_weight!B165:R165)/SUM(uk_export_weight!B165:R165)</f>
        <v>4.2480544353697267</v>
      </c>
      <c r="C165" s="2">
        <v>123456789</v>
      </c>
      <c r="D165" s="2">
        <v>123456789</v>
      </c>
    </row>
    <row r="166" spans="1:4" x14ac:dyDescent="0.45">
      <c r="A166" t="s">
        <v>299</v>
      </c>
      <c r="B166">
        <f>SUMPRODUCT(d3y_cre_to_gdp_all_ALL_ctry!B166:R166,uk_export_weight!B166:R166)/SUM(uk_export_weight!B166:R166)</f>
        <v>4.2185579458545126</v>
      </c>
      <c r="C166" s="2">
        <v>123456789</v>
      </c>
      <c r="D166" s="2">
        <v>123456789</v>
      </c>
    </row>
    <row r="167" spans="1:4" x14ac:dyDescent="0.45">
      <c r="A167" t="s">
        <v>300</v>
      </c>
      <c r="B167">
        <f>SUMPRODUCT(d3y_cre_to_gdp_all_ALL_ctry!B167:R167,uk_export_weight!B167:R167)/SUM(uk_export_weight!B167:R167)</f>
        <v>2.385389605656929</v>
      </c>
      <c r="C167" s="2">
        <v>123456789</v>
      </c>
      <c r="D167" s="2">
        <v>123456789</v>
      </c>
    </row>
    <row r="168" spans="1:4" x14ac:dyDescent="0.45">
      <c r="A168" t="s">
        <v>301</v>
      </c>
      <c r="B168">
        <f>SUMPRODUCT(d3y_cre_to_gdp_all_ALL_ctry!B168:R168,uk_export_weight!B168:R168)/SUM(uk_export_weight!B168:R168)</f>
        <v>2.063650098220033</v>
      </c>
      <c r="C168" s="2">
        <v>123456789</v>
      </c>
      <c r="D168" s="2">
        <v>123456789</v>
      </c>
    </row>
    <row r="169" spans="1:4" x14ac:dyDescent="0.45">
      <c r="A169" t="s">
        <v>302</v>
      </c>
      <c r="B169">
        <f>SUMPRODUCT(d3y_cre_to_gdp_all_ALL_ctry!B169:R169,uk_export_weight!B169:R169)/SUM(uk_export_weight!B169:R169)</f>
        <v>1.8270004093416277</v>
      </c>
      <c r="C169" s="2">
        <v>123456789</v>
      </c>
      <c r="D169" s="2">
        <v>123456789</v>
      </c>
    </row>
    <row r="170" spans="1:4" x14ac:dyDescent="0.45">
      <c r="A170" t="s">
        <v>303</v>
      </c>
      <c r="B170">
        <f>SUMPRODUCT(d3y_cre_to_gdp_all_ALL_ctry!B170:R170,uk_export_weight!B170:R170)/SUM(uk_export_weight!B170:R170)</f>
        <v>-2.0350420787901924</v>
      </c>
      <c r="C170" s="2">
        <v>123456789</v>
      </c>
      <c r="D170" s="2">
        <v>123456789</v>
      </c>
    </row>
    <row r="171" spans="1:4" x14ac:dyDescent="0.45">
      <c r="A171" t="s">
        <v>304</v>
      </c>
      <c r="B171">
        <f>SUMPRODUCT(d3y_cre_to_gdp_all_ALL_ctry!B171:R171,uk_export_weight!B171:R171)/SUM(uk_export_weight!B171:R171)</f>
        <v>-3.7158331292455311</v>
      </c>
      <c r="C171" s="2">
        <v>123456789</v>
      </c>
      <c r="D171" s="2">
        <v>123456789</v>
      </c>
    </row>
    <row r="172" spans="1:4" x14ac:dyDescent="0.45">
      <c r="A172" t="s">
        <v>305</v>
      </c>
      <c r="B172">
        <f>SUMPRODUCT(d3y_cre_to_gdp_all_ALL_ctry!B172:R172,uk_export_weight!B172:R172)/SUM(uk_export_weight!B172:R172)</f>
        <v>-4.5635599323287455</v>
      </c>
      <c r="C172" s="2">
        <v>123456789</v>
      </c>
      <c r="D172" s="2">
        <v>123456789</v>
      </c>
    </row>
    <row r="173" spans="1:4" x14ac:dyDescent="0.45">
      <c r="A173" t="s">
        <v>306</v>
      </c>
      <c r="B173">
        <f>SUMPRODUCT(d3y_cre_to_gdp_all_ALL_ctry!B173:R173,uk_export_weight!B173:R173)/SUM(uk_export_weight!B173:R173)</f>
        <v>-5.6304520236523654</v>
      </c>
      <c r="C173" s="2">
        <v>123456789</v>
      </c>
      <c r="D173" s="2">
        <v>123456789</v>
      </c>
    </row>
    <row r="174" spans="1:4" x14ac:dyDescent="0.45">
      <c r="A174" t="s">
        <v>307</v>
      </c>
      <c r="B174">
        <f>SUMPRODUCT(d3y_cre_to_gdp_all_ALL_ctry!B174:R174,uk_export_weight!B174:R174)/SUM(uk_export_weight!B174:R174)</f>
        <v>-0.37276148994492009</v>
      </c>
      <c r="C174" s="2">
        <v>123456789</v>
      </c>
      <c r="D174" s="2">
        <v>123456789</v>
      </c>
    </row>
    <row r="175" spans="1:4" x14ac:dyDescent="0.45">
      <c r="A175" t="s">
        <v>308</v>
      </c>
      <c r="B175">
        <f>SUMPRODUCT(d3y_cre_to_gdp_all_ALL_ctry!B175:R175,uk_export_weight!B175:R175)/SUM(uk_export_weight!B175:R175)</f>
        <v>-0.43346660740245774</v>
      </c>
      <c r="C175" s="2">
        <v>123456789</v>
      </c>
      <c r="D175" s="2">
        <v>123456789</v>
      </c>
    </row>
    <row r="176" spans="1:4" x14ac:dyDescent="0.45">
      <c r="A176" t="s">
        <v>309</v>
      </c>
      <c r="B176">
        <f>SUMPRODUCT(d3y_cre_to_gdp_all_ALL_ctry!B176:R176,uk_export_weight!B176:R176)/SUM(uk_export_weight!B176:R176)</f>
        <v>0.37153505224238448</v>
      </c>
      <c r="C176" s="2">
        <v>123456789</v>
      </c>
      <c r="D176" s="2">
        <v>123456789</v>
      </c>
    </row>
    <row r="177" spans="1:4" x14ac:dyDescent="0.45">
      <c r="A177" t="s">
        <v>310</v>
      </c>
      <c r="B177">
        <f>SUMPRODUCT(d3y_cre_to_gdp_all_ALL_ctry!B177:R177,uk_export_weight!B177:R177)/SUM(uk_export_weight!B177:R177)</f>
        <v>2.33135479266749</v>
      </c>
      <c r="C177" s="2">
        <v>123456789</v>
      </c>
      <c r="D177" s="2">
        <v>123456789</v>
      </c>
    </row>
    <row r="178" spans="1:4" x14ac:dyDescent="0.45">
      <c r="A178" t="s">
        <v>311</v>
      </c>
      <c r="B178">
        <f>SUMPRODUCT(d3y_cre_to_gdp_all_ALL_ctry!B178:R178,uk_export_weight!B178:R178)/SUM(uk_export_weight!B178:R178)</f>
        <v>0.22293631651895565</v>
      </c>
      <c r="C178" s="2">
        <v>123456789</v>
      </c>
      <c r="D178" s="2">
        <v>123456789</v>
      </c>
    </row>
    <row r="179" spans="1:4" x14ac:dyDescent="0.45">
      <c r="A179" t="s">
        <v>312</v>
      </c>
      <c r="B179">
        <f>SUMPRODUCT(d3y_cre_to_gdp_all_ALL_ctry!B179:R179,uk_export_weight!B179:R179)/SUM(uk_export_weight!B179:R179)</f>
        <v>0.95917594143670903</v>
      </c>
      <c r="C179" s="2">
        <v>123456789</v>
      </c>
      <c r="D179" s="2">
        <v>123456789</v>
      </c>
    </row>
    <row r="180" spans="1:4" x14ac:dyDescent="0.45">
      <c r="A180" t="s">
        <v>313</v>
      </c>
      <c r="B180">
        <f>SUMPRODUCT(d3y_cre_to_gdp_all_ALL_ctry!B180:R180,uk_export_weight!B180:R180)/SUM(uk_export_weight!B180:R180)</f>
        <v>-0.5648762721766184</v>
      </c>
      <c r="C180" s="2">
        <v>123456789</v>
      </c>
      <c r="D180" s="2">
        <v>123456789</v>
      </c>
    </row>
    <row r="181" spans="1:4" x14ac:dyDescent="0.45">
      <c r="A181" t="s">
        <v>314</v>
      </c>
      <c r="B181">
        <f>SUMPRODUCT(d3y_cre_to_gdp_all_ALL_ctry!B181:R181,uk_export_weight!B181:R181)/SUM(uk_export_weight!B181:R181)</f>
        <v>-1.3869019276277061</v>
      </c>
      <c r="C181" s="2">
        <v>123456789</v>
      </c>
      <c r="D181" s="2">
        <v>123456789</v>
      </c>
    </row>
    <row r="182" spans="1:4" x14ac:dyDescent="0.45">
      <c r="A182" t="s">
        <v>315</v>
      </c>
      <c r="B182">
        <f>SUMPRODUCT(d3y_cre_to_gdp_all_ALL_ctry!B182:R182,uk_export_weight!B182:R182)/SUM(uk_export_weight!B182:R182)</f>
        <v>-1.2468202382888451</v>
      </c>
      <c r="C182" s="2">
        <v>123456789</v>
      </c>
      <c r="D182" s="2">
        <v>123456789</v>
      </c>
    </row>
    <row r="183" spans="1:4" x14ac:dyDescent="0.45">
      <c r="A183" t="s">
        <v>316</v>
      </c>
      <c r="B183">
        <f>SUMPRODUCT(d3y_cre_to_gdp_all_ALL_ctry!B183:R183,uk_export_weight!B183:R183)/SUM(uk_export_weight!B183:R183)</f>
        <v>-1.5301687828607962</v>
      </c>
      <c r="C183" s="2">
        <v>123456789</v>
      </c>
      <c r="D183" s="2">
        <v>123456789</v>
      </c>
    </row>
    <row r="184" spans="1:4" x14ac:dyDescent="0.45">
      <c r="A184" t="s">
        <v>317</v>
      </c>
      <c r="B184">
        <f>SUMPRODUCT(d3y_cre_to_gdp_all_ALL_ctry!B184:R184,uk_export_weight!B184:R184)/SUM(uk_export_weight!B184:R184)</f>
        <v>-1.635228251744322</v>
      </c>
      <c r="C184" s="2">
        <v>123456789</v>
      </c>
      <c r="D184" s="2">
        <v>123456789</v>
      </c>
    </row>
    <row r="185" spans="1:4" x14ac:dyDescent="0.45">
      <c r="A185" t="s">
        <v>318</v>
      </c>
      <c r="B185">
        <f>SUMPRODUCT(d3y_cre_to_gdp_all_ALL_ctry!B185:R185,uk_export_weight!B185:R185)/SUM(uk_export_weight!B185:R185)</f>
        <v>-0.69258384110159499</v>
      </c>
      <c r="C185" s="2">
        <v>123456789</v>
      </c>
      <c r="D185" s="2">
        <v>123456789</v>
      </c>
    </row>
    <row r="186" spans="1:4" x14ac:dyDescent="0.45">
      <c r="A186" t="s">
        <v>319</v>
      </c>
      <c r="B186">
        <f>SUMPRODUCT(d3y_cre_to_gdp_all_ALL_ctry!B186:R186,uk_export_weight!B186:R186)/SUM(uk_export_weight!B186:R186)</f>
        <v>-0.56897612910497553</v>
      </c>
      <c r="C186" s="2">
        <v>123456789</v>
      </c>
      <c r="D186" s="2">
        <v>123456789</v>
      </c>
    </row>
    <row r="187" spans="1:4" x14ac:dyDescent="0.45">
      <c r="A187" t="s">
        <v>320</v>
      </c>
      <c r="B187">
        <f>SUMPRODUCT(d3y_cre_to_gdp_all_ALL_ctry!B187:R187,uk_export_weight!B187:R187)/SUM(uk_export_weight!B187:R187)</f>
        <v>0.21315488801195451</v>
      </c>
      <c r="C187" s="2">
        <v>123456789</v>
      </c>
      <c r="D187" s="2">
        <v>123456789</v>
      </c>
    </row>
    <row r="188" spans="1:4" x14ac:dyDescent="0.45">
      <c r="A188" t="s">
        <v>321</v>
      </c>
      <c r="B188">
        <f>SUMPRODUCT(d3y_cre_to_gdp_all_ALL_ctry!B188:R188,uk_export_weight!B188:R188)/SUM(uk_export_weight!B188:R188)</f>
        <v>1.0965545822509397</v>
      </c>
      <c r="C188" s="2">
        <v>123456789</v>
      </c>
      <c r="D188" s="2">
        <v>123456789</v>
      </c>
    </row>
    <row r="189" spans="1:4" x14ac:dyDescent="0.45">
      <c r="A189" t="s">
        <v>322</v>
      </c>
      <c r="B189">
        <f>SUMPRODUCT(d3y_cre_to_gdp_all_ALL_ctry!B189:R189,uk_export_weight!B189:R189)/SUM(uk_export_weight!B189:R189)</f>
        <v>1.1100191952438543</v>
      </c>
      <c r="C189" s="2">
        <v>123456789</v>
      </c>
      <c r="D189" s="2">
        <v>123456789</v>
      </c>
    </row>
    <row r="190" spans="1:4" x14ac:dyDescent="0.45">
      <c r="A190" t="s">
        <v>323</v>
      </c>
      <c r="B190">
        <f>SUMPRODUCT(d3y_cre_to_gdp_all_ALL_ctry!B190:R190,uk_export_weight!B190:R190)/SUM(uk_export_weight!B190:R190)</f>
        <v>1.9008212541369065</v>
      </c>
      <c r="C190" s="2">
        <v>123456789</v>
      </c>
      <c r="D190" s="2">
        <v>123456789</v>
      </c>
    </row>
    <row r="191" spans="1:4" x14ac:dyDescent="0.45">
      <c r="A191" t="s">
        <v>324</v>
      </c>
      <c r="B191">
        <f>SUMPRODUCT(d3y_cre_to_gdp_all_ALL_ctry!B191:R191,uk_export_weight!B191:R191)/SUM(uk_export_weight!B191:R191)</f>
        <v>2.0064202172828525</v>
      </c>
      <c r="C191" s="2">
        <v>123456789</v>
      </c>
      <c r="D191" s="2">
        <v>123456789</v>
      </c>
    </row>
    <row r="192" spans="1:4" x14ac:dyDescent="0.45">
      <c r="A192" t="s">
        <v>325</v>
      </c>
      <c r="B192">
        <f>SUMPRODUCT(d3y_cre_to_gdp_all_ALL_ctry!B192:R192,uk_export_weight!B192:R192)/SUM(uk_export_weight!B192:R192)</f>
        <v>2.3477251883345032</v>
      </c>
      <c r="C192" s="2">
        <v>123456789</v>
      </c>
      <c r="D192" s="2">
        <v>123456789</v>
      </c>
    </row>
    <row r="193" spans="1:4" x14ac:dyDescent="0.45">
      <c r="A193" t="s">
        <v>326</v>
      </c>
      <c r="B193">
        <f>SUMPRODUCT(d3y_cre_to_gdp_all_ALL_ctry!B193:R193,uk_export_weight!B193:R193)/SUM(uk_export_weight!B193:R193)</f>
        <v>3.783916089425539</v>
      </c>
      <c r="C193" s="2">
        <v>123456789</v>
      </c>
      <c r="D193" s="2">
        <v>123456789</v>
      </c>
    </row>
    <row r="194" spans="1:4" x14ac:dyDescent="0.45">
      <c r="A194" t="s">
        <v>327</v>
      </c>
      <c r="B194">
        <f>SUMPRODUCT(d3y_cre_to_gdp_all_ALL_ctry!B194:R194,uk_export_weight!B194:R194)/SUM(uk_export_weight!B194:R194)</f>
        <v>3.897406022781837</v>
      </c>
      <c r="C194" s="2">
        <v>123456789</v>
      </c>
      <c r="D194" s="2">
        <v>123456789</v>
      </c>
    </row>
    <row r="195" spans="1:4" x14ac:dyDescent="0.45">
      <c r="A195" t="s">
        <v>328</v>
      </c>
      <c r="B195">
        <f>SUMPRODUCT(d3y_cre_to_gdp_all_ALL_ctry!B195:R195,uk_export_weight!B195:R195)/SUM(uk_export_weight!B195:R195)</f>
        <v>3.8495568366868662</v>
      </c>
      <c r="C195" s="2">
        <v>123456789</v>
      </c>
      <c r="D195" s="2">
        <v>123456789</v>
      </c>
    </row>
    <row r="196" spans="1:4" x14ac:dyDescent="0.45">
      <c r="A196" t="s">
        <v>329</v>
      </c>
      <c r="B196">
        <f>SUMPRODUCT(d3y_cre_to_gdp_all_ALL_ctry!B196:R196,uk_export_weight!B196:R196)/SUM(uk_export_weight!B196:R196)</f>
        <v>3.2791204957468887</v>
      </c>
      <c r="C196" s="2">
        <v>123456789</v>
      </c>
      <c r="D196" s="2">
        <v>123456789</v>
      </c>
    </row>
    <row r="197" spans="1:4" x14ac:dyDescent="0.45">
      <c r="A197" t="s">
        <v>330</v>
      </c>
      <c r="B197">
        <f>SUMPRODUCT(d3y_cre_to_gdp_all_ALL_ctry!B197:R197,uk_export_weight!B197:R197)/SUM(uk_export_weight!B197:R197)</f>
        <v>2.3474117136858554</v>
      </c>
      <c r="C197" s="2">
        <v>123456789</v>
      </c>
      <c r="D197" s="2">
        <v>123456789</v>
      </c>
    </row>
    <row r="198" spans="1:4" x14ac:dyDescent="0.45">
      <c r="A198" t="s">
        <v>331</v>
      </c>
      <c r="B198">
        <f>SUMPRODUCT(d3y_cre_to_gdp_all_ALL_ctry!B198:R198,uk_export_weight!B198:R198)/SUM(uk_export_weight!B198:R198)</f>
        <v>2.8259608583335729</v>
      </c>
      <c r="C198" s="2">
        <v>123456789</v>
      </c>
      <c r="D198" s="2">
        <v>123456789</v>
      </c>
    </row>
    <row r="199" spans="1:4" x14ac:dyDescent="0.45">
      <c r="A199" t="s">
        <v>332</v>
      </c>
      <c r="B199">
        <f>SUMPRODUCT(d3y_cre_to_gdp_all_ALL_ctry!B199:R199,uk_export_weight!B199:R199)/SUM(uk_export_weight!B199:R199)</f>
        <v>3.2264073029874889</v>
      </c>
      <c r="C199" s="2">
        <v>123456789</v>
      </c>
      <c r="D199" s="2">
        <v>123456789</v>
      </c>
    </row>
    <row r="200" spans="1:4" x14ac:dyDescent="0.45">
      <c r="A200" t="s">
        <v>333</v>
      </c>
      <c r="B200">
        <f>SUMPRODUCT(d3y_cre_to_gdp_all_ALL_ctry!B200:R200,uk_export_weight!B200:R200)/SUM(uk_export_weight!B200:R200)</f>
        <v>3.6979608604945939</v>
      </c>
      <c r="C200" s="2">
        <v>123456789</v>
      </c>
      <c r="D200" s="2">
        <v>123456789</v>
      </c>
    </row>
    <row r="201" spans="1:4" x14ac:dyDescent="0.45">
      <c r="A201" t="s">
        <v>334</v>
      </c>
      <c r="B201">
        <f>SUMPRODUCT(d3y_cre_to_gdp_all_ALL_ctry!B201:R201,uk_export_weight!B201:R201)/SUM(uk_export_weight!B201:R201)</f>
        <v>4.3733019024818649</v>
      </c>
      <c r="C201" s="2">
        <v>123456789</v>
      </c>
      <c r="D201" s="2">
        <v>123456789</v>
      </c>
    </row>
    <row r="202" spans="1:4" x14ac:dyDescent="0.45">
      <c r="A202" t="s">
        <v>335</v>
      </c>
      <c r="B202">
        <f>SUMPRODUCT(d3y_cre_to_gdp_all_ALL_ctry!B202:R202,uk_export_weight!B202:R202)/SUM(uk_export_weight!B202:R202)</f>
        <v>6.0972067757569404</v>
      </c>
      <c r="C202" s="2">
        <v>123456789</v>
      </c>
      <c r="D202" s="2">
        <v>123456789</v>
      </c>
    </row>
    <row r="203" spans="1:4" x14ac:dyDescent="0.45">
      <c r="A203" t="s">
        <v>336</v>
      </c>
      <c r="B203">
        <f>SUMPRODUCT(d3y_cre_to_gdp_all_ALL_ctry!B203:R203,uk_export_weight!B203:R203)/SUM(uk_export_weight!B203:R203)</f>
        <v>13.33105640975684</v>
      </c>
      <c r="C203" s="2">
        <v>123456789</v>
      </c>
      <c r="D203" s="2">
        <v>123456789</v>
      </c>
    </row>
    <row r="204" spans="1:4" x14ac:dyDescent="0.45">
      <c r="A204" t="s">
        <v>337</v>
      </c>
      <c r="B204">
        <f>SUMPRODUCT(d3y_cre_to_gdp_all_ALL_ctry!B204:R204,uk_export_weight!B204:R204)/SUM(uk_export_weight!B204:R204)</f>
        <v>16.438060108749916</v>
      </c>
      <c r="C204" s="2">
        <v>123456789</v>
      </c>
      <c r="D204" s="2">
        <v>123456789</v>
      </c>
    </row>
    <row r="205" spans="1:4" x14ac:dyDescent="0.45">
      <c r="A205" t="s">
        <v>338</v>
      </c>
      <c r="B205">
        <f>SUMPRODUCT(d3y_cre_to_gdp_all_ALL_ctry!B205:R205,uk_export_weight!B205:R205)/SUM(uk_export_weight!B205:R205)</f>
        <v>17.586345565302171</v>
      </c>
      <c r="C205" s="2">
        <v>123456789</v>
      </c>
      <c r="D205" s="2">
        <v>123456789</v>
      </c>
    </row>
    <row r="206" spans="1:4" x14ac:dyDescent="0.45">
      <c r="A206" t="s">
        <v>339</v>
      </c>
      <c r="B206">
        <f>SUMPRODUCT(d3y_cre_to_gdp_all_ALL_ctry!B206:R206,uk_export_weight!B206:R206)/SUM(uk_export_weight!B206:R206)</f>
        <v>19.158189689546106</v>
      </c>
      <c r="C206" s="2">
        <v>123456789</v>
      </c>
      <c r="D206" s="2">
        <v>123456789</v>
      </c>
    </row>
    <row r="207" spans="1:4" x14ac:dyDescent="0.45">
      <c r="A207" t="s">
        <v>340</v>
      </c>
      <c r="B207">
        <f>SUMPRODUCT(d3y_cre_to_gdp_all_ALL_ctry!B207:R207,uk_export_weight!B207:R207)/SUM(uk_export_weight!B207:R207)</f>
        <v>15.659958889291126</v>
      </c>
      <c r="C207" s="2">
        <v>123456789</v>
      </c>
      <c r="D207" s="2">
        <v>123456789</v>
      </c>
    </row>
    <row r="208" spans="1:4" x14ac:dyDescent="0.45">
      <c r="A208" t="s">
        <v>341</v>
      </c>
      <c r="B208">
        <f>SUMPRODUCT(d3y_cre_to_gdp_all_ALL_ctry!B208:R208,uk_export_weight!B208:R208)/SUM(uk_export_weight!B208:R208)</f>
        <v>14.139708945974618</v>
      </c>
      <c r="C208" s="2">
        <v>123456789</v>
      </c>
      <c r="D208" s="2">
        <v>123456789</v>
      </c>
    </row>
    <row r="209" spans="1:4" x14ac:dyDescent="0.45">
      <c r="A209" t="s">
        <v>342</v>
      </c>
      <c r="B209">
        <f>SUMPRODUCT(d3y_cre_to_gdp_all_ALL_ctry!B209:R209,uk_export_weight!B209:R209)/SUM(uk_export_weight!B209:R209)</f>
        <v>13.070948651123675</v>
      </c>
      <c r="C209" s="2">
        <v>123456789</v>
      </c>
      <c r="D209" s="2">
        <v>123456789</v>
      </c>
    </row>
    <row r="210" spans="1:4" x14ac:dyDescent="0.45">
      <c r="A210" t="s">
        <v>343</v>
      </c>
      <c r="B210">
        <f>SUMPRODUCT(d3y_cre_to_gdp_all_ALL_ctry!B210:R210,uk_export_weight!B210:R210)/SUM(uk_export_weight!B210:R210)</f>
        <v>10.645031730580939</v>
      </c>
      <c r="C210" s="2">
        <v>123456789</v>
      </c>
      <c r="D210" s="2">
        <v>123456789</v>
      </c>
    </row>
    <row r="211" spans="1:4" x14ac:dyDescent="0.45">
      <c r="A211" t="s">
        <v>344</v>
      </c>
      <c r="B211">
        <f>SUMPRODUCT(d3y_cre_to_gdp_all_ALL_ctry!B211:R211,uk_export_weight!B211:R211)/SUM(uk_export_weight!B211:R211)</f>
        <v>8.1592140025940125</v>
      </c>
      <c r="C211" s="2">
        <v>123456789</v>
      </c>
      <c r="D211" s="2">
        <v>123456789</v>
      </c>
    </row>
    <row r="212" spans="1:4" x14ac:dyDescent="0.45">
      <c r="A212" t="s">
        <v>345</v>
      </c>
      <c r="B212">
        <f>SUMPRODUCT(d3y_cre_to_gdp_all_ALL_ctry!B212:R212,uk_export_weight!B212:R212)/SUM(uk_export_weight!B212:R212)</f>
        <v>6.1153955874436017</v>
      </c>
      <c r="C212" s="2">
        <v>123456789</v>
      </c>
      <c r="D212" s="2">
        <v>123456789</v>
      </c>
    </row>
    <row r="213" spans="1:4" x14ac:dyDescent="0.45">
      <c r="A213" t="s">
        <v>346</v>
      </c>
      <c r="B213">
        <f>SUMPRODUCT(d3y_cre_to_gdp_all_ALL_ctry!B213:R213,uk_export_weight!B213:R213)/SUM(uk_export_weight!B213:R213)</f>
        <v>3.3271387913485078</v>
      </c>
      <c r="C213" s="2">
        <v>123456789</v>
      </c>
      <c r="D213" s="2">
        <v>123456789</v>
      </c>
    </row>
    <row r="214" spans="1:4" x14ac:dyDescent="0.45">
      <c r="A214" t="s">
        <v>347</v>
      </c>
      <c r="B214">
        <f>SUMPRODUCT(d3y_cre_to_gdp_all_ALL_ctry!B214:R214,uk_export_weight!B214:R214)/SUM(uk_export_weight!B214:R214)</f>
        <v>-1.5079035677509691</v>
      </c>
      <c r="C214" s="2">
        <v>123456789</v>
      </c>
      <c r="D214" s="2">
        <v>123456789</v>
      </c>
    </row>
    <row r="215" spans="1:4" x14ac:dyDescent="0.45">
      <c r="A215" t="s">
        <v>348</v>
      </c>
      <c r="B215">
        <f>SUMPRODUCT(d3y_cre_to_gdp_all_ALL_ctry!B215:R215,uk_export_weight!B215:R215)/SUM(uk_export_weight!B215:R215)</f>
        <v>-10.835074552593623</v>
      </c>
      <c r="C215" s="2">
        <v>123456789</v>
      </c>
      <c r="D215" s="2">
        <v>123456789</v>
      </c>
    </row>
    <row r="216" spans="1:4" x14ac:dyDescent="0.45">
      <c r="A216" t="s">
        <v>349</v>
      </c>
      <c r="B216">
        <f>SUMPRODUCT(d3y_cre_to_gdp_all_ALL_ctry!B216:R216,uk_export_weight!B216:R216)/SUM(uk_export_weight!B216:R216)</f>
        <v>-15.481115853195204</v>
      </c>
      <c r="C216" s="2">
        <v>123456789</v>
      </c>
      <c r="D216" s="2">
        <v>123456789</v>
      </c>
    </row>
    <row r="217" spans="1:4" x14ac:dyDescent="0.45">
      <c r="A217" t="s">
        <v>350</v>
      </c>
      <c r="B217">
        <f>SUMPRODUCT(d3y_cre_to_gdp_all_ALL_ctry!B217:R217,uk_export_weight!B217:R217)/SUM(uk_export_weight!B217:R217)</f>
        <v>-19.068336479957722</v>
      </c>
      <c r="C217" s="2">
        <v>123456789</v>
      </c>
      <c r="D217" s="2">
        <v>123456789</v>
      </c>
    </row>
    <row r="218" spans="1:4" x14ac:dyDescent="0.45">
      <c r="A218" t="s">
        <v>351</v>
      </c>
      <c r="B218">
        <f>SUMPRODUCT(d3y_cre_to_gdp_all_ALL_ctry!B218:R218,uk_export_weight!B218:R218)/SUM(uk_export_weight!B218:R218)</f>
        <v>-21.169022157825072</v>
      </c>
      <c r="C218" s="2">
        <v>123456789</v>
      </c>
      <c r="D218" s="2">
        <v>123456789</v>
      </c>
    </row>
    <row r="219" spans="1:4" x14ac:dyDescent="0.45">
      <c r="A219" t="s">
        <v>352</v>
      </c>
      <c r="B219">
        <f>SUMPRODUCT(d3y_cre_to_gdp_all_ALL_ctry!B219:R219,uk_export_weight!B219:R219)/SUM(uk_export_weight!B219:R219)</f>
        <v>-17.545021756125369</v>
      </c>
      <c r="C219" s="2">
        <v>123456789</v>
      </c>
      <c r="D219" s="2">
        <v>123456789</v>
      </c>
    </row>
    <row r="220" spans="1:4" x14ac:dyDescent="0.45">
      <c r="A220" t="s">
        <v>353</v>
      </c>
      <c r="B220">
        <f>SUMPRODUCT(d3y_cre_to_gdp_all_ALL_ctry!B220:R220,uk_export_weight!B220:R220)/SUM(uk_export_weight!B220:R220)</f>
        <v>-16.337816130004988</v>
      </c>
      <c r="C220" s="2">
        <v>123456789</v>
      </c>
      <c r="D220" s="2">
        <v>123456789</v>
      </c>
    </row>
    <row r="221" spans="1:4" x14ac:dyDescent="0.45">
      <c r="A221" t="s">
        <v>354</v>
      </c>
      <c r="B221">
        <f>SUMPRODUCT(d3y_cre_to_gdp_all_ALL_ctry!B221:R221,uk_export_weight!B221:R221)/SUM(uk_export_weight!B221:R221)</f>
        <v>-15.974468665057588</v>
      </c>
      <c r="C221" s="2">
        <v>123456789</v>
      </c>
      <c r="D221" s="2">
        <v>123456789</v>
      </c>
    </row>
    <row r="222" spans="1:4" x14ac:dyDescent="0.45">
      <c r="A222" t="s">
        <v>355</v>
      </c>
      <c r="B222">
        <f>SUMPRODUCT(d3y_cre_to_gdp_all_ALL_ctry!B222:R222,uk_export_weight!B222:R222)/SUM(uk_export_weight!B222:R222)</f>
        <v>-14.847793262228821</v>
      </c>
      <c r="C222" s="2">
        <v>123456789</v>
      </c>
      <c r="D222" s="2">
        <v>123456789</v>
      </c>
    </row>
    <row r="223" spans="1:4" x14ac:dyDescent="0.45">
      <c r="A223" s="40" t="s">
        <v>356</v>
      </c>
      <c r="B223">
        <f>SUMPRODUCT(d3y_cre_to_gdp_all_ALL_ctry!B223:R223,uk_export_weight!B223:R223)/SUM(uk_export_weight!B223:R223)</f>
        <v>-14.271432419903654</v>
      </c>
      <c r="C223" s="2">
        <v>123456789</v>
      </c>
      <c r="D223" s="2">
        <v>123456789</v>
      </c>
    </row>
    <row r="224" spans="1:4" x14ac:dyDescent="0.45">
      <c r="A224" s="4" t="s">
        <v>357</v>
      </c>
      <c r="B224">
        <f>SUMPRODUCT(d3y_cre_to_gdp_all_ALL_ctry!B224:R224,uk_export_weight!B224:R224)/SUM(uk_export_weight!B224:R224)</f>
        <v>-13.627379621499028</v>
      </c>
      <c r="C224" s="2">
        <v>123456789</v>
      </c>
      <c r="D224" s="2">
        <v>123456789</v>
      </c>
    </row>
    <row r="225" spans="1:4" x14ac:dyDescent="0.45">
      <c r="A225" s="4" t="s">
        <v>438</v>
      </c>
      <c r="B225">
        <f>SUMPRODUCT(d3y_cre_to_gdp_all_ALL_ctry!B225:R225,uk_export_weight!B225:R225)/SUM(uk_export_weight!B225:R225)</f>
        <v>-11.590124294957763</v>
      </c>
      <c r="C225" s="2">
        <v>123456789</v>
      </c>
      <c r="D225" s="2">
        <v>123456789</v>
      </c>
    </row>
    <row r="226" spans="1:4" x14ac:dyDescent="0.45">
      <c r="A226" s="4" t="s">
        <v>441</v>
      </c>
      <c r="B226">
        <v>-11.5901</v>
      </c>
      <c r="C226" s="2">
        <v>123456789</v>
      </c>
      <c r="D226" s="2">
        <v>123456789</v>
      </c>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315F-FEDE-4DA2-920D-93244C84C56D}">
  <sheetPr>
    <tabColor theme="9" tint="0.79998168889431442"/>
  </sheetPr>
  <dimension ref="A1:D226"/>
  <sheetViews>
    <sheetView tabSelected="1" workbookViewId="0">
      <selection activeCell="C229" sqref="A226:C229"/>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f>SUMPRODUCT(credit_to_gdp_ALL_ctry!B14:R14,uk_export_weight!B14:R14)/SUM(uk_export_weight!B14:R14)</f>
        <v>98.407926555532299</v>
      </c>
      <c r="C14" s="2">
        <v>123456789</v>
      </c>
      <c r="D14" s="2">
        <v>123456789</v>
      </c>
    </row>
    <row r="15" spans="1:4" x14ac:dyDescent="0.45">
      <c r="A15" t="s">
        <v>148</v>
      </c>
      <c r="B15">
        <f>SUMPRODUCT(credit_to_gdp_ALL_ctry!B15:R15,uk_export_weight!B15:R15)/SUM(uk_export_weight!B15:R15)</f>
        <v>99.090242570257104</v>
      </c>
      <c r="C15" s="2">
        <v>123456789</v>
      </c>
      <c r="D15" s="2">
        <v>123456789</v>
      </c>
    </row>
    <row r="16" spans="1:4" x14ac:dyDescent="0.45">
      <c r="A16" t="s">
        <v>149</v>
      </c>
      <c r="B16">
        <f>SUMPRODUCT(credit_to_gdp_ALL_ctry!B16:R16,uk_export_weight!B16:R16)/SUM(uk_export_weight!B16:R16)</f>
        <v>99.099900487834077</v>
      </c>
      <c r="C16" s="2">
        <v>123456789</v>
      </c>
      <c r="D16" s="2">
        <v>123456789</v>
      </c>
    </row>
    <row r="17" spans="1:4" x14ac:dyDescent="0.45">
      <c r="A17" t="s">
        <v>150</v>
      </c>
      <c r="B17">
        <f>SUMPRODUCT(credit_to_gdp_ALL_ctry!B17:R17,uk_export_weight!B17:R17)/SUM(uk_export_weight!B17:R17)</f>
        <v>99.513726693203253</v>
      </c>
      <c r="C17" s="2">
        <v>123456789</v>
      </c>
      <c r="D17" s="2">
        <v>123456789</v>
      </c>
    </row>
    <row r="18" spans="1:4" x14ac:dyDescent="0.45">
      <c r="A18" t="s">
        <v>151</v>
      </c>
      <c r="B18">
        <f>SUMPRODUCT(credit_to_gdp_ALL_ctry!B18:R18,uk_export_weight!B18:R18)/SUM(uk_export_weight!B18:R18)</f>
        <v>98.922894526653366</v>
      </c>
      <c r="C18" s="2">
        <v>123456789</v>
      </c>
      <c r="D18" s="2">
        <v>123456789</v>
      </c>
    </row>
    <row r="19" spans="1:4" x14ac:dyDescent="0.45">
      <c r="A19" t="s">
        <v>152</v>
      </c>
      <c r="B19">
        <f>SUMPRODUCT(credit_to_gdp_ALL_ctry!B19:R19,uk_export_weight!B19:R19)/SUM(uk_export_weight!B19:R19)</f>
        <v>99.406704956314414</v>
      </c>
      <c r="C19" s="2">
        <v>123456789</v>
      </c>
      <c r="D19" s="2">
        <v>123456789</v>
      </c>
    </row>
    <row r="20" spans="1:4" x14ac:dyDescent="0.45">
      <c r="A20" t="s">
        <v>153</v>
      </c>
      <c r="B20">
        <f>SUMPRODUCT(credit_to_gdp_ALL_ctry!B20:R20,uk_export_weight!B20:R20)/SUM(uk_export_weight!B20:R20)</f>
        <v>99.216342606988462</v>
      </c>
      <c r="C20" s="2">
        <v>123456789</v>
      </c>
      <c r="D20" s="2">
        <v>123456789</v>
      </c>
    </row>
    <row r="21" spans="1:4" x14ac:dyDescent="0.45">
      <c r="A21" t="s">
        <v>154</v>
      </c>
      <c r="B21">
        <f>SUMPRODUCT(credit_to_gdp_ALL_ctry!B21:R21,uk_export_weight!B21:R21)/SUM(uk_export_weight!B21:R21)</f>
        <v>97.88394273624651</v>
      </c>
      <c r="C21" s="2">
        <v>123456789</v>
      </c>
      <c r="D21" s="2">
        <v>123456789</v>
      </c>
    </row>
    <row r="22" spans="1:4" x14ac:dyDescent="0.45">
      <c r="A22" t="s">
        <v>155</v>
      </c>
      <c r="B22">
        <f>SUMPRODUCT(credit_to_gdp_ALL_ctry!B22:R22,uk_export_weight!B22:R22)/SUM(uk_export_weight!B22:R22)</f>
        <v>97.585256475830036</v>
      </c>
      <c r="C22" s="2">
        <v>123456789</v>
      </c>
      <c r="D22" s="2">
        <v>123456789</v>
      </c>
    </row>
    <row r="23" spans="1:4" x14ac:dyDescent="0.45">
      <c r="A23" t="s">
        <v>156</v>
      </c>
      <c r="B23">
        <f>SUMPRODUCT(credit_to_gdp_ALL_ctry!B23:R23,uk_export_weight!B23:R23)/SUM(uk_export_weight!B23:R23)</f>
        <v>97.829918391470898</v>
      </c>
      <c r="C23" s="2">
        <v>123456789</v>
      </c>
      <c r="D23" s="2">
        <v>123456789</v>
      </c>
    </row>
    <row r="24" spans="1:4" x14ac:dyDescent="0.45">
      <c r="A24" t="s">
        <v>157</v>
      </c>
      <c r="B24">
        <f>SUMPRODUCT(credit_to_gdp_ALL_ctry!B24:R24,uk_export_weight!B24:R24)/SUM(uk_export_weight!B24:R24)</f>
        <v>97.588939089121524</v>
      </c>
      <c r="C24" s="2">
        <v>123456789</v>
      </c>
      <c r="D24" s="2">
        <v>123456789</v>
      </c>
    </row>
    <row r="25" spans="1:4" x14ac:dyDescent="0.45">
      <c r="A25" t="s">
        <v>158</v>
      </c>
      <c r="B25">
        <f>SUMPRODUCT(credit_to_gdp_ALL_ctry!B25:R25,uk_export_weight!B25:R25)/SUM(uk_export_weight!B25:R25)</f>
        <v>99.005247155635885</v>
      </c>
      <c r="C25" s="2">
        <v>123456789</v>
      </c>
      <c r="D25" s="2">
        <v>123456789</v>
      </c>
    </row>
    <row r="26" spans="1:4" x14ac:dyDescent="0.45">
      <c r="A26" t="s">
        <v>159</v>
      </c>
      <c r="B26">
        <f>SUMPRODUCT(credit_to_gdp_ALL_ctry!B26:R26,uk_export_weight!B26:R26)/SUM(uk_export_weight!B26:R26)</f>
        <v>97.23673290253096</v>
      </c>
      <c r="C26" s="2">
        <v>123456789</v>
      </c>
      <c r="D26" s="2">
        <v>123456789</v>
      </c>
    </row>
    <row r="27" spans="1:4" x14ac:dyDescent="0.45">
      <c r="A27" t="s">
        <v>160</v>
      </c>
      <c r="B27">
        <f>SUMPRODUCT(credit_to_gdp_ALL_ctry!B27:R27,uk_export_weight!B27:R27)/SUM(uk_export_weight!B27:R27)</f>
        <v>97.223376952073252</v>
      </c>
      <c r="C27" s="2">
        <v>123456789</v>
      </c>
      <c r="D27" s="2">
        <v>123456789</v>
      </c>
    </row>
    <row r="28" spans="1:4" x14ac:dyDescent="0.45">
      <c r="A28" t="s">
        <v>161</v>
      </c>
      <c r="B28">
        <f>SUMPRODUCT(credit_to_gdp_ALL_ctry!B28:R28,uk_export_weight!B28:R28)/SUM(uk_export_weight!B28:R28)</f>
        <v>96.93169251480883</v>
      </c>
      <c r="C28" s="2">
        <v>123456789</v>
      </c>
      <c r="D28" s="2">
        <v>123456789</v>
      </c>
    </row>
    <row r="29" spans="1:4" x14ac:dyDescent="0.45">
      <c r="A29" t="s">
        <v>162</v>
      </c>
      <c r="B29">
        <f>SUMPRODUCT(credit_to_gdp_ALL_ctry!B29:R29,uk_export_weight!B29:R29)/SUM(uk_export_weight!B29:R29)</f>
        <v>97.43539741518579</v>
      </c>
      <c r="C29" s="2">
        <v>123456789</v>
      </c>
      <c r="D29" s="2">
        <v>123456789</v>
      </c>
    </row>
    <row r="30" spans="1:4" x14ac:dyDescent="0.45">
      <c r="A30" t="s">
        <v>163</v>
      </c>
      <c r="B30">
        <f>SUMPRODUCT(credit_to_gdp_ALL_ctry!B30:R30,uk_export_weight!B30:R30)/SUM(uk_export_weight!B30:R30)</f>
        <v>97.018027353337217</v>
      </c>
      <c r="C30" s="2">
        <v>123456789</v>
      </c>
      <c r="D30" s="2">
        <v>123456789</v>
      </c>
    </row>
    <row r="31" spans="1:4" x14ac:dyDescent="0.45">
      <c r="A31" t="s">
        <v>164</v>
      </c>
      <c r="B31">
        <f>SUMPRODUCT(credit_to_gdp_ALL_ctry!B31:R31,uk_export_weight!B31:R31)/SUM(uk_export_weight!B31:R31)</f>
        <v>97.665850659965699</v>
      </c>
      <c r="C31" s="2">
        <v>123456789</v>
      </c>
      <c r="D31" s="2">
        <v>123456789</v>
      </c>
    </row>
    <row r="32" spans="1:4" x14ac:dyDescent="0.45">
      <c r="A32" t="s">
        <v>165</v>
      </c>
      <c r="B32">
        <f>SUMPRODUCT(credit_to_gdp_ALL_ctry!B32:R32,uk_export_weight!B32:R32)/SUM(uk_export_weight!B32:R32)</f>
        <v>97.737490824427965</v>
      </c>
      <c r="C32" s="2">
        <v>123456789</v>
      </c>
      <c r="D32" s="2">
        <v>123456789</v>
      </c>
    </row>
    <row r="33" spans="1:4" x14ac:dyDescent="0.45">
      <c r="A33" t="s">
        <v>166</v>
      </c>
      <c r="B33">
        <f>SUMPRODUCT(credit_to_gdp_ALL_ctry!B33:R33,uk_export_weight!B33:R33)/SUM(uk_export_weight!B33:R33)</f>
        <v>99.102531332045388</v>
      </c>
      <c r="C33" s="2">
        <v>123456789</v>
      </c>
      <c r="D33" s="2">
        <v>123456789</v>
      </c>
    </row>
    <row r="34" spans="1:4" x14ac:dyDescent="0.45">
      <c r="A34" t="s">
        <v>167</v>
      </c>
      <c r="B34">
        <f>SUMPRODUCT(credit_to_gdp_ALL_ctry!B34:R34,uk_export_weight!B34:R34)/SUM(uk_export_weight!B34:R34)</f>
        <v>98.826918995127471</v>
      </c>
      <c r="C34" s="2">
        <v>123456789</v>
      </c>
      <c r="D34" s="2">
        <v>123456789</v>
      </c>
    </row>
    <row r="35" spans="1:4" x14ac:dyDescent="0.45">
      <c r="A35" t="s">
        <v>168</v>
      </c>
      <c r="B35">
        <f>SUMPRODUCT(credit_to_gdp_ALL_ctry!B35:R35,uk_export_weight!B35:R35)/SUM(uk_export_weight!B35:R35)</f>
        <v>98.876970896499373</v>
      </c>
      <c r="C35" s="2">
        <v>123456789</v>
      </c>
      <c r="D35" s="2">
        <v>123456789</v>
      </c>
    </row>
    <row r="36" spans="1:4" x14ac:dyDescent="0.45">
      <c r="A36" t="s">
        <v>169</v>
      </c>
      <c r="B36">
        <f>SUMPRODUCT(credit_to_gdp_ALL_ctry!B36:R36,uk_export_weight!B36:R36)/SUM(uk_export_weight!B36:R36)</f>
        <v>98.221904315560352</v>
      </c>
      <c r="C36" s="2">
        <v>123456789</v>
      </c>
      <c r="D36" s="2">
        <v>123456789</v>
      </c>
    </row>
    <row r="37" spans="1:4" x14ac:dyDescent="0.45">
      <c r="A37" t="s">
        <v>170</v>
      </c>
      <c r="B37">
        <f>SUMPRODUCT(credit_to_gdp_ALL_ctry!B37:R37,uk_export_weight!B37:R37)/SUM(uk_export_weight!B37:R37)</f>
        <v>99.411800590281274</v>
      </c>
      <c r="C37" s="2">
        <v>123456789</v>
      </c>
      <c r="D37" s="2">
        <v>123456789</v>
      </c>
    </row>
    <row r="38" spans="1:4" x14ac:dyDescent="0.45">
      <c r="A38" t="s">
        <v>171</v>
      </c>
      <c r="B38">
        <f>SUMPRODUCT(credit_to_gdp_ALL_ctry!B38:R38,uk_export_weight!B38:R38)/SUM(uk_export_weight!B38:R38)</f>
        <v>98.754219624199308</v>
      </c>
      <c r="C38" s="2">
        <v>123456789</v>
      </c>
      <c r="D38" s="2">
        <v>123456789</v>
      </c>
    </row>
    <row r="39" spans="1:4" x14ac:dyDescent="0.45">
      <c r="A39" t="s">
        <v>172</v>
      </c>
      <c r="B39">
        <f>SUMPRODUCT(credit_to_gdp_ALL_ctry!B39:R39,uk_export_weight!B39:R39)/SUM(uk_export_weight!B39:R39)</f>
        <v>99.486044012309804</v>
      </c>
      <c r="C39" s="2">
        <v>123456789</v>
      </c>
      <c r="D39" s="2">
        <v>123456789</v>
      </c>
    </row>
    <row r="40" spans="1:4" x14ac:dyDescent="0.45">
      <c r="A40" t="s">
        <v>173</v>
      </c>
      <c r="B40">
        <f>SUMPRODUCT(credit_to_gdp_ALL_ctry!B40:R40,uk_export_weight!B40:R40)/SUM(uk_export_weight!B40:R40)</f>
        <v>99.255759681694784</v>
      </c>
      <c r="C40" s="2">
        <v>123456789</v>
      </c>
      <c r="D40" s="2">
        <v>123456789</v>
      </c>
    </row>
    <row r="41" spans="1:4" x14ac:dyDescent="0.45">
      <c r="A41" t="s">
        <v>174</v>
      </c>
      <c r="B41">
        <f>SUMPRODUCT(credit_to_gdp_ALL_ctry!B41:R41,uk_export_weight!B41:R41)/SUM(uk_export_weight!B41:R41)</f>
        <v>100.44689775084937</v>
      </c>
      <c r="C41" s="2">
        <v>123456789</v>
      </c>
      <c r="D41" s="2">
        <v>123456789</v>
      </c>
    </row>
    <row r="42" spans="1:4" x14ac:dyDescent="0.45">
      <c r="A42" t="s">
        <v>175</v>
      </c>
      <c r="B42">
        <f>SUMPRODUCT(credit_to_gdp_ALL_ctry!B42:R42,uk_export_weight!B42:R42)/SUM(uk_export_weight!B42:R42)</f>
        <v>98.652762617423676</v>
      </c>
      <c r="C42" s="2">
        <v>123456789</v>
      </c>
      <c r="D42" s="2">
        <v>123456789</v>
      </c>
    </row>
    <row r="43" spans="1:4" x14ac:dyDescent="0.45">
      <c r="A43" t="s">
        <v>176</v>
      </c>
      <c r="B43">
        <f>SUMPRODUCT(credit_to_gdp_ALL_ctry!B43:R43,uk_export_weight!B43:R43)/SUM(uk_export_weight!B43:R43)</f>
        <v>99.417374577020837</v>
      </c>
      <c r="C43" s="2">
        <v>123456789</v>
      </c>
      <c r="D43" s="2">
        <v>123456789</v>
      </c>
    </row>
    <row r="44" spans="1:4" x14ac:dyDescent="0.45">
      <c r="A44" t="s">
        <v>177</v>
      </c>
      <c r="B44">
        <f>SUMPRODUCT(credit_to_gdp_ALL_ctry!B44:R44,uk_export_weight!B44:R44)/SUM(uk_export_weight!B44:R44)</f>
        <v>99.238738225889392</v>
      </c>
      <c r="C44" s="2">
        <v>123456789</v>
      </c>
      <c r="D44" s="2">
        <v>123456789</v>
      </c>
    </row>
    <row r="45" spans="1:4" x14ac:dyDescent="0.45">
      <c r="A45" t="s">
        <v>178</v>
      </c>
      <c r="B45">
        <f>SUMPRODUCT(credit_to_gdp_ALL_ctry!B45:R45,uk_export_weight!B45:R45)/SUM(uk_export_weight!B45:R45)</f>
        <v>101.02440761754006</v>
      </c>
      <c r="C45" s="2">
        <v>123456789</v>
      </c>
      <c r="D45" s="2">
        <v>123456789</v>
      </c>
    </row>
    <row r="46" spans="1:4" x14ac:dyDescent="0.45">
      <c r="A46" t="s">
        <v>179</v>
      </c>
      <c r="B46">
        <f>SUMPRODUCT(credit_to_gdp_ALL_ctry!B46:R46,uk_export_weight!B46:R46)/SUM(uk_export_weight!B46:R46)</f>
        <v>101.71579089229718</v>
      </c>
      <c r="C46" s="2">
        <v>123456789</v>
      </c>
      <c r="D46" s="2">
        <v>123456789</v>
      </c>
    </row>
    <row r="47" spans="1:4" x14ac:dyDescent="0.45">
      <c r="A47" t="s">
        <v>180</v>
      </c>
      <c r="B47">
        <f>SUMPRODUCT(credit_to_gdp_ALL_ctry!B47:R47,uk_export_weight!B47:R47)/SUM(uk_export_weight!B47:R47)</f>
        <v>102.35706810068828</v>
      </c>
      <c r="C47" s="2">
        <v>123456789</v>
      </c>
      <c r="D47" s="2">
        <v>123456789</v>
      </c>
    </row>
    <row r="48" spans="1:4" x14ac:dyDescent="0.45">
      <c r="A48" t="s">
        <v>181</v>
      </c>
      <c r="B48">
        <f>SUMPRODUCT(credit_to_gdp_ALL_ctry!B48:R48,uk_export_weight!B48:R48)/SUM(uk_export_weight!B48:R48)</f>
        <v>102.22792485411064</v>
      </c>
      <c r="C48" s="2">
        <v>123456789</v>
      </c>
      <c r="D48" s="2">
        <v>123456789</v>
      </c>
    </row>
    <row r="49" spans="1:4" x14ac:dyDescent="0.45">
      <c r="A49" t="s">
        <v>182</v>
      </c>
      <c r="B49">
        <f>SUMPRODUCT(credit_to_gdp_ALL_ctry!B49:R49,uk_export_weight!B49:R49)/SUM(uk_export_weight!B49:R49)</f>
        <v>102.7331354541251</v>
      </c>
      <c r="C49" s="2">
        <v>123456789</v>
      </c>
      <c r="D49" s="2">
        <v>123456789</v>
      </c>
    </row>
    <row r="50" spans="1:4" x14ac:dyDescent="0.45">
      <c r="A50" t="s">
        <v>183</v>
      </c>
      <c r="B50">
        <f>SUMPRODUCT(credit_to_gdp_ALL_ctry!B50:R50,uk_export_weight!B50:R50)/SUM(uk_export_weight!B50:R50)</f>
        <v>100.47836305175244</v>
      </c>
      <c r="C50" s="2">
        <v>123456789</v>
      </c>
      <c r="D50" s="2">
        <v>123456789</v>
      </c>
    </row>
    <row r="51" spans="1:4" x14ac:dyDescent="0.45">
      <c r="A51" t="s">
        <v>184</v>
      </c>
      <c r="B51">
        <f>SUMPRODUCT(credit_to_gdp_ALL_ctry!B51:R51,uk_export_weight!B51:R51)/SUM(uk_export_weight!B51:R51)</f>
        <v>100.95353509389038</v>
      </c>
      <c r="C51" s="2">
        <v>123456789</v>
      </c>
      <c r="D51" s="2">
        <v>123456789</v>
      </c>
    </row>
    <row r="52" spans="1:4" x14ac:dyDescent="0.45">
      <c r="A52" t="s">
        <v>185</v>
      </c>
      <c r="B52">
        <f>SUMPRODUCT(credit_to_gdp_ALL_ctry!B52:R52,uk_export_weight!B52:R52)/SUM(uk_export_weight!B52:R52)</f>
        <v>101.53914511066618</v>
      </c>
      <c r="C52" s="2">
        <v>123456789</v>
      </c>
      <c r="D52" s="2">
        <v>123456789</v>
      </c>
    </row>
    <row r="53" spans="1:4" x14ac:dyDescent="0.45">
      <c r="A53" t="s">
        <v>186</v>
      </c>
      <c r="B53">
        <f>SUMPRODUCT(credit_to_gdp_ALL_ctry!B53:R53,uk_export_weight!B53:R53)/SUM(uk_export_weight!B53:R53)</f>
        <v>103.0376059761531</v>
      </c>
      <c r="C53" s="2">
        <v>123456789</v>
      </c>
      <c r="D53" s="2">
        <v>123456789</v>
      </c>
    </row>
    <row r="54" spans="1:4" x14ac:dyDescent="0.45">
      <c r="A54" t="s">
        <v>187</v>
      </c>
      <c r="B54">
        <f>SUMPRODUCT(credit_to_gdp_ALL_ctry!B54:R54,uk_export_weight!B54:R54)/SUM(uk_export_weight!B54:R54)</f>
        <v>102.62907394275545</v>
      </c>
      <c r="C54" s="2">
        <v>123456789</v>
      </c>
      <c r="D54" s="2">
        <v>123456789</v>
      </c>
    </row>
    <row r="55" spans="1:4" x14ac:dyDescent="0.45">
      <c r="A55" t="s">
        <v>188</v>
      </c>
      <c r="B55">
        <f>SUMPRODUCT(credit_to_gdp_ALL_ctry!B55:R55,uk_export_weight!B55:R55)/SUM(uk_export_weight!B55:R55)</f>
        <v>103.23412247460493</v>
      </c>
      <c r="C55" s="2">
        <v>123456789</v>
      </c>
      <c r="D55" s="2">
        <v>123456789</v>
      </c>
    </row>
    <row r="56" spans="1:4" x14ac:dyDescent="0.45">
      <c r="A56" t="s">
        <v>189</v>
      </c>
      <c r="B56">
        <f>SUMPRODUCT(credit_to_gdp_ALL_ctry!B56:R56,uk_export_weight!B56:R56)/SUM(uk_export_weight!B56:R56)</f>
        <v>103.04916305707745</v>
      </c>
      <c r="C56" s="2">
        <v>123456789</v>
      </c>
      <c r="D56" s="2">
        <v>123456789</v>
      </c>
    </row>
    <row r="57" spans="1:4" x14ac:dyDescent="0.45">
      <c r="A57" t="s">
        <v>190</v>
      </c>
      <c r="B57">
        <f>SUMPRODUCT(credit_to_gdp_ALL_ctry!B57:R57,uk_export_weight!B57:R57)/SUM(uk_export_weight!B57:R57)</f>
        <v>104.22971666794639</v>
      </c>
      <c r="C57" s="2">
        <v>123456789</v>
      </c>
      <c r="D57" s="2">
        <v>123456789</v>
      </c>
    </row>
    <row r="58" spans="1:4" x14ac:dyDescent="0.45">
      <c r="A58" t="s">
        <v>191</v>
      </c>
      <c r="B58">
        <f>SUMPRODUCT(credit_to_gdp_ALL_ctry!B58:R58,uk_export_weight!B58:R58)/SUM(uk_export_weight!B58:R58)</f>
        <v>103.12121656145889</v>
      </c>
      <c r="C58" s="2">
        <v>123456789</v>
      </c>
      <c r="D58" s="2">
        <v>123456789</v>
      </c>
    </row>
    <row r="59" spans="1:4" x14ac:dyDescent="0.45">
      <c r="A59" t="s">
        <v>192</v>
      </c>
      <c r="B59">
        <f>SUMPRODUCT(credit_to_gdp_ALL_ctry!B59:R59,uk_export_weight!B59:R59)/SUM(uk_export_weight!B59:R59)</f>
        <v>103.97483641539257</v>
      </c>
      <c r="C59" s="2">
        <v>123456789</v>
      </c>
      <c r="D59" s="2">
        <v>123456789</v>
      </c>
    </row>
    <row r="60" spans="1:4" x14ac:dyDescent="0.45">
      <c r="A60" t="s">
        <v>193</v>
      </c>
      <c r="B60">
        <f>SUMPRODUCT(credit_to_gdp_ALL_ctry!B60:R60,uk_export_weight!B60:R60)/SUM(uk_export_weight!B60:R60)</f>
        <v>104.15312988733287</v>
      </c>
      <c r="C60" s="2">
        <v>123456789</v>
      </c>
      <c r="D60" s="2">
        <v>123456789</v>
      </c>
    </row>
    <row r="61" spans="1:4" x14ac:dyDescent="0.45">
      <c r="A61" t="s">
        <v>194</v>
      </c>
      <c r="B61">
        <f>SUMPRODUCT(credit_to_gdp_ALL_ctry!B61:R61,uk_export_weight!B61:R61)/SUM(uk_export_weight!B61:R61)</f>
        <v>105.56732779269416</v>
      </c>
      <c r="C61" s="2">
        <v>123456789</v>
      </c>
      <c r="D61" s="2">
        <v>123456789</v>
      </c>
    </row>
    <row r="62" spans="1:4" x14ac:dyDescent="0.45">
      <c r="A62" t="s">
        <v>195</v>
      </c>
      <c r="B62">
        <f>SUMPRODUCT(credit_to_gdp_ALL_ctry!B62:R62,uk_export_weight!B62:R62)/SUM(uk_export_weight!B62:R62)</f>
        <v>104.54153565918212</v>
      </c>
      <c r="C62" s="2">
        <v>123456789</v>
      </c>
      <c r="D62" s="2">
        <v>123456789</v>
      </c>
    </row>
    <row r="63" spans="1:4" x14ac:dyDescent="0.45">
      <c r="A63" t="s">
        <v>196</v>
      </c>
      <c r="B63">
        <f>SUMPRODUCT(credit_to_gdp_ALL_ctry!B63:R63,uk_export_weight!B63:R63)/SUM(uk_export_weight!B63:R63)</f>
        <v>104.99536997372901</v>
      </c>
      <c r="C63" s="2">
        <v>123456789</v>
      </c>
      <c r="D63" s="2">
        <v>123456789</v>
      </c>
    </row>
    <row r="64" spans="1:4" x14ac:dyDescent="0.45">
      <c r="A64" t="s">
        <v>197</v>
      </c>
      <c r="B64">
        <f>SUMPRODUCT(credit_to_gdp_ALL_ctry!B64:R64,uk_export_weight!B64:R64)/SUM(uk_export_weight!B64:R64)</f>
        <v>104.99763579982485</v>
      </c>
      <c r="C64" s="2">
        <v>123456789</v>
      </c>
      <c r="D64" s="2">
        <v>123456789</v>
      </c>
    </row>
    <row r="65" spans="1:4" x14ac:dyDescent="0.45">
      <c r="A65" t="s">
        <v>198</v>
      </c>
      <c r="B65">
        <f>SUMPRODUCT(credit_to_gdp_ALL_ctry!B65:R65,uk_export_weight!B65:R65)/SUM(uk_export_weight!B65:R65)</f>
        <v>106.9847459522573</v>
      </c>
      <c r="C65" s="2">
        <v>123456789</v>
      </c>
      <c r="D65" s="2">
        <v>123456789</v>
      </c>
    </row>
    <row r="66" spans="1:4" x14ac:dyDescent="0.45">
      <c r="A66" t="s">
        <v>199</v>
      </c>
      <c r="B66">
        <f>SUMPRODUCT(credit_to_gdp_ALL_ctry!B66:R66,uk_export_weight!B66:R66)/SUM(uk_export_weight!B66:R66)</f>
        <v>105.97052406876844</v>
      </c>
      <c r="C66" s="2">
        <v>123456789</v>
      </c>
      <c r="D66" s="2">
        <v>123456789</v>
      </c>
    </row>
    <row r="67" spans="1:4" x14ac:dyDescent="0.45">
      <c r="A67" t="s">
        <v>200</v>
      </c>
      <c r="B67">
        <f>SUMPRODUCT(credit_to_gdp_ALL_ctry!B67:R67,uk_export_weight!B67:R67)/SUM(uk_export_weight!B67:R67)</f>
        <v>106.82150607160617</v>
      </c>
      <c r="C67" s="2">
        <v>123456789</v>
      </c>
      <c r="D67" s="2">
        <v>123456789</v>
      </c>
    </row>
    <row r="68" spans="1:4" x14ac:dyDescent="0.45">
      <c r="A68" t="s">
        <v>201</v>
      </c>
      <c r="B68">
        <f>SUMPRODUCT(credit_to_gdp_ALL_ctry!B68:R68,uk_export_weight!B68:R68)/SUM(uk_export_weight!B68:R68)</f>
        <v>107.14386163987098</v>
      </c>
      <c r="C68" s="2">
        <v>123456789</v>
      </c>
      <c r="D68" s="2">
        <v>123456789</v>
      </c>
    </row>
    <row r="69" spans="1:4" x14ac:dyDescent="0.45">
      <c r="A69" t="s">
        <v>202</v>
      </c>
      <c r="B69">
        <f>SUMPRODUCT(credit_to_gdp_ALL_ctry!B69:R69,uk_export_weight!B69:R69)/SUM(uk_export_weight!B69:R69)</f>
        <v>108.55066143806089</v>
      </c>
      <c r="C69" s="2">
        <v>123456789</v>
      </c>
      <c r="D69" s="2">
        <v>123456789</v>
      </c>
    </row>
    <row r="70" spans="1:4" x14ac:dyDescent="0.45">
      <c r="A70" t="s">
        <v>203</v>
      </c>
      <c r="B70">
        <f>SUMPRODUCT(credit_to_gdp_ALL_ctry!B70:R70,uk_export_weight!B70:R70)/SUM(uk_export_weight!B70:R70)</f>
        <v>108.1439473863401</v>
      </c>
      <c r="C70" s="2">
        <v>123456789</v>
      </c>
      <c r="D70" s="2">
        <v>123456789</v>
      </c>
    </row>
    <row r="71" spans="1:4" x14ac:dyDescent="0.45">
      <c r="A71" t="s">
        <v>204</v>
      </c>
      <c r="B71">
        <f>SUMPRODUCT(credit_to_gdp_ALL_ctry!B71:R71,uk_export_weight!B71:R71)/SUM(uk_export_weight!B71:R71)</f>
        <v>109.27046501284339</v>
      </c>
      <c r="C71" s="2">
        <v>123456789</v>
      </c>
      <c r="D71" s="2">
        <v>123456789</v>
      </c>
    </row>
    <row r="72" spans="1:4" x14ac:dyDescent="0.45">
      <c r="A72" t="s">
        <v>205</v>
      </c>
      <c r="B72">
        <f>SUMPRODUCT(credit_to_gdp_ALL_ctry!B72:R72,uk_export_weight!B72:R72)/SUM(uk_export_weight!B72:R72)</f>
        <v>109.59173648547824</v>
      </c>
      <c r="C72" s="2">
        <v>123456789</v>
      </c>
      <c r="D72" s="2">
        <v>123456789</v>
      </c>
    </row>
    <row r="73" spans="1:4" x14ac:dyDescent="0.45">
      <c r="A73" t="s">
        <v>206</v>
      </c>
      <c r="B73">
        <f>SUMPRODUCT(credit_to_gdp_ALL_ctry!B73:R73,uk_export_weight!B73:R73)/SUM(uk_export_weight!B73:R73)</f>
        <v>110.88058701406325</v>
      </c>
      <c r="C73" s="2">
        <v>123456789</v>
      </c>
      <c r="D73" s="2">
        <v>123456789</v>
      </c>
    </row>
    <row r="74" spans="1:4" x14ac:dyDescent="0.45">
      <c r="A74" t="s">
        <v>207</v>
      </c>
      <c r="B74">
        <f>SUMPRODUCT(credit_to_gdp_ALL_ctry!B74:R74,uk_export_weight!B74:R74)/SUM(uk_export_weight!B74:R74)</f>
        <v>110.4631636771546</v>
      </c>
      <c r="C74" s="2">
        <v>123456789</v>
      </c>
      <c r="D74" s="2">
        <v>123456789</v>
      </c>
    </row>
    <row r="75" spans="1:4" x14ac:dyDescent="0.45">
      <c r="A75" t="s">
        <v>208</v>
      </c>
      <c r="B75">
        <f>SUMPRODUCT(credit_to_gdp_ALL_ctry!B75:R75,uk_export_weight!B75:R75)/SUM(uk_export_weight!B75:R75)</f>
        <v>111.65985020865649</v>
      </c>
      <c r="C75" s="2">
        <v>123456789</v>
      </c>
      <c r="D75" s="2">
        <v>123456789</v>
      </c>
    </row>
    <row r="76" spans="1:4" x14ac:dyDescent="0.45">
      <c r="A76" t="s">
        <v>209</v>
      </c>
      <c r="B76">
        <f>SUMPRODUCT(credit_to_gdp_ALL_ctry!B76:R76,uk_export_weight!B76:R76)/SUM(uk_export_weight!B76:R76)</f>
        <v>112.08672072465056</v>
      </c>
      <c r="C76" s="2">
        <v>123456789</v>
      </c>
      <c r="D76" s="2">
        <v>123456789</v>
      </c>
    </row>
    <row r="77" spans="1:4" x14ac:dyDescent="0.45">
      <c r="A77" t="s">
        <v>210</v>
      </c>
      <c r="B77">
        <f>SUMPRODUCT(credit_to_gdp_ALL_ctry!B77:R77,uk_export_weight!B77:R77)/SUM(uk_export_weight!B77:R77)</f>
        <v>113.98666063847558</v>
      </c>
      <c r="C77" s="2">
        <v>123456789</v>
      </c>
      <c r="D77" s="2">
        <v>123456789</v>
      </c>
    </row>
    <row r="78" spans="1:4" x14ac:dyDescent="0.45">
      <c r="A78" t="s">
        <v>211</v>
      </c>
      <c r="B78">
        <f>SUMPRODUCT(credit_to_gdp_ALL_ctry!B78:R78,uk_export_weight!B78:R78)/SUM(uk_export_weight!B78:R78)</f>
        <v>113.9587925196381</v>
      </c>
      <c r="C78" s="2">
        <v>123456789</v>
      </c>
      <c r="D78" s="2">
        <v>123456789</v>
      </c>
    </row>
    <row r="79" spans="1:4" x14ac:dyDescent="0.45">
      <c r="A79" t="s">
        <v>212</v>
      </c>
      <c r="B79">
        <f>SUMPRODUCT(credit_to_gdp_ALL_ctry!B79:R79,uk_export_weight!B79:R79)/SUM(uk_export_weight!B79:R79)</f>
        <v>115.56991773046821</v>
      </c>
      <c r="C79" s="2">
        <v>123456789</v>
      </c>
      <c r="D79" s="2">
        <v>123456789</v>
      </c>
    </row>
    <row r="80" spans="1:4" x14ac:dyDescent="0.45">
      <c r="A80" t="s">
        <v>213</v>
      </c>
      <c r="B80">
        <f>SUMPRODUCT(credit_to_gdp_ALL_ctry!B80:R80,uk_export_weight!B80:R80)/SUM(uk_export_weight!B80:R80)</f>
        <v>115.49625115469712</v>
      </c>
      <c r="C80" s="2">
        <v>123456789</v>
      </c>
      <c r="D80" s="2">
        <v>123456789</v>
      </c>
    </row>
    <row r="81" spans="1:4" x14ac:dyDescent="0.45">
      <c r="A81" t="s">
        <v>214</v>
      </c>
      <c r="B81">
        <f>SUMPRODUCT(credit_to_gdp_ALL_ctry!B81:R81,uk_export_weight!B81:R81)/SUM(uk_export_weight!B81:R81)</f>
        <v>117.31026121865673</v>
      </c>
      <c r="C81" s="2">
        <v>123456789</v>
      </c>
      <c r="D81" s="2">
        <v>123456789</v>
      </c>
    </row>
    <row r="82" spans="1:4" x14ac:dyDescent="0.45">
      <c r="A82" t="s">
        <v>215</v>
      </c>
      <c r="B82">
        <f>SUMPRODUCT(credit_to_gdp_ALL_ctry!B82:R82,uk_export_weight!B82:R82)/SUM(uk_export_weight!B82:R82)</f>
        <v>116.46584592814062</v>
      </c>
      <c r="C82" s="2">
        <v>123456789</v>
      </c>
      <c r="D82" s="2">
        <v>123456789</v>
      </c>
    </row>
    <row r="83" spans="1:4" x14ac:dyDescent="0.45">
      <c r="A83" t="s">
        <v>216</v>
      </c>
      <c r="B83">
        <f>SUMPRODUCT(credit_to_gdp_ALL_ctry!B83:R83,uk_export_weight!B83:R83)/SUM(uk_export_weight!B83:R83)</f>
        <v>116.59387825521596</v>
      </c>
      <c r="C83" s="2">
        <v>123456789</v>
      </c>
      <c r="D83" s="2">
        <v>123456789</v>
      </c>
    </row>
    <row r="84" spans="1:4" x14ac:dyDescent="0.45">
      <c r="A84" t="s">
        <v>217</v>
      </c>
      <c r="B84">
        <f>SUMPRODUCT(credit_to_gdp_ALL_ctry!B84:R84,uk_export_weight!B84:R84)/SUM(uk_export_weight!B84:R84)</f>
        <v>116.37410362624179</v>
      </c>
      <c r="C84" s="2">
        <v>123456789</v>
      </c>
      <c r="D84" s="2">
        <v>123456789</v>
      </c>
    </row>
    <row r="85" spans="1:4" x14ac:dyDescent="0.45">
      <c r="A85" t="s">
        <v>218</v>
      </c>
      <c r="B85">
        <f>SUMPRODUCT(credit_to_gdp_ALL_ctry!B85:R85,uk_export_weight!B85:R85)/SUM(uk_export_weight!B85:R85)</f>
        <v>118.22347615536978</v>
      </c>
      <c r="C85" s="2">
        <v>123456789</v>
      </c>
      <c r="D85" s="2">
        <v>123456789</v>
      </c>
    </row>
    <row r="86" spans="1:4" x14ac:dyDescent="0.45">
      <c r="A86" t="s">
        <v>219</v>
      </c>
      <c r="B86">
        <f>SUMPRODUCT(credit_to_gdp_ALL_ctry!B86:R86,uk_export_weight!B86:R86)/SUM(uk_export_weight!B86:R86)</f>
        <v>115.8832002401346</v>
      </c>
      <c r="C86" s="2">
        <v>123456789</v>
      </c>
      <c r="D86" s="2">
        <v>123456789</v>
      </c>
    </row>
    <row r="87" spans="1:4" x14ac:dyDescent="0.45">
      <c r="A87" t="s">
        <v>220</v>
      </c>
      <c r="B87">
        <f>SUMPRODUCT(credit_to_gdp_ALL_ctry!B87:R87,uk_export_weight!B87:R87)/SUM(uk_export_weight!B87:R87)</f>
        <v>116.50213652082144</v>
      </c>
      <c r="C87" s="2">
        <v>123456789</v>
      </c>
      <c r="D87" s="2">
        <v>123456789</v>
      </c>
    </row>
    <row r="88" spans="1:4" x14ac:dyDescent="0.45">
      <c r="A88" t="s">
        <v>221</v>
      </c>
      <c r="B88">
        <f>SUMPRODUCT(credit_to_gdp_ALL_ctry!B88:R88,uk_export_weight!B88:R88)/SUM(uk_export_weight!B88:R88)</f>
        <v>116.54565969250632</v>
      </c>
      <c r="C88" s="2">
        <v>123456789</v>
      </c>
      <c r="D88" s="2">
        <v>123456789</v>
      </c>
    </row>
    <row r="89" spans="1:4" x14ac:dyDescent="0.45">
      <c r="A89" t="s">
        <v>222</v>
      </c>
      <c r="B89">
        <f>SUMPRODUCT(credit_to_gdp_ALL_ctry!B89:R89,uk_export_weight!B89:R89)/SUM(uk_export_weight!B89:R89)</f>
        <v>117.52261472796393</v>
      </c>
      <c r="C89" s="2">
        <v>123456789</v>
      </c>
      <c r="D89" s="2">
        <v>123456789</v>
      </c>
    </row>
    <row r="90" spans="1:4" x14ac:dyDescent="0.45">
      <c r="A90" t="s">
        <v>223</v>
      </c>
      <c r="B90">
        <f>SUMPRODUCT(credit_to_gdp_ALL_ctry!B90:R90,uk_export_weight!B90:R90)/SUM(uk_export_weight!B90:R90)</f>
        <v>116.7735291675517</v>
      </c>
      <c r="C90" s="2">
        <v>123456789</v>
      </c>
      <c r="D90" s="2">
        <v>123456789</v>
      </c>
    </row>
    <row r="91" spans="1:4" x14ac:dyDescent="0.45">
      <c r="A91" t="s">
        <v>224</v>
      </c>
      <c r="B91">
        <f>SUMPRODUCT(credit_to_gdp_ALL_ctry!B91:R91,uk_export_weight!B91:R91)/SUM(uk_export_weight!B91:R91)</f>
        <v>117.19533594439132</v>
      </c>
      <c r="C91" s="2">
        <v>123456789</v>
      </c>
      <c r="D91" s="2">
        <v>123456789</v>
      </c>
    </row>
    <row r="92" spans="1:4" x14ac:dyDescent="0.45">
      <c r="A92" t="s">
        <v>225</v>
      </c>
      <c r="B92">
        <f>SUMPRODUCT(credit_to_gdp_ALL_ctry!B92:R92,uk_export_weight!B92:R92)/SUM(uk_export_weight!B92:R92)</f>
        <v>117.071877351194</v>
      </c>
      <c r="C92" s="2">
        <v>123456789</v>
      </c>
      <c r="D92" s="2">
        <v>123456789</v>
      </c>
    </row>
    <row r="93" spans="1:4" x14ac:dyDescent="0.45">
      <c r="A93" t="s">
        <v>226</v>
      </c>
      <c r="B93">
        <f>SUMPRODUCT(credit_to_gdp_ALL_ctry!B93:R93,uk_export_weight!B93:R93)/SUM(uk_export_weight!B93:R93)</f>
        <v>118.05273261632513</v>
      </c>
      <c r="C93" s="2">
        <v>123456789</v>
      </c>
      <c r="D93" s="2">
        <v>123456789</v>
      </c>
    </row>
    <row r="94" spans="1:4" x14ac:dyDescent="0.45">
      <c r="A94" t="s">
        <v>227</v>
      </c>
      <c r="B94">
        <f>SUMPRODUCT(credit_to_gdp_ALL_ctry!B94:R94,uk_export_weight!B94:R94)/SUM(uk_export_weight!B94:R94)</f>
        <v>120.28980942508954</v>
      </c>
      <c r="C94" s="2">
        <v>123456789</v>
      </c>
      <c r="D94" s="2">
        <v>123456789</v>
      </c>
    </row>
    <row r="95" spans="1:4" x14ac:dyDescent="0.45">
      <c r="A95" t="s">
        <v>228</v>
      </c>
      <c r="B95">
        <f>SUMPRODUCT(credit_to_gdp_ALL_ctry!B95:R95,uk_export_weight!B95:R95)/SUM(uk_export_weight!B95:R95)</f>
        <v>121.18238664462743</v>
      </c>
      <c r="C95" s="2">
        <v>123456789</v>
      </c>
      <c r="D95" s="2">
        <v>123456789</v>
      </c>
    </row>
    <row r="96" spans="1:4" x14ac:dyDescent="0.45">
      <c r="A96" t="s">
        <v>229</v>
      </c>
      <c r="B96">
        <f>SUMPRODUCT(credit_to_gdp_ALL_ctry!B96:R96,uk_export_weight!B96:R96)/SUM(uk_export_weight!B96:R96)</f>
        <v>121.5998230583826</v>
      </c>
      <c r="C96" s="2">
        <v>123456789</v>
      </c>
      <c r="D96" s="2">
        <v>123456789</v>
      </c>
    </row>
    <row r="97" spans="1:4" x14ac:dyDescent="0.45">
      <c r="A97" t="s">
        <v>230</v>
      </c>
      <c r="B97">
        <f>SUMPRODUCT(credit_to_gdp_ALL_ctry!B97:R97,uk_export_weight!B97:R97)/SUM(uk_export_weight!B97:R97)</f>
        <v>122.11675720810378</v>
      </c>
      <c r="C97" s="2">
        <v>123456789</v>
      </c>
      <c r="D97" s="2">
        <v>123456789</v>
      </c>
    </row>
    <row r="98" spans="1:4" x14ac:dyDescent="0.45">
      <c r="A98" t="s">
        <v>231</v>
      </c>
      <c r="B98">
        <f>SUMPRODUCT(credit_to_gdp_ALL_ctry!B98:R98,uk_export_weight!B98:R98)/SUM(uk_export_weight!B98:R98)</f>
        <v>120.56750492687125</v>
      </c>
      <c r="C98" s="2">
        <v>123456789</v>
      </c>
      <c r="D98" s="2">
        <v>123456789</v>
      </c>
    </row>
    <row r="99" spans="1:4" x14ac:dyDescent="0.45">
      <c r="A99" t="s">
        <v>232</v>
      </c>
      <c r="B99">
        <f>SUMPRODUCT(credit_to_gdp_ALL_ctry!B99:R99,uk_export_weight!B99:R99)/SUM(uk_export_weight!B99:R99)</f>
        <v>120.14422338001638</v>
      </c>
      <c r="C99" s="2">
        <v>123456789</v>
      </c>
      <c r="D99" s="2">
        <v>123456789</v>
      </c>
    </row>
    <row r="100" spans="1:4" x14ac:dyDescent="0.45">
      <c r="A100" t="s">
        <v>233</v>
      </c>
      <c r="B100">
        <f>SUMPRODUCT(credit_to_gdp_ALL_ctry!B100:R100,uk_export_weight!B100:R100)/SUM(uk_export_weight!B100:R100)</f>
        <v>119.51479715438342</v>
      </c>
      <c r="C100" s="2">
        <v>123456789</v>
      </c>
      <c r="D100" s="2">
        <v>123456789</v>
      </c>
    </row>
    <row r="101" spans="1:4" x14ac:dyDescent="0.45">
      <c r="A101" t="s">
        <v>234</v>
      </c>
      <c r="B101">
        <f>SUMPRODUCT(credit_to_gdp_ALL_ctry!B101:R101,uk_export_weight!B101:R101)/SUM(uk_export_weight!B101:R101)</f>
        <v>120.1512912694246</v>
      </c>
      <c r="C101" s="2">
        <v>123456789</v>
      </c>
      <c r="D101" s="2">
        <v>123456789</v>
      </c>
    </row>
    <row r="102" spans="1:4" x14ac:dyDescent="0.45">
      <c r="A102" t="s">
        <v>235</v>
      </c>
      <c r="B102">
        <f>SUMPRODUCT(credit_to_gdp_ALL_ctry!B102:R102,uk_export_weight!B102:R102)/SUM(uk_export_weight!B102:R102)</f>
        <v>118.1193035418444</v>
      </c>
      <c r="C102" s="2">
        <v>123456789</v>
      </c>
      <c r="D102" s="2">
        <v>123456789</v>
      </c>
    </row>
    <row r="103" spans="1:4" x14ac:dyDescent="0.45">
      <c r="A103" t="s">
        <v>236</v>
      </c>
      <c r="B103">
        <f>SUMPRODUCT(credit_to_gdp_ALL_ctry!B103:R103,uk_export_weight!B103:R103)/SUM(uk_export_weight!B103:R103)</f>
        <v>118.72858561867942</v>
      </c>
      <c r="C103" s="2">
        <v>123456789</v>
      </c>
      <c r="D103" s="2">
        <v>123456789</v>
      </c>
    </row>
    <row r="104" spans="1:4" x14ac:dyDescent="0.45">
      <c r="A104" t="s">
        <v>237</v>
      </c>
      <c r="B104">
        <f>SUMPRODUCT(credit_to_gdp_ALL_ctry!B104:R104,uk_export_weight!B104:R104)/SUM(uk_export_weight!B104:R104)</f>
        <v>118.40339188317351</v>
      </c>
      <c r="C104" s="2">
        <v>123456789</v>
      </c>
      <c r="D104" s="2">
        <v>123456789</v>
      </c>
    </row>
    <row r="105" spans="1:4" x14ac:dyDescent="0.45">
      <c r="A105" t="s">
        <v>238</v>
      </c>
      <c r="B105">
        <f>SUMPRODUCT(credit_to_gdp_ALL_ctry!B105:R105,uk_export_weight!B105:R105)/SUM(uk_export_weight!B105:R105)</f>
        <v>118.66810152846882</v>
      </c>
      <c r="C105" s="2">
        <v>123456789</v>
      </c>
      <c r="D105" s="2">
        <v>123456789</v>
      </c>
    </row>
    <row r="106" spans="1:4" x14ac:dyDescent="0.45">
      <c r="A106" t="s">
        <v>239</v>
      </c>
      <c r="B106">
        <f>SUMPRODUCT(credit_to_gdp_ALL_ctry!B106:R106,uk_export_weight!B106:R106)/SUM(uk_export_weight!B106:R106)</f>
        <v>119.11901851943097</v>
      </c>
      <c r="C106" s="2">
        <v>123456789</v>
      </c>
      <c r="D106" s="2">
        <v>123456789</v>
      </c>
    </row>
    <row r="107" spans="1:4" x14ac:dyDescent="0.45">
      <c r="A107" t="s">
        <v>240</v>
      </c>
      <c r="B107">
        <f>SUMPRODUCT(credit_to_gdp_ALL_ctry!B107:R107,uk_export_weight!B107:R107)/SUM(uk_export_weight!B107:R107)</f>
        <v>119.55054633670251</v>
      </c>
      <c r="C107" s="2">
        <v>123456789</v>
      </c>
      <c r="D107" s="2">
        <v>123456789</v>
      </c>
    </row>
    <row r="108" spans="1:4" x14ac:dyDescent="0.45">
      <c r="A108" t="s">
        <v>241</v>
      </c>
      <c r="B108">
        <f>SUMPRODUCT(credit_to_gdp_ALL_ctry!B108:R108,uk_export_weight!B108:R108)/SUM(uk_export_weight!B108:R108)</f>
        <v>119.43241593240704</v>
      </c>
      <c r="C108" s="2">
        <v>123456789</v>
      </c>
      <c r="D108" s="2">
        <v>123456789</v>
      </c>
    </row>
    <row r="109" spans="1:4" x14ac:dyDescent="0.45">
      <c r="A109" t="s">
        <v>242</v>
      </c>
      <c r="B109">
        <f>SUMPRODUCT(credit_to_gdp_ALL_ctry!B109:R109,uk_export_weight!B109:R109)/SUM(uk_export_weight!B109:R109)</f>
        <v>119.99031856724524</v>
      </c>
      <c r="C109" s="2">
        <v>123456789</v>
      </c>
      <c r="D109" s="2">
        <v>123456789</v>
      </c>
    </row>
    <row r="110" spans="1:4" x14ac:dyDescent="0.45">
      <c r="A110" t="s">
        <v>243</v>
      </c>
      <c r="B110">
        <f>SUMPRODUCT(credit_to_gdp_ALL_ctry!B110:R110,uk_export_weight!B110:R110)/SUM(uk_export_weight!B110:R110)</f>
        <v>120.61643107344165</v>
      </c>
      <c r="C110" s="2">
        <v>123456789</v>
      </c>
      <c r="D110" s="2">
        <v>123456789</v>
      </c>
    </row>
    <row r="111" spans="1:4" x14ac:dyDescent="0.45">
      <c r="A111" t="s">
        <v>244</v>
      </c>
      <c r="B111">
        <f>SUMPRODUCT(credit_to_gdp_ALL_ctry!B111:R111,uk_export_weight!B111:R111)/SUM(uk_export_weight!B111:R111)</f>
        <v>121.22773686618336</v>
      </c>
      <c r="C111" s="2">
        <v>123456789</v>
      </c>
      <c r="D111" s="2">
        <v>123456789</v>
      </c>
    </row>
    <row r="112" spans="1:4" x14ac:dyDescent="0.45">
      <c r="A112" t="s">
        <v>245</v>
      </c>
      <c r="B112">
        <f>SUMPRODUCT(credit_to_gdp_ALL_ctry!B112:R112,uk_export_weight!B112:R112)/SUM(uk_export_weight!B112:R112)</f>
        <v>121.33944667164231</v>
      </c>
      <c r="C112" s="2">
        <v>123456789</v>
      </c>
      <c r="D112" s="2">
        <v>123456789</v>
      </c>
    </row>
    <row r="113" spans="1:4" x14ac:dyDescent="0.45">
      <c r="A113" t="s">
        <v>246</v>
      </c>
      <c r="B113">
        <f>SUMPRODUCT(credit_to_gdp_ALL_ctry!B113:R113,uk_export_weight!B113:R113)/SUM(uk_export_weight!B113:R113)</f>
        <v>121.84131749039192</v>
      </c>
      <c r="C113" s="2">
        <v>123456789</v>
      </c>
      <c r="D113" s="2">
        <v>123456789</v>
      </c>
    </row>
    <row r="114" spans="1:4" x14ac:dyDescent="0.45">
      <c r="A114" t="s">
        <v>247</v>
      </c>
      <c r="B114">
        <f>SUMPRODUCT(credit_to_gdp_ALL_ctry!B114:R114,uk_export_weight!B114:R114)/SUM(uk_export_weight!B114:R114)</f>
        <v>121.61559573716166</v>
      </c>
      <c r="C114" s="2">
        <v>123456789</v>
      </c>
      <c r="D114" s="2">
        <v>123456789</v>
      </c>
    </row>
    <row r="115" spans="1:4" x14ac:dyDescent="0.45">
      <c r="A115" t="s">
        <v>248</v>
      </c>
      <c r="B115">
        <f>SUMPRODUCT(credit_to_gdp_ALL_ctry!B115:R115,uk_export_weight!B115:R115)/SUM(uk_export_weight!B115:R115)</f>
        <v>122.62395956158218</v>
      </c>
      <c r="C115" s="2">
        <v>123456789</v>
      </c>
      <c r="D115" s="2">
        <v>123456789</v>
      </c>
    </row>
    <row r="116" spans="1:4" x14ac:dyDescent="0.45">
      <c r="A116" t="s">
        <v>249</v>
      </c>
      <c r="B116">
        <f>SUMPRODUCT(credit_to_gdp_ALL_ctry!B116:R116,uk_export_weight!B116:R116)/SUM(uk_export_weight!B116:R116)</f>
        <v>123.15182101336956</v>
      </c>
      <c r="C116" s="2">
        <v>123456789</v>
      </c>
      <c r="D116" s="2">
        <v>123456789</v>
      </c>
    </row>
    <row r="117" spans="1:4" x14ac:dyDescent="0.45">
      <c r="A117" t="s">
        <v>250</v>
      </c>
      <c r="B117">
        <f>SUMPRODUCT(credit_to_gdp_ALL_ctry!B117:R117,uk_export_weight!B117:R117)/SUM(uk_export_weight!B117:R117)</f>
        <v>124.34671244924945</v>
      </c>
      <c r="C117" s="2">
        <v>123456789</v>
      </c>
      <c r="D117" s="2">
        <v>123456789</v>
      </c>
    </row>
    <row r="118" spans="1:4" x14ac:dyDescent="0.45">
      <c r="A118" t="s">
        <v>251</v>
      </c>
      <c r="B118">
        <f>SUMPRODUCT(credit_to_gdp_ALL_ctry!B118:R118,uk_export_weight!B118:R118)/SUM(uk_export_weight!B118:R118)</f>
        <v>124.79591478810235</v>
      </c>
      <c r="C118" s="2">
        <v>123456789</v>
      </c>
      <c r="D118" s="2">
        <v>123456789</v>
      </c>
    </row>
    <row r="119" spans="1:4" x14ac:dyDescent="0.45">
      <c r="A119" t="s">
        <v>252</v>
      </c>
      <c r="B119">
        <f>SUMPRODUCT(credit_to_gdp_ALL_ctry!B119:R119,uk_export_weight!B119:R119)/SUM(uk_export_weight!B119:R119)</f>
        <v>126.92876635664378</v>
      </c>
      <c r="C119" s="2">
        <v>123456789</v>
      </c>
      <c r="D119" s="2">
        <v>123456789</v>
      </c>
    </row>
    <row r="120" spans="1:4" x14ac:dyDescent="0.45">
      <c r="A120" t="s">
        <v>253</v>
      </c>
      <c r="B120">
        <f>SUMPRODUCT(credit_to_gdp_ALL_ctry!B120:R120,uk_export_weight!B120:R120)/SUM(uk_export_weight!B120:R120)</f>
        <v>128.16627021422457</v>
      </c>
      <c r="C120" s="2">
        <v>123456789</v>
      </c>
      <c r="D120" s="2">
        <v>123456789</v>
      </c>
    </row>
    <row r="121" spans="1:4" x14ac:dyDescent="0.45">
      <c r="A121" t="s">
        <v>254</v>
      </c>
      <c r="B121">
        <f>SUMPRODUCT(credit_to_gdp_ALL_ctry!B121:R121,uk_export_weight!B121:R121)/SUM(uk_export_weight!B121:R121)</f>
        <v>130.14909196473641</v>
      </c>
      <c r="C121" s="2">
        <v>123456789</v>
      </c>
      <c r="D121" s="2">
        <v>123456789</v>
      </c>
    </row>
    <row r="122" spans="1:4" x14ac:dyDescent="0.45">
      <c r="A122" t="s">
        <v>255</v>
      </c>
      <c r="B122">
        <f>SUMPRODUCT(credit_to_gdp_ALL_ctry!B122:R122,uk_export_weight!B122:R122)/SUM(uk_export_weight!B122:R122)</f>
        <v>131.58228910011397</v>
      </c>
      <c r="C122" s="2">
        <v>123456789</v>
      </c>
      <c r="D122" s="2">
        <v>123456789</v>
      </c>
    </row>
    <row r="123" spans="1:4" x14ac:dyDescent="0.45">
      <c r="A123" t="s">
        <v>256</v>
      </c>
      <c r="B123">
        <f>SUMPRODUCT(credit_to_gdp_ALL_ctry!B123:R123,uk_export_weight!B123:R123)/SUM(uk_export_weight!B123:R123)</f>
        <v>133.11214023946516</v>
      </c>
      <c r="C123" s="2">
        <v>123456789</v>
      </c>
      <c r="D123" s="2">
        <v>123456789</v>
      </c>
    </row>
    <row r="124" spans="1:4" x14ac:dyDescent="0.45">
      <c r="A124" t="s">
        <v>257</v>
      </c>
      <c r="B124">
        <f>SUMPRODUCT(credit_to_gdp_ALL_ctry!B124:R124,uk_export_weight!B124:R124)/SUM(uk_export_weight!B124:R124)</f>
        <v>134.17765032964434</v>
      </c>
      <c r="C124" s="2">
        <v>123456789</v>
      </c>
      <c r="D124" s="2">
        <v>123456789</v>
      </c>
    </row>
    <row r="125" spans="1:4" x14ac:dyDescent="0.45">
      <c r="A125" t="s">
        <v>258</v>
      </c>
      <c r="B125">
        <f>SUMPRODUCT(credit_to_gdp_ALL_ctry!B125:R125,uk_export_weight!B125:R125)/SUM(uk_export_weight!B125:R125)</f>
        <v>136.37273660715033</v>
      </c>
      <c r="C125" s="2">
        <v>123456789</v>
      </c>
      <c r="D125" s="2">
        <v>123456789</v>
      </c>
    </row>
    <row r="126" spans="1:4" x14ac:dyDescent="0.45">
      <c r="A126" t="s">
        <v>259</v>
      </c>
      <c r="B126">
        <f>SUMPRODUCT(credit_to_gdp_ALL_ctry!B126:R126,uk_export_weight!B126:R126)/SUM(uk_export_weight!B126:R126)</f>
        <v>137.64040988296603</v>
      </c>
      <c r="C126" s="2">
        <v>123456789</v>
      </c>
      <c r="D126" s="2">
        <v>123456789</v>
      </c>
    </row>
    <row r="127" spans="1:4" x14ac:dyDescent="0.45">
      <c r="A127" t="s">
        <v>260</v>
      </c>
      <c r="B127">
        <f>SUMPRODUCT(credit_to_gdp_ALL_ctry!B127:R127,uk_export_weight!B127:R127)/SUM(uk_export_weight!B127:R127)</f>
        <v>138.96463424537012</v>
      </c>
      <c r="C127" s="2">
        <v>123456789</v>
      </c>
      <c r="D127" s="2">
        <v>123456789</v>
      </c>
    </row>
    <row r="128" spans="1:4" x14ac:dyDescent="0.45">
      <c r="A128" t="s">
        <v>261</v>
      </c>
      <c r="B128">
        <f>SUMPRODUCT(credit_to_gdp_ALL_ctry!B128:R128,uk_export_weight!B128:R128)/SUM(uk_export_weight!B128:R128)</f>
        <v>140.160843495238</v>
      </c>
      <c r="C128" s="2">
        <v>123456789</v>
      </c>
      <c r="D128" s="2">
        <v>123456789</v>
      </c>
    </row>
    <row r="129" spans="1:4" x14ac:dyDescent="0.45">
      <c r="A129" t="s">
        <v>262</v>
      </c>
      <c r="B129">
        <f>SUMPRODUCT(credit_to_gdp_ALL_ctry!B129:R129,uk_export_weight!B129:R129)/SUM(uk_export_weight!B129:R129)</f>
        <v>140.93499115316803</v>
      </c>
      <c r="C129" s="2">
        <v>123456789</v>
      </c>
      <c r="D129" s="2">
        <v>123456789</v>
      </c>
    </row>
    <row r="130" spans="1:4" x14ac:dyDescent="0.45">
      <c r="A130" t="s">
        <v>263</v>
      </c>
      <c r="B130">
        <f>SUMPRODUCT(credit_to_gdp_ALL_ctry!B130:R130,uk_export_weight!B130:R130)/SUM(uk_export_weight!B130:R130)</f>
        <v>140.59335526596271</v>
      </c>
      <c r="C130" s="2">
        <v>123456789</v>
      </c>
      <c r="D130" s="2">
        <v>123456789</v>
      </c>
    </row>
    <row r="131" spans="1:4" x14ac:dyDescent="0.45">
      <c r="A131" t="s">
        <v>264</v>
      </c>
      <c r="B131">
        <f>SUMPRODUCT(credit_to_gdp_ALL_ctry!B131:R131,uk_export_weight!B131:R131)/SUM(uk_export_weight!B131:R131)</f>
        <v>141.60285817881268</v>
      </c>
      <c r="C131" s="2">
        <v>123456789</v>
      </c>
      <c r="D131" s="2">
        <v>123456789</v>
      </c>
    </row>
    <row r="132" spans="1:4" x14ac:dyDescent="0.45">
      <c r="A132" t="s">
        <v>265</v>
      </c>
      <c r="B132">
        <f>SUMPRODUCT(credit_to_gdp_ALL_ctry!B132:R132,uk_export_weight!B132:R132)/SUM(uk_export_weight!B132:R132)</f>
        <v>141.94562326858338</v>
      </c>
      <c r="C132" s="2">
        <v>123456789</v>
      </c>
      <c r="D132" s="2">
        <v>123456789</v>
      </c>
    </row>
    <row r="133" spans="1:4" x14ac:dyDescent="0.45">
      <c r="A133" t="s">
        <v>266</v>
      </c>
      <c r="B133">
        <f>SUMPRODUCT(credit_to_gdp_ALL_ctry!B133:R133,uk_export_weight!B133:R133)/SUM(uk_export_weight!B133:R133)</f>
        <v>143.0470077273003</v>
      </c>
      <c r="C133" s="2">
        <v>123456789</v>
      </c>
      <c r="D133" s="2">
        <v>123456789</v>
      </c>
    </row>
    <row r="134" spans="1:4" x14ac:dyDescent="0.45">
      <c r="A134" t="s">
        <v>267</v>
      </c>
      <c r="B134">
        <f>SUMPRODUCT(credit_to_gdp_ALL_ctry!B134:R134,uk_export_weight!B134:R134)/SUM(uk_export_weight!B134:R134)</f>
        <v>143.12366795217321</v>
      </c>
      <c r="C134" s="2">
        <v>123456789</v>
      </c>
      <c r="D134" s="2">
        <v>123456789</v>
      </c>
    </row>
    <row r="135" spans="1:4" x14ac:dyDescent="0.45">
      <c r="A135" t="s">
        <v>268</v>
      </c>
      <c r="B135">
        <f>SUMPRODUCT(credit_to_gdp_ALL_ctry!B135:R135,uk_export_weight!B135:R135)/SUM(uk_export_weight!B135:R135)</f>
        <v>144.65065484454536</v>
      </c>
      <c r="C135" s="2">
        <v>123456789</v>
      </c>
      <c r="D135" s="2">
        <v>123456789</v>
      </c>
    </row>
    <row r="136" spans="1:4" x14ac:dyDescent="0.45">
      <c r="A136" t="s">
        <v>269</v>
      </c>
      <c r="B136">
        <f>SUMPRODUCT(credit_to_gdp_ALL_ctry!B136:R136,uk_export_weight!B136:R136)/SUM(uk_export_weight!B136:R136)</f>
        <v>144.95585830675128</v>
      </c>
      <c r="C136" s="2">
        <v>123456789</v>
      </c>
      <c r="D136" s="2">
        <v>123456789</v>
      </c>
    </row>
    <row r="137" spans="1:4" x14ac:dyDescent="0.45">
      <c r="A137" t="s">
        <v>270</v>
      </c>
      <c r="B137">
        <f>SUMPRODUCT(credit_to_gdp_ALL_ctry!B137:R137,uk_export_weight!B137:R137)/SUM(uk_export_weight!B137:R137)</f>
        <v>145.24412788590857</v>
      </c>
      <c r="C137" s="2">
        <v>123456789</v>
      </c>
      <c r="D137" s="2">
        <v>123456789</v>
      </c>
    </row>
    <row r="138" spans="1:4" x14ac:dyDescent="0.45">
      <c r="A138" t="s">
        <v>271</v>
      </c>
      <c r="B138">
        <f>SUMPRODUCT(credit_to_gdp_ALL_ctry!B138:R138,uk_export_weight!B138:R138)/SUM(uk_export_weight!B138:R138)</f>
        <v>145.55774001163937</v>
      </c>
      <c r="C138" s="2">
        <v>123456789</v>
      </c>
      <c r="D138" s="2">
        <v>123456789</v>
      </c>
    </row>
    <row r="139" spans="1:4" x14ac:dyDescent="0.45">
      <c r="A139" t="s">
        <v>272</v>
      </c>
      <c r="B139">
        <f>SUMPRODUCT(credit_to_gdp_ALL_ctry!B139:R139,uk_export_weight!B139:R139)/SUM(uk_export_weight!B139:R139)</f>
        <v>146.29868292055906</v>
      </c>
      <c r="C139" s="2">
        <v>123456789</v>
      </c>
      <c r="D139" s="2">
        <v>123456789</v>
      </c>
    </row>
    <row r="140" spans="1:4" x14ac:dyDescent="0.45">
      <c r="A140" t="s">
        <v>273</v>
      </c>
      <c r="B140">
        <f>SUMPRODUCT(credit_to_gdp_ALL_ctry!B140:R140,uk_export_weight!B140:R140)/SUM(uk_export_weight!B140:R140)</f>
        <v>146.47602956546655</v>
      </c>
      <c r="C140" s="2">
        <v>123456789</v>
      </c>
      <c r="D140" s="2">
        <v>123456789</v>
      </c>
    </row>
    <row r="141" spans="1:4" x14ac:dyDescent="0.45">
      <c r="A141" t="s">
        <v>274</v>
      </c>
      <c r="B141">
        <f>SUMPRODUCT(credit_to_gdp_ALL_ctry!B141:R141,uk_export_weight!B141:R141)/SUM(uk_export_weight!B141:R141)</f>
        <v>147.45687973966463</v>
      </c>
      <c r="C141" s="2">
        <v>123456789</v>
      </c>
      <c r="D141" s="2">
        <v>123456789</v>
      </c>
    </row>
    <row r="142" spans="1:4" x14ac:dyDescent="0.45">
      <c r="A142" t="s">
        <v>275</v>
      </c>
      <c r="B142">
        <f>SUMPRODUCT(credit_to_gdp_ALL_ctry!B142:R142,uk_export_weight!B142:R142)/SUM(uk_export_weight!B142:R142)</f>
        <v>149.89580514229175</v>
      </c>
      <c r="C142" s="2">
        <v>123456789</v>
      </c>
      <c r="D142" s="2">
        <v>123456789</v>
      </c>
    </row>
    <row r="143" spans="1:4" x14ac:dyDescent="0.45">
      <c r="A143" t="s">
        <v>276</v>
      </c>
      <c r="B143">
        <f>SUMPRODUCT(credit_to_gdp_ALL_ctry!B143:R143,uk_export_weight!B143:R143)/SUM(uk_export_weight!B143:R143)</f>
        <v>151.97972944165755</v>
      </c>
      <c r="C143" s="2">
        <v>123456789</v>
      </c>
      <c r="D143" s="2">
        <v>123456789</v>
      </c>
    </row>
    <row r="144" spans="1:4" x14ac:dyDescent="0.45">
      <c r="A144" t="s">
        <v>277</v>
      </c>
      <c r="B144">
        <f>SUMPRODUCT(credit_to_gdp_ALL_ctry!B144:R144,uk_export_weight!B144:R144)/SUM(uk_export_weight!B144:R144)</f>
        <v>152.64610382078888</v>
      </c>
      <c r="C144" s="2">
        <v>123456789</v>
      </c>
      <c r="D144" s="2">
        <v>123456789</v>
      </c>
    </row>
    <row r="145" spans="1:4" x14ac:dyDescent="0.45">
      <c r="A145" t="s">
        <v>278</v>
      </c>
      <c r="B145">
        <f>SUMPRODUCT(credit_to_gdp_ALL_ctry!B145:R145,uk_export_weight!B145:R145)/SUM(uk_export_weight!B145:R145)</f>
        <v>154.33499869177456</v>
      </c>
      <c r="C145" s="2">
        <v>123456789</v>
      </c>
      <c r="D145" s="2">
        <v>123456789</v>
      </c>
    </row>
    <row r="146" spans="1:4" x14ac:dyDescent="0.45">
      <c r="A146" t="s">
        <v>279</v>
      </c>
      <c r="B146">
        <f>SUMPRODUCT(credit_to_gdp_ALL_ctry!B146:R146,uk_export_weight!B146:R146)/SUM(uk_export_weight!B146:R146)</f>
        <v>154.21882160505655</v>
      </c>
      <c r="C146" s="2">
        <v>123456789</v>
      </c>
      <c r="D146" s="2">
        <v>123456789</v>
      </c>
    </row>
    <row r="147" spans="1:4" x14ac:dyDescent="0.45">
      <c r="A147" t="s">
        <v>280</v>
      </c>
      <c r="B147">
        <f>SUMPRODUCT(credit_to_gdp_ALL_ctry!B147:R147,uk_export_weight!B147:R147)/SUM(uk_export_weight!B147:R147)</f>
        <v>156.01091557541505</v>
      </c>
      <c r="C147" s="2">
        <v>123456789</v>
      </c>
      <c r="D147" s="2">
        <v>123456789</v>
      </c>
    </row>
    <row r="148" spans="1:4" x14ac:dyDescent="0.45">
      <c r="A148" t="s">
        <v>281</v>
      </c>
      <c r="B148">
        <f>SUMPRODUCT(credit_to_gdp_ALL_ctry!B148:R148,uk_export_weight!B148:R148)/SUM(uk_export_weight!B148:R148)</f>
        <v>157.05961530244275</v>
      </c>
      <c r="C148" s="2">
        <v>123456789</v>
      </c>
      <c r="D148" s="2">
        <v>123456789</v>
      </c>
    </row>
    <row r="149" spans="1:4" x14ac:dyDescent="0.45">
      <c r="A149" t="s">
        <v>282</v>
      </c>
      <c r="B149">
        <f>SUMPRODUCT(credit_to_gdp_ALL_ctry!B149:R149,uk_export_weight!B149:R149)/SUM(uk_export_weight!B149:R149)</f>
        <v>158.66080044651466</v>
      </c>
      <c r="C149" s="2">
        <v>123456789</v>
      </c>
      <c r="D149" s="2">
        <v>123456789</v>
      </c>
    </row>
    <row r="150" spans="1:4" x14ac:dyDescent="0.45">
      <c r="A150" t="s">
        <v>283</v>
      </c>
      <c r="B150">
        <f>SUMPRODUCT(credit_to_gdp_ALL_ctry!B150:R150,uk_export_weight!B150:R150)/SUM(uk_export_weight!B150:R150)</f>
        <v>159.25701084576804</v>
      </c>
      <c r="C150" s="2">
        <v>123456789</v>
      </c>
      <c r="D150" s="2">
        <v>123456789</v>
      </c>
    </row>
    <row r="151" spans="1:4" x14ac:dyDescent="0.45">
      <c r="A151" t="s">
        <v>284</v>
      </c>
      <c r="B151">
        <f>SUMPRODUCT(credit_to_gdp_ALL_ctry!B151:R151,uk_export_weight!B151:R151)/SUM(uk_export_weight!B151:R151)</f>
        <v>161.58332226566273</v>
      </c>
      <c r="C151" s="2">
        <v>123456789</v>
      </c>
      <c r="D151" s="2">
        <v>123456789</v>
      </c>
    </row>
    <row r="152" spans="1:4" x14ac:dyDescent="0.45">
      <c r="A152" t="s">
        <v>285</v>
      </c>
      <c r="B152">
        <f>SUMPRODUCT(credit_to_gdp_ALL_ctry!B152:R152,uk_export_weight!B152:R152)/SUM(uk_export_weight!B152:R152)</f>
        <v>162.48266811589079</v>
      </c>
      <c r="C152" s="2">
        <v>123456789</v>
      </c>
      <c r="D152" s="2">
        <v>123456789</v>
      </c>
    </row>
    <row r="153" spans="1:4" x14ac:dyDescent="0.45">
      <c r="A153" t="s">
        <v>286</v>
      </c>
      <c r="B153">
        <f>SUMPRODUCT(credit_to_gdp_ALL_ctry!B153:R153,uk_export_weight!B153:R153)/SUM(uk_export_weight!B153:R153)</f>
        <v>163.78560494038302</v>
      </c>
      <c r="C153" s="2">
        <v>123456789</v>
      </c>
      <c r="D153" s="2">
        <v>123456789</v>
      </c>
    </row>
    <row r="154" spans="1:4" x14ac:dyDescent="0.45">
      <c r="A154" t="s">
        <v>287</v>
      </c>
      <c r="B154">
        <f>SUMPRODUCT(credit_to_gdp_ALL_ctry!B154:R154,uk_export_weight!B154:R154)/SUM(uk_export_weight!B154:R154)</f>
        <v>164.63792474944935</v>
      </c>
      <c r="C154" s="2">
        <v>123456789</v>
      </c>
      <c r="D154" s="2">
        <v>123456789</v>
      </c>
    </row>
    <row r="155" spans="1:4" x14ac:dyDescent="0.45">
      <c r="A155" t="s">
        <v>288</v>
      </c>
      <c r="B155">
        <f>SUMPRODUCT(credit_to_gdp_ALL_ctry!B155:R155,uk_export_weight!B155:R155)/SUM(uk_export_weight!B155:R155)</f>
        <v>165.76441310138694</v>
      </c>
      <c r="C155" s="2">
        <v>123456789</v>
      </c>
      <c r="D155" s="2">
        <v>123456789</v>
      </c>
    </row>
    <row r="156" spans="1:4" x14ac:dyDescent="0.45">
      <c r="A156" t="s">
        <v>289</v>
      </c>
      <c r="B156">
        <f>SUMPRODUCT(credit_to_gdp_ALL_ctry!B156:R156,uk_export_weight!B156:R156)/SUM(uk_export_weight!B156:R156)</f>
        <v>166.78655013465522</v>
      </c>
      <c r="C156" s="2">
        <v>123456789</v>
      </c>
      <c r="D156" s="2">
        <v>123456789</v>
      </c>
    </row>
    <row r="157" spans="1:4" x14ac:dyDescent="0.45">
      <c r="A157" t="s">
        <v>290</v>
      </c>
      <c r="B157">
        <f>SUMPRODUCT(credit_to_gdp_ALL_ctry!B157:R157,uk_export_weight!B157:R157)/SUM(uk_export_weight!B157:R157)</f>
        <v>167.49923939252966</v>
      </c>
      <c r="C157" s="2">
        <v>123456789</v>
      </c>
      <c r="D157" s="2">
        <v>123456789</v>
      </c>
    </row>
    <row r="158" spans="1:4" x14ac:dyDescent="0.45">
      <c r="A158" t="s">
        <v>291</v>
      </c>
      <c r="B158">
        <f>SUMPRODUCT(credit_to_gdp_ALL_ctry!B158:R158,uk_export_weight!B158:R158)/SUM(uk_export_weight!B158:R158)</f>
        <v>168.50019538115541</v>
      </c>
      <c r="C158" s="2">
        <v>123456789</v>
      </c>
      <c r="D158" s="2">
        <v>123456789</v>
      </c>
    </row>
    <row r="159" spans="1:4" x14ac:dyDescent="0.45">
      <c r="A159" t="s">
        <v>292</v>
      </c>
      <c r="B159">
        <f>SUMPRODUCT(credit_to_gdp_ALL_ctry!B159:R159,uk_export_weight!B159:R159)/SUM(uk_export_weight!B159:R159)</f>
        <v>170.39386655822301</v>
      </c>
      <c r="C159" s="2">
        <v>123456789</v>
      </c>
      <c r="D159" s="2">
        <v>123456789</v>
      </c>
    </row>
    <row r="160" spans="1:4" x14ac:dyDescent="0.45">
      <c r="A160" t="s">
        <v>293</v>
      </c>
      <c r="B160">
        <f>SUMPRODUCT(credit_to_gdp_ALL_ctry!B160:R160,uk_export_weight!B160:R160)/SUM(uk_export_weight!B160:R160)</f>
        <v>171.36243826572229</v>
      </c>
      <c r="C160" s="2">
        <v>123456789</v>
      </c>
      <c r="D160" s="2">
        <v>123456789</v>
      </c>
    </row>
    <row r="161" spans="1:4" x14ac:dyDescent="0.45">
      <c r="A161" t="s">
        <v>294</v>
      </c>
      <c r="B161">
        <f>SUMPRODUCT(credit_to_gdp_ALL_ctry!B161:R161,uk_export_weight!B161:R161)/SUM(uk_export_weight!B161:R161)</f>
        <v>171.72078894887369</v>
      </c>
      <c r="C161" s="2">
        <v>123456789</v>
      </c>
      <c r="D161" s="2">
        <v>123456789</v>
      </c>
    </row>
    <row r="162" spans="1:4" x14ac:dyDescent="0.45">
      <c r="A162" t="s">
        <v>295</v>
      </c>
      <c r="B162">
        <f>SUMPRODUCT(credit_to_gdp_ALL_ctry!B162:R162,uk_export_weight!B162:R162)/SUM(uk_export_weight!B162:R162)</f>
        <v>172.64402340760063</v>
      </c>
      <c r="C162" s="2">
        <v>123456789</v>
      </c>
      <c r="D162" s="2">
        <v>123456789</v>
      </c>
    </row>
    <row r="163" spans="1:4" x14ac:dyDescent="0.45">
      <c r="A163" t="s">
        <v>296</v>
      </c>
      <c r="B163">
        <f>SUMPRODUCT(credit_to_gdp_ALL_ctry!B163:R163,uk_export_weight!B163:R163)/SUM(uk_export_weight!B163:R163)</f>
        <v>172.08956149304566</v>
      </c>
      <c r="C163" s="2">
        <v>123456789</v>
      </c>
      <c r="D163" s="2">
        <v>123456789</v>
      </c>
    </row>
    <row r="164" spans="1:4" x14ac:dyDescent="0.45">
      <c r="A164" t="s">
        <v>297</v>
      </c>
      <c r="B164">
        <f>SUMPRODUCT(credit_to_gdp_ALL_ctry!B164:R164,uk_export_weight!B164:R164)/SUM(uk_export_weight!B164:R164)</f>
        <v>170.74497534551696</v>
      </c>
      <c r="C164" s="2">
        <v>123456789</v>
      </c>
      <c r="D164" s="2">
        <v>123456789</v>
      </c>
    </row>
    <row r="165" spans="1:4" x14ac:dyDescent="0.45">
      <c r="A165" t="s">
        <v>298</v>
      </c>
      <c r="B165">
        <f>SUMPRODUCT(credit_to_gdp_ALL_ctry!B165:R165,uk_export_weight!B165:R165)/SUM(uk_export_weight!B165:R165)</f>
        <v>169.31201407769231</v>
      </c>
      <c r="C165" s="2">
        <v>123456789</v>
      </c>
      <c r="D165" s="2">
        <v>123456789</v>
      </c>
    </row>
    <row r="166" spans="1:4" x14ac:dyDescent="0.45">
      <c r="A166" t="s">
        <v>299</v>
      </c>
      <c r="B166">
        <f>SUMPRODUCT(credit_to_gdp_ALL_ctry!B166:R166,uk_export_weight!B166:R166)/SUM(uk_export_weight!B166:R166)</f>
        <v>171.39615353101564</v>
      </c>
      <c r="C166" s="2">
        <v>123456789</v>
      </c>
      <c r="D166" s="2">
        <v>123456789</v>
      </c>
    </row>
    <row r="167" spans="1:4" x14ac:dyDescent="0.45">
      <c r="A167" t="s">
        <v>300</v>
      </c>
      <c r="B167">
        <f>SUMPRODUCT(credit_to_gdp_ALL_ctry!B167:R167,uk_export_weight!B167:R167)/SUM(uk_export_weight!B167:R167)</f>
        <v>170.86308618551362</v>
      </c>
      <c r="C167" s="2">
        <v>123456789</v>
      </c>
      <c r="D167" s="2">
        <v>123456789</v>
      </c>
    </row>
    <row r="168" spans="1:4" x14ac:dyDescent="0.45">
      <c r="A168" t="s">
        <v>301</v>
      </c>
      <c r="B168">
        <f>SUMPRODUCT(credit_to_gdp_ALL_ctry!B168:R168,uk_export_weight!B168:R168)/SUM(uk_export_weight!B168:R168)</f>
        <v>171.51883769030482</v>
      </c>
      <c r="C168" s="2">
        <v>123456789</v>
      </c>
      <c r="D168" s="2">
        <v>123456789</v>
      </c>
    </row>
    <row r="169" spans="1:4" x14ac:dyDescent="0.45">
      <c r="A169" t="s">
        <v>302</v>
      </c>
      <c r="B169">
        <f>SUMPRODUCT(credit_to_gdp_ALL_ctry!B169:R169,uk_export_weight!B169:R169)/SUM(uk_export_weight!B169:R169)</f>
        <v>171.59100745548471</v>
      </c>
      <c r="C169" s="2">
        <v>123456789</v>
      </c>
      <c r="D169" s="2">
        <v>123456789</v>
      </c>
    </row>
    <row r="170" spans="1:4" x14ac:dyDescent="0.45">
      <c r="A170" t="s">
        <v>303</v>
      </c>
      <c r="B170">
        <f>SUMPRODUCT(credit_to_gdp_ALL_ctry!B170:R170,uk_export_weight!B170:R170)/SUM(uk_export_weight!B170:R170)</f>
        <v>166.77457539153363</v>
      </c>
      <c r="C170" s="2">
        <v>123456789</v>
      </c>
      <c r="D170" s="2">
        <v>123456789</v>
      </c>
    </row>
    <row r="171" spans="1:4" x14ac:dyDescent="0.45">
      <c r="A171" t="s">
        <v>304</v>
      </c>
      <c r="B171">
        <f>SUMPRODUCT(credit_to_gdp_ALL_ctry!B171:R171,uk_export_weight!B171:R171)/SUM(uk_export_weight!B171:R171)</f>
        <v>167.02059497837567</v>
      </c>
      <c r="C171" s="2">
        <v>123456789</v>
      </c>
      <c r="D171" s="2">
        <v>123456789</v>
      </c>
    </row>
    <row r="172" spans="1:4" x14ac:dyDescent="0.45">
      <c r="A172" t="s">
        <v>305</v>
      </c>
      <c r="B172">
        <f>SUMPRODUCT(credit_to_gdp_ALL_ctry!B172:R172,uk_export_weight!B172:R172)/SUM(uk_export_weight!B172:R172)</f>
        <v>167.16595324174628</v>
      </c>
      <c r="C172" s="2">
        <v>123456789</v>
      </c>
      <c r="D172" s="2">
        <v>123456789</v>
      </c>
    </row>
    <row r="173" spans="1:4" x14ac:dyDescent="0.45">
      <c r="A173" t="s">
        <v>306</v>
      </c>
      <c r="B173">
        <f>SUMPRODUCT(credit_to_gdp_ALL_ctry!B173:R173,uk_export_weight!B173:R173)/SUM(uk_export_weight!B173:R173)</f>
        <v>166.56300634043552</v>
      </c>
      <c r="C173" s="2">
        <v>123456789</v>
      </c>
      <c r="D173" s="2">
        <v>123456789</v>
      </c>
    </row>
    <row r="174" spans="1:4" x14ac:dyDescent="0.45">
      <c r="A174" t="s">
        <v>307</v>
      </c>
      <c r="B174">
        <f>SUMPRODUCT(credit_to_gdp_ALL_ctry!B174:R174,uk_export_weight!B174:R174)/SUM(uk_export_weight!B174:R174)</f>
        <v>179.48099702554848</v>
      </c>
      <c r="C174" s="2">
        <v>123456789</v>
      </c>
      <c r="D174" s="2">
        <v>123456789</v>
      </c>
    </row>
    <row r="175" spans="1:4" x14ac:dyDescent="0.45">
      <c r="A175" t="s">
        <v>308</v>
      </c>
      <c r="B175">
        <f>SUMPRODUCT(credit_to_gdp_ALL_ctry!B175:R175,uk_export_weight!B175:R175)/SUM(uk_export_weight!B175:R175)</f>
        <v>179.37112751881043</v>
      </c>
      <c r="C175" s="2">
        <v>123456789</v>
      </c>
      <c r="D175" s="2">
        <v>123456789</v>
      </c>
    </row>
    <row r="176" spans="1:4" x14ac:dyDescent="0.45">
      <c r="A176" t="s">
        <v>309</v>
      </c>
      <c r="B176">
        <f>SUMPRODUCT(credit_to_gdp_ALL_ctry!B176:R176,uk_export_weight!B176:R176)/SUM(uk_export_weight!B176:R176)</f>
        <v>178.79316119753958</v>
      </c>
      <c r="C176" s="2">
        <v>123456789</v>
      </c>
      <c r="D176" s="2">
        <v>123456789</v>
      </c>
    </row>
    <row r="177" spans="1:4" x14ac:dyDescent="0.45">
      <c r="A177" t="s">
        <v>310</v>
      </c>
      <c r="B177">
        <f>SUMPRODUCT(credit_to_gdp_ALL_ctry!B177:R177,uk_export_weight!B177:R177)/SUM(uk_export_weight!B177:R177)</f>
        <v>179.27982332601141</v>
      </c>
      <c r="C177" s="2">
        <v>123456789</v>
      </c>
      <c r="D177" s="2">
        <v>123456789</v>
      </c>
    </row>
    <row r="178" spans="1:4" x14ac:dyDescent="0.45">
      <c r="A178" t="s">
        <v>311</v>
      </c>
      <c r="B178">
        <f>SUMPRODUCT(credit_to_gdp_ALL_ctry!B178:R178,uk_export_weight!B178:R178)/SUM(uk_export_weight!B178:R178)</f>
        <v>170.81000881837437</v>
      </c>
      <c r="C178" s="2">
        <v>123456789</v>
      </c>
      <c r="D178" s="2">
        <v>123456789</v>
      </c>
    </row>
    <row r="179" spans="1:4" x14ac:dyDescent="0.45">
      <c r="A179" t="s">
        <v>312</v>
      </c>
      <c r="B179">
        <f>SUMPRODUCT(credit_to_gdp_ALL_ctry!B179:R179,uk_export_weight!B179:R179)/SUM(uk_export_weight!B179:R179)</f>
        <v>170.96917894370037</v>
      </c>
      <c r="C179" s="2">
        <v>123456789</v>
      </c>
      <c r="D179" s="2">
        <v>123456789</v>
      </c>
    </row>
    <row r="180" spans="1:4" x14ac:dyDescent="0.45">
      <c r="A180" t="s">
        <v>313</v>
      </c>
      <c r="B180">
        <f>SUMPRODUCT(credit_to_gdp_ALL_ctry!B180:R180,uk_export_weight!B180:R180)/SUM(uk_export_weight!B180:R180)</f>
        <v>170.03747398191331</v>
      </c>
      <c r="C180" s="2">
        <v>123456789</v>
      </c>
      <c r="D180" s="2">
        <v>123456789</v>
      </c>
    </row>
    <row r="181" spans="1:4" x14ac:dyDescent="0.45">
      <c r="A181" t="s">
        <v>314</v>
      </c>
      <c r="B181">
        <f>SUMPRODUCT(credit_to_gdp_ALL_ctry!B181:R181,uk_export_weight!B181:R181)/SUM(uk_export_weight!B181:R181)</f>
        <v>169.2697500442568</v>
      </c>
      <c r="C181" s="2">
        <v>123456789</v>
      </c>
      <c r="D181" s="2">
        <v>123456789</v>
      </c>
    </row>
    <row r="182" spans="1:4" x14ac:dyDescent="0.45">
      <c r="A182" t="s">
        <v>315</v>
      </c>
      <c r="B182">
        <f>SUMPRODUCT(credit_to_gdp_ALL_ctry!B182:R182,uk_export_weight!B182:R182)/SUM(uk_export_weight!B182:R182)</f>
        <v>168.58369796389925</v>
      </c>
      <c r="C182" s="2">
        <v>123456789</v>
      </c>
      <c r="D182" s="2">
        <v>123456789</v>
      </c>
    </row>
    <row r="183" spans="1:4" x14ac:dyDescent="0.45">
      <c r="A183" t="s">
        <v>316</v>
      </c>
      <c r="B183">
        <f>SUMPRODUCT(credit_to_gdp_ALL_ctry!B183:R183,uk_export_weight!B183:R183)/SUM(uk_export_weight!B183:R183)</f>
        <v>168.52668151737126</v>
      </c>
      <c r="C183" s="2">
        <v>123456789</v>
      </c>
      <c r="D183" s="2">
        <v>123456789</v>
      </c>
    </row>
    <row r="184" spans="1:4" x14ac:dyDescent="0.45">
      <c r="A184" t="s">
        <v>317</v>
      </c>
      <c r="B184">
        <f>SUMPRODUCT(credit_to_gdp_ALL_ctry!B184:R184,uk_export_weight!B184:R184)/SUM(uk_export_weight!B184:R184)</f>
        <v>168.7120712503505</v>
      </c>
      <c r="C184" s="2">
        <v>123456789</v>
      </c>
      <c r="D184" s="2">
        <v>123456789</v>
      </c>
    </row>
    <row r="185" spans="1:4" x14ac:dyDescent="0.45">
      <c r="A185" t="s">
        <v>318</v>
      </c>
      <c r="B185">
        <f>SUMPRODUCT(credit_to_gdp_ALL_ctry!B185:R185,uk_export_weight!B185:R185)/SUM(uk_export_weight!B185:R185)</f>
        <v>169.33599384608237</v>
      </c>
      <c r="C185" s="2">
        <v>123456789</v>
      </c>
      <c r="D185" s="2">
        <v>123456789</v>
      </c>
    </row>
    <row r="186" spans="1:4" x14ac:dyDescent="0.45">
      <c r="A186" t="s">
        <v>319</v>
      </c>
      <c r="B186">
        <f>SUMPRODUCT(credit_to_gdp_ALL_ctry!B186:R186,uk_export_weight!B186:R186)/SUM(uk_export_weight!B186:R186)</f>
        <v>166.27530594513109</v>
      </c>
      <c r="C186" s="2">
        <v>123456789</v>
      </c>
      <c r="D186" s="2">
        <v>123456789</v>
      </c>
    </row>
    <row r="187" spans="1:4" x14ac:dyDescent="0.45">
      <c r="A187" t="s">
        <v>320</v>
      </c>
      <c r="B187">
        <f>SUMPRODUCT(credit_to_gdp_ALL_ctry!B187:R187,uk_export_weight!B187:R187)/SUM(uk_export_weight!B187:R187)</f>
        <v>167.00122821800178</v>
      </c>
      <c r="C187" s="2">
        <v>123456789</v>
      </c>
      <c r="D187" s="2">
        <v>123456789</v>
      </c>
    </row>
    <row r="188" spans="1:4" x14ac:dyDescent="0.45">
      <c r="A188" t="s">
        <v>321</v>
      </c>
      <c r="B188">
        <f>SUMPRODUCT(credit_to_gdp_ALL_ctry!B188:R188,uk_export_weight!B188:R188)/SUM(uk_export_weight!B188:R188)</f>
        <v>167.57420529911764</v>
      </c>
      <c r="C188" s="2">
        <v>123456789</v>
      </c>
      <c r="D188" s="2">
        <v>123456789</v>
      </c>
    </row>
    <row r="189" spans="1:4" x14ac:dyDescent="0.45">
      <c r="A189" t="s">
        <v>322</v>
      </c>
      <c r="B189">
        <f>SUMPRODUCT(credit_to_gdp_ALL_ctry!B189:R189,uk_export_weight!B189:R189)/SUM(uk_export_weight!B189:R189)</f>
        <v>167.58421764732327</v>
      </c>
      <c r="C189" s="2">
        <v>123456789</v>
      </c>
      <c r="D189" s="2">
        <v>123456789</v>
      </c>
    </row>
    <row r="190" spans="1:4" x14ac:dyDescent="0.45">
      <c r="A190" t="s">
        <v>323</v>
      </c>
      <c r="B190">
        <f>SUMPRODUCT(credit_to_gdp_ALL_ctry!B190:R190,uk_export_weight!B190:R190)/SUM(uk_export_weight!B190:R190)</f>
        <v>169.02527317266043</v>
      </c>
      <c r="C190" s="2">
        <v>123456789</v>
      </c>
      <c r="D190" s="2">
        <v>123456789</v>
      </c>
    </row>
    <row r="191" spans="1:4" x14ac:dyDescent="0.45">
      <c r="A191" t="s">
        <v>324</v>
      </c>
      <c r="B191">
        <f>SUMPRODUCT(credit_to_gdp_ALL_ctry!B191:R191,uk_export_weight!B191:R191)/SUM(uk_export_weight!B191:R191)</f>
        <v>169.30035110509488</v>
      </c>
      <c r="C191" s="2">
        <v>123456789</v>
      </c>
      <c r="D191" s="2">
        <v>123456789</v>
      </c>
    </row>
    <row r="192" spans="1:4" x14ac:dyDescent="0.45">
      <c r="A192" t="s">
        <v>325</v>
      </c>
      <c r="B192">
        <f>SUMPRODUCT(credit_to_gdp_ALL_ctry!B192:R192,uk_export_weight!B192:R192)/SUM(uk_export_weight!B192:R192)</f>
        <v>168.85057805025568</v>
      </c>
      <c r="C192" s="2">
        <v>123456789</v>
      </c>
      <c r="D192" s="2">
        <v>123456789</v>
      </c>
    </row>
    <row r="193" spans="1:4" x14ac:dyDescent="0.45">
      <c r="A193" t="s">
        <v>326</v>
      </c>
      <c r="B193">
        <f>SUMPRODUCT(credit_to_gdp_ALL_ctry!B193:R193,uk_export_weight!B193:R193)/SUM(uk_export_weight!B193:R193)</f>
        <v>169.40235231194879</v>
      </c>
      <c r="C193" s="2">
        <v>123456789</v>
      </c>
      <c r="D193" s="2">
        <v>123456789</v>
      </c>
    </row>
    <row r="194" spans="1:4" x14ac:dyDescent="0.45">
      <c r="A194" t="s">
        <v>327</v>
      </c>
      <c r="B194">
        <f>SUMPRODUCT(credit_to_gdp_ALL_ctry!B194:R194,uk_export_weight!B194:R194)/SUM(uk_export_weight!B194:R194)</f>
        <v>171.43675568989963</v>
      </c>
      <c r="C194" s="2">
        <v>123456789</v>
      </c>
      <c r="D194" s="2">
        <v>123456789</v>
      </c>
    </row>
    <row r="195" spans="1:4" x14ac:dyDescent="0.45">
      <c r="A195" t="s">
        <v>328</v>
      </c>
      <c r="B195">
        <f>SUMPRODUCT(credit_to_gdp_ALL_ctry!B195:R195,uk_export_weight!B195:R195)/SUM(uk_export_weight!B195:R195)</f>
        <v>171.36033643191811</v>
      </c>
      <c r="C195" s="2">
        <v>123456789</v>
      </c>
      <c r="D195" s="2">
        <v>123456789</v>
      </c>
    </row>
    <row r="196" spans="1:4" x14ac:dyDescent="0.45">
      <c r="A196" t="s">
        <v>329</v>
      </c>
      <c r="B196">
        <f>SUMPRODUCT(credit_to_gdp_ALL_ctry!B196:R196,uk_export_weight!B196:R196)/SUM(uk_export_weight!B196:R196)</f>
        <v>170.9621263616572</v>
      </c>
      <c r="C196" s="2">
        <v>123456789</v>
      </c>
      <c r="D196" s="2">
        <v>123456789</v>
      </c>
    </row>
    <row r="197" spans="1:4" x14ac:dyDescent="0.45">
      <c r="A197" t="s">
        <v>330</v>
      </c>
      <c r="B197">
        <f>SUMPRODUCT(credit_to_gdp_ALL_ctry!B197:R197,uk_export_weight!B197:R197)/SUM(uk_export_weight!B197:R197)</f>
        <v>170.57171653365072</v>
      </c>
      <c r="C197" s="2">
        <v>123456789</v>
      </c>
      <c r="D197" s="2">
        <v>123456789</v>
      </c>
    </row>
    <row r="198" spans="1:4" x14ac:dyDescent="0.45">
      <c r="A198" t="s">
        <v>331</v>
      </c>
      <c r="B198">
        <f>SUMPRODUCT(credit_to_gdp_ALL_ctry!B198:R198,uk_export_weight!B198:R198)/SUM(uk_export_weight!B198:R198)</f>
        <v>171.46642886012069</v>
      </c>
      <c r="C198" s="2">
        <v>123456789</v>
      </c>
      <c r="D198" s="2">
        <v>123456789</v>
      </c>
    </row>
    <row r="199" spans="1:4" x14ac:dyDescent="0.45">
      <c r="A199" t="s">
        <v>332</v>
      </c>
      <c r="B199">
        <f>SUMPRODUCT(credit_to_gdp_ALL_ctry!B199:R199,uk_export_weight!B199:R199)/SUM(uk_export_weight!B199:R199)</f>
        <v>172.59892931955451</v>
      </c>
      <c r="C199" s="2">
        <v>123456789</v>
      </c>
      <c r="D199" s="2">
        <v>123456789</v>
      </c>
    </row>
    <row r="200" spans="1:4" x14ac:dyDescent="0.45">
      <c r="A200" t="s">
        <v>333</v>
      </c>
      <c r="B200">
        <f>SUMPRODUCT(credit_to_gdp_ALL_ctry!B200:R200,uk_export_weight!B200:R200)/SUM(uk_export_weight!B200:R200)</f>
        <v>173.66720728801118</v>
      </c>
      <c r="C200" s="2">
        <v>123456789</v>
      </c>
      <c r="D200" s="2">
        <v>123456789</v>
      </c>
    </row>
    <row r="201" spans="1:4" x14ac:dyDescent="0.45">
      <c r="A201" t="s">
        <v>334</v>
      </c>
      <c r="B201">
        <f>SUMPRODUCT(credit_to_gdp_ALL_ctry!B201:R201,uk_export_weight!B201:R201)/SUM(uk_export_weight!B201:R201)</f>
        <v>174.41820875756503</v>
      </c>
      <c r="C201" s="2">
        <v>123456789</v>
      </c>
      <c r="D201" s="2">
        <v>123456789</v>
      </c>
    </row>
    <row r="202" spans="1:4" x14ac:dyDescent="0.45">
      <c r="A202" t="s">
        <v>335</v>
      </c>
      <c r="B202">
        <f>SUMPRODUCT(credit_to_gdp_ALL_ctry!B202:R202,uk_export_weight!B202:R202)/SUM(uk_export_weight!B202:R202)</f>
        <v>176.72793112497766</v>
      </c>
      <c r="C202" s="2">
        <v>123456789</v>
      </c>
      <c r="D202" s="2">
        <v>123456789</v>
      </c>
    </row>
    <row r="203" spans="1:4" x14ac:dyDescent="0.45">
      <c r="A203" t="s">
        <v>336</v>
      </c>
      <c r="B203">
        <f>SUMPRODUCT(credit_to_gdp_ALL_ctry!B203:R203,uk_export_weight!B203:R203)/SUM(uk_export_weight!B203:R203)</f>
        <v>184.32574818085823</v>
      </c>
      <c r="C203" s="2">
        <v>123456789</v>
      </c>
      <c r="D203" s="2">
        <v>123456789</v>
      </c>
    </row>
    <row r="204" spans="1:4" x14ac:dyDescent="0.45">
      <c r="A204" t="s">
        <v>337</v>
      </c>
      <c r="B204">
        <f>SUMPRODUCT(credit_to_gdp_ALL_ctry!B204:R204,uk_export_weight!B204:R204)/SUM(uk_export_weight!B204:R204)</f>
        <v>187.02148727046622</v>
      </c>
      <c r="C204" s="2">
        <v>123456789</v>
      </c>
      <c r="D204" s="2">
        <v>123456789</v>
      </c>
    </row>
    <row r="205" spans="1:4" x14ac:dyDescent="0.45">
      <c r="A205" t="s">
        <v>338</v>
      </c>
      <c r="B205">
        <f>SUMPRODUCT(credit_to_gdp_ALL_ctry!B205:R205,uk_export_weight!B205:R205)/SUM(uk_export_weight!B205:R205)</f>
        <v>188.80892092021767</v>
      </c>
      <c r="C205" s="2">
        <v>123456789</v>
      </c>
      <c r="D205" s="2">
        <v>123456789</v>
      </c>
    </row>
    <row r="206" spans="1:4" x14ac:dyDescent="0.45">
      <c r="A206" t="s">
        <v>339</v>
      </c>
      <c r="B206">
        <f>SUMPRODUCT(credit_to_gdp_ALL_ctry!B206:R206,uk_export_weight!B206:R206)/SUM(uk_export_weight!B206:R206)</f>
        <v>190.59494537944576</v>
      </c>
      <c r="C206" s="2">
        <v>123456789</v>
      </c>
      <c r="D206" s="2">
        <v>123456789</v>
      </c>
    </row>
    <row r="207" spans="1:4" x14ac:dyDescent="0.45">
      <c r="A207" t="s">
        <v>340</v>
      </c>
      <c r="B207">
        <f>SUMPRODUCT(credit_to_gdp_ALL_ctry!B207:R207,uk_export_weight!B207:R207)/SUM(uk_export_weight!B207:R207)</f>
        <v>187.02029532120923</v>
      </c>
      <c r="C207" s="2">
        <v>123456789</v>
      </c>
      <c r="D207" s="2">
        <v>123456789</v>
      </c>
    </row>
    <row r="208" spans="1:4" x14ac:dyDescent="0.45">
      <c r="A208" t="s">
        <v>341</v>
      </c>
      <c r="B208">
        <f>SUMPRODUCT(credit_to_gdp_ALL_ctry!B208:R208,uk_export_weight!B208:R208)/SUM(uk_export_weight!B208:R208)</f>
        <v>185.1018353076318</v>
      </c>
      <c r="C208" s="2">
        <v>123456789</v>
      </c>
      <c r="D208" s="2">
        <v>123456789</v>
      </c>
    </row>
    <row r="209" spans="1:4" x14ac:dyDescent="0.45">
      <c r="A209" t="s">
        <v>342</v>
      </c>
      <c r="B209">
        <f>SUMPRODUCT(credit_to_gdp_ALL_ctry!B209:R209,uk_export_weight!B209:R209)/SUM(uk_export_weight!B209:R209)</f>
        <v>183.64266518477439</v>
      </c>
      <c r="C209" s="2">
        <v>123456789</v>
      </c>
      <c r="D209" s="2">
        <v>123456789</v>
      </c>
    </row>
    <row r="210" spans="1:4" x14ac:dyDescent="0.45">
      <c r="A210" t="s">
        <v>343</v>
      </c>
      <c r="B210">
        <f>SUMPRODUCT(credit_to_gdp_ALL_ctry!B210:R210,uk_export_weight!B210:R210)/SUM(uk_export_weight!B210:R210)</f>
        <v>182.11146059070163</v>
      </c>
      <c r="C210" s="2">
        <v>123456789</v>
      </c>
      <c r="D210" s="2">
        <v>123456789</v>
      </c>
    </row>
    <row r="211" spans="1:4" x14ac:dyDescent="0.45">
      <c r="A211" t="s">
        <v>344</v>
      </c>
      <c r="B211">
        <f>SUMPRODUCT(credit_to_gdp_ALL_ctry!B211:R211,uk_export_weight!B211:R211)/SUM(uk_export_weight!B211:R211)</f>
        <v>180.7581433221485</v>
      </c>
      <c r="C211" s="2">
        <v>123456789</v>
      </c>
      <c r="D211" s="2">
        <v>123456789</v>
      </c>
    </row>
    <row r="212" spans="1:4" x14ac:dyDescent="0.45">
      <c r="A212" t="s">
        <v>345</v>
      </c>
      <c r="B212">
        <f>SUMPRODUCT(credit_to_gdp_ALL_ctry!B212:R212,uk_export_weight!B212:R212)/SUM(uk_export_weight!B212:R212)</f>
        <v>179.78260287545481</v>
      </c>
      <c r="C212" s="2">
        <v>123456789</v>
      </c>
      <c r="D212" s="2">
        <v>123456789</v>
      </c>
    </row>
    <row r="213" spans="1:4" x14ac:dyDescent="0.45">
      <c r="A213" t="s">
        <v>346</v>
      </c>
      <c r="B213">
        <f>SUMPRODUCT(credit_to_gdp_ALL_ctry!B213:R213,uk_export_weight!B213:R213)/SUM(uk_export_weight!B213:R213)</f>
        <v>177.74534754891354</v>
      </c>
      <c r="C213" s="2">
        <v>123456789</v>
      </c>
      <c r="D213" s="2">
        <v>123456789</v>
      </c>
    </row>
    <row r="214" spans="1:4" x14ac:dyDescent="0.45">
      <c r="A214" t="s">
        <v>347</v>
      </c>
      <c r="B214">
        <f>SUMPRODUCT(credit_to_gdp_ALL_ctry!B214:R214,uk_export_weight!B214:R214)/SUM(uk_export_weight!B214:R214)</f>
        <v>175.22002755722673</v>
      </c>
      <c r="C214" s="2">
        <v>123456789</v>
      </c>
      <c r="D214" s="2">
        <v>123456789</v>
      </c>
    </row>
    <row r="215" spans="1:4" x14ac:dyDescent="0.45">
      <c r="A215" t="s">
        <v>348</v>
      </c>
      <c r="B215">
        <f>SUMPRODUCT(credit_to_gdp_ALL_ctry!B215:R215,uk_export_weight!B215:R215)/SUM(uk_export_weight!B215:R215)</f>
        <v>173.4906736282646</v>
      </c>
      <c r="C215" s="2">
        <v>123456789</v>
      </c>
      <c r="D215" s="2">
        <v>123456789</v>
      </c>
    </row>
    <row r="216" spans="1:4" x14ac:dyDescent="0.45">
      <c r="A216" t="s">
        <v>349</v>
      </c>
      <c r="B216">
        <f>SUMPRODUCT(credit_to_gdp_ALL_ctry!B216:R216,uk_export_weight!B216:R216)/SUM(uk_export_weight!B216:R216)</f>
        <v>171.54037141727102</v>
      </c>
      <c r="C216" s="2">
        <v>123456789</v>
      </c>
      <c r="D216" s="2">
        <v>123456789</v>
      </c>
    </row>
    <row r="217" spans="1:4" x14ac:dyDescent="0.45">
      <c r="A217" t="s">
        <v>350</v>
      </c>
      <c r="B217">
        <f>SUMPRODUCT(credit_to_gdp_ALL_ctry!B217:R217,uk_export_weight!B217:R217)/SUM(uk_export_weight!B217:R217)</f>
        <v>169.74058444025997</v>
      </c>
      <c r="C217" s="2">
        <v>123456789</v>
      </c>
      <c r="D217" s="2">
        <v>123456789</v>
      </c>
    </row>
    <row r="218" spans="1:4" x14ac:dyDescent="0.45">
      <c r="A218" t="s">
        <v>351</v>
      </c>
      <c r="B218">
        <f>SUMPRODUCT(credit_to_gdp_ALL_ctry!B218:R218,uk_export_weight!B218:R218)/SUM(uk_export_weight!B218:R218)</f>
        <v>169.42592322162074</v>
      </c>
      <c r="C218" s="2">
        <v>123456789</v>
      </c>
      <c r="D218" s="2">
        <v>123456789</v>
      </c>
    </row>
    <row r="219" spans="1:4" x14ac:dyDescent="0.45">
      <c r="A219" t="s">
        <v>352</v>
      </c>
      <c r="B219">
        <f>SUMPRODUCT(credit_to_gdp_ALL_ctry!B219:R219,uk_export_weight!B219:R219)/SUM(uk_export_weight!B219:R219)</f>
        <v>169.47527356508385</v>
      </c>
      <c r="C219" s="2">
        <v>123456789</v>
      </c>
      <c r="D219" s="2">
        <v>123456789</v>
      </c>
    </row>
    <row r="220" spans="1:4" x14ac:dyDescent="0.45">
      <c r="A220" t="s">
        <v>353</v>
      </c>
      <c r="B220">
        <f>SUMPRODUCT(credit_to_gdp_ALL_ctry!B220:R220,uk_export_weight!B220:R220)/SUM(uk_export_weight!B220:R220)</f>
        <v>168.76401917762681</v>
      </c>
      <c r="C220" s="2">
        <v>123456789</v>
      </c>
      <c r="D220" s="2">
        <v>123456789</v>
      </c>
    </row>
    <row r="221" spans="1:4" x14ac:dyDescent="0.45">
      <c r="A221" t="s">
        <v>354</v>
      </c>
      <c r="B221">
        <f>SUMPRODUCT(credit_to_gdp_ALL_ctry!B221:R221,uk_export_weight!B221:R221)/SUM(uk_export_weight!B221:R221)</f>
        <v>167.66819651971682</v>
      </c>
      <c r="C221" s="2">
        <v>123456789</v>
      </c>
      <c r="D221" s="2">
        <v>123456789</v>
      </c>
    </row>
    <row r="222" spans="1:4" x14ac:dyDescent="0.45">
      <c r="A222" t="s">
        <v>355</v>
      </c>
      <c r="B222">
        <f>SUMPRODUCT(credit_to_gdp_ALL_ctry!B222:R222,uk_export_weight!B222:R222)/SUM(uk_export_weight!B222:R222)</f>
        <v>167.26366732847279</v>
      </c>
      <c r="C222" s="2">
        <v>123456789</v>
      </c>
      <c r="D222" s="2">
        <v>123456789</v>
      </c>
    </row>
    <row r="223" spans="1:4" x14ac:dyDescent="0.45">
      <c r="A223" s="40" t="s">
        <v>356</v>
      </c>
      <c r="B223">
        <f>SUMPRODUCT(credit_to_gdp_ALL_ctry!B223:R223,uk_export_weight!B223:R223)/SUM(uk_export_weight!B223:R223)</f>
        <v>166.48671090224488</v>
      </c>
      <c r="C223" s="2">
        <v>123456789</v>
      </c>
      <c r="D223" s="2">
        <v>123456789</v>
      </c>
    </row>
    <row r="224" spans="1:4" x14ac:dyDescent="0.45">
      <c r="A224" s="4" t="s">
        <v>357</v>
      </c>
      <c r="B224">
        <f>SUMPRODUCT(credit_to_gdp_ALL_ctry!B224:R224,uk_export_weight!B224:R224)/SUM(uk_export_weight!B224:R224)</f>
        <v>166.15522325395577</v>
      </c>
      <c r="C224" s="2">
        <v>123456789</v>
      </c>
      <c r="D224" s="2">
        <v>123456789</v>
      </c>
    </row>
    <row r="225" spans="1:4" x14ac:dyDescent="0.45">
      <c r="A225" s="4" t="s">
        <v>438</v>
      </c>
      <c r="B225">
        <f>SUMPRODUCT(credit_to_gdp_ALL_ctry!B225:R225,uk_export_weight!B225:R225)/SUM(uk_export_weight!B225:R225)</f>
        <v>166.15522325395577</v>
      </c>
      <c r="C225" s="2">
        <v>123456789</v>
      </c>
      <c r="D225" s="2">
        <v>123456789</v>
      </c>
    </row>
    <row r="226" spans="1:4" x14ac:dyDescent="0.45">
      <c r="A226" s="4" t="s">
        <v>441</v>
      </c>
      <c r="B226">
        <f>SUMPRODUCT(credit_to_gdp_ALL_ctry!B226:R226,uk_export_weight!B226:R226)/SUM(uk_export_weight!B226:R226)</f>
        <v>166.15522325395577</v>
      </c>
      <c r="C226" s="2">
        <v>123456789</v>
      </c>
      <c r="D226" s="2">
        <v>123456789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9938-DCE1-4F44-B166-172AE3399995}">
  <sheetPr>
    <tabColor theme="9" tint="0.79998168889431442"/>
  </sheetPr>
  <dimension ref="A1:D226"/>
  <sheetViews>
    <sheetView topLeftCell="A201" workbookViewId="0">
      <selection activeCell="B46" sqref="B46:B226"/>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C14" s="2">
        <v>123456789</v>
      </c>
      <c r="D14" s="2">
        <v>123456789</v>
      </c>
    </row>
    <row r="15" spans="1:4" x14ac:dyDescent="0.45">
      <c r="A15" t="s">
        <v>148</v>
      </c>
      <c r="C15" s="2">
        <v>123456789</v>
      </c>
      <c r="D15" s="2">
        <v>123456789</v>
      </c>
    </row>
    <row r="16" spans="1:4" x14ac:dyDescent="0.45">
      <c r="A16" t="s">
        <v>149</v>
      </c>
      <c r="C16" s="2">
        <v>123456789</v>
      </c>
      <c r="D16" s="2">
        <v>123456789</v>
      </c>
    </row>
    <row r="17" spans="1:4" x14ac:dyDescent="0.45">
      <c r="A17" t="s">
        <v>150</v>
      </c>
      <c r="C17" s="2">
        <v>123456789</v>
      </c>
      <c r="D17" s="2">
        <v>123456789</v>
      </c>
    </row>
    <row r="18" spans="1:4" x14ac:dyDescent="0.45">
      <c r="A18" t="s">
        <v>151</v>
      </c>
      <c r="C18" s="2">
        <v>123456789</v>
      </c>
      <c r="D18" s="2">
        <v>123456789</v>
      </c>
    </row>
    <row r="19" spans="1:4" x14ac:dyDescent="0.45">
      <c r="A19" t="s">
        <v>152</v>
      </c>
      <c r="C19" s="2">
        <v>123456789</v>
      </c>
      <c r="D19" s="2">
        <v>123456789</v>
      </c>
    </row>
    <row r="20" spans="1:4" x14ac:dyDescent="0.45">
      <c r="A20" t="s">
        <v>153</v>
      </c>
      <c r="C20" s="2">
        <v>123456789</v>
      </c>
      <c r="D20" s="2">
        <v>123456789</v>
      </c>
    </row>
    <row r="21" spans="1:4" x14ac:dyDescent="0.45">
      <c r="A21" t="s">
        <v>154</v>
      </c>
      <c r="C21" s="2">
        <v>123456789</v>
      </c>
      <c r="D21" s="2">
        <v>123456789</v>
      </c>
    </row>
    <row r="22" spans="1:4" x14ac:dyDescent="0.45">
      <c r="A22" t="s">
        <v>155</v>
      </c>
      <c r="B22">
        <f>(LN(global_credit_level!B22)-LN(global_credit_level!B14)) * 100</f>
        <v>-0.83949339302478165</v>
      </c>
      <c r="C22" s="2">
        <v>123456789</v>
      </c>
      <c r="D22" s="2">
        <v>123456789</v>
      </c>
    </row>
    <row r="23" spans="1:4" x14ac:dyDescent="0.45">
      <c r="A23" t="s">
        <v>156</v>
      </c>
      <c r="B23">
        <f>(LN(global_credit_level!B23)-LN(global_credit_level!B15)) * 100</f>
        <v>-1.2800531765155831</v>
      </c>
      <c r="C23" s="2">
        <v>123456789</v>
      </c>
      <c r="D23" s="2">
        <v>123456789</v>
      </c>
    </row>
    <row r="24" spans="1:4" x14ac:dyDescent="0.45">
      <c r="A24" t="s">
        <v>157</v>
      </c>
      <c r="B24">
        <f>(LN(global_credit_level!B24)-LN(global_credit_level!B16)) * 100</f>
        <v>-1.5364279184419516</v>
      </c>
      <c r="C24" s="2">
        <v>123456789</v>
      </c>
      <c r="D24" s="2">
        <v>123456789</v>
      </c>
    </row>
    <row r="25" spans="1:4" x14ac:dyDescent="0.45">
      <c r="A25" t="s">
        <v>158</v>
      </c>
      <c r="B25">
        <f>(LN(global_credit_level!B25)-LN(global_credit_level!B17)) * 100</f>
        <v>-0.51227410628689185</v>
      </c>
      <c r="C25" s="2">
        <v>123456789</v>
      </c>
      <c r="D25" s="2">
        <v>123456789</v>
      </c>
    </row>
    <row r="26" spans="1:4" x14ac:dyDescent="0.45">
      <c r="A26" t="s">
        <v>159</v>
      </c>
      <c r="B26">
        <f>(LN(global_credit_level!B26)-LN(global_credit_level!B18)) * 100</f>
        <v>-1.7192152917496983</v>
      </c>
      <c r="C26" s="2">
        <v>123456789</v>
      </c>
      <c r="D26" s="2">
        <v>123456789</v>
      </c>
    </row>
    <row r="27" spans="1:4" x14ac:dyDescent="0.45">
      <c r="A27" t="s">
        <v>160</v>
      </c>
      <c r="B27">
        <f>(LN(global_credit_level!B27)-LN(global_credit_level!B19)) * 100</f>
        <v>-2.2208379504280451</v>
      </c>
      <c r="C27" s="2">
        <v>123456789</v>
      </c>
      <c r="D27" s="2">
        <v>123456789</v>
      </c>
    </row>
    <row r="28" spans="1:4" x14ac:dyDescent="0.45">
      <c r="A28" t="s">
        <v>161</v>
      </c>
      <c r="B28">
        <f>(LN(global_credit_level!B28)-LN(global_credit_level!B20)) * 100</f>
        <v>-2.3296215184863023</v>
      </c>
      <c r="C28" s="2">
        <v>123456789</v>
      </c>
      <c r="D28" s="2">
        <v>123456789</v>
      </c>
    </row>
    <row r="29" spans="1:4" x14ac:dyDescent="0.45">
      <c r="A29" t="s">
        <v>162</v>
      </c>
      <c r="B29">
        <f>(LN(global_credit_level!B29)-LN(global_credit_level!B21)) * 100</f>
        <v>-0.45929513096405472</v>
      </c>
      <c r="C29" s="2">
        <v>123456789</v>
      </c>
      <c r="D29" s="2">
        <v>123456789</v>
      </c>
    </row>
    <row r="30" spans="1:4" x14ac:dyDescent="0.45">
      <c r="A30" t="s">
        <v>163</v>
      </c>
      <c r="B30">
        <f>(LN(global_credit_level!B30)-LN(global_credit_level!B22)) * 100</f>
        <v>-0.58296110706947957</v>
      </c>
      <c r="C30" s="2">
        <v>123456789</v>
      </c>
      <c r="D30" s="2">
        <v>123456789</v>
      </c>
    </row>
    <row r="31" spans="1:4" x14ac:dyDescent="0.45">
      <c r="A31" t="s">
        <v>164</v>
      </c>
      <c r="B31">
        <f>(LN(global_credit_level!B31)-LN(global_credit_level!B23)) * 100</f>
        <v>-0.16784789851991277</v>
      </c>
      <c r="C31" s="2">
        <v>123456789</v>
      </c>
      <c r="D31" s="2">
        <v>123456789</v>
      </c>
    </row>
    <row r="32" spans="1:4" x14ac:dyDescent="0.45">
      <c r="A32" t="s">
        <v>165</v>
      </c>
      <c r="B32">
        <f>(LN(global_credit_level!B32)-LN(global_credit_level!B24)) * 100</f>
        <v>0.1521061578951155</v>
      </c>
      <c r="C32" s="2">
        <v>123456789</v>
      </c>
      <c r="D32" s="2">
        <v>123456789</v>
      </c>
    </row>
    <row r="33" spans="1:4" x14ac:dyDescent="0.45">
      <c r="A33" t="s">
        <v>166</v>
      </c>
      <c r="B33">
        <f>(LN(global_credit_level!B33)-LN(global_credit_level!B25)) * 100</f>
        <v>9.8213391692159036E-2</v>
      </c>
      <c r="C33" s="2">
        <v>123456789</v>
      </c>
      <c r="D33" s="2">
        <v>123456789</v>
      </c>
    </row>
    <row r="34" spans="1:4" x14ac:dyDescent="0.45">
      <c r="A34" t="s">
        <v>167</v>
      </c>
      <c r="B34">
        <f>(LN(global_credit_level!B34)-LN(global_credit_level!B26)) * 100</f>
        <v>1.6221476512271238</v>
      </c>
      <c r="C34" s="2">
        <v>123456789</v>
      </c>
      <c r="D34" s="2">
        <v>123456789</v>
      </c>
    </row>
    <row r="35" spans="1:4" x14ac:dyDescent="0.45">
      <c r="A35" t="s">
        <v>168</v>
      </c>
      <c r="B35">
        <f>(LN(global_credit_level!B35)-LN(global_credit_level!B27)) * 100</f>
        <v>1.6865172930614847</v>
      </c>
      <c r="C35" s="2">
        <v>123456789</v>
      </c>
      <c r="D35" s="2">
        <v>123456789</v>
      </c>
    </row>
    <row r="36" spans="1:4" x14ac:dyDescent="0.45">
      <c r="A36" t="s">
        <v>169</v>
      </c>
      <c r="B36">
        <f>(LN(global_credit_level!B36)-LN(global_credit_level!B28)) * 100</f>
        <v>1.3222719130681071</v>
      </c>
      <c r="C36" s="2">
        <v>123456789</v>
      </c>
      <c r="D36" s="2">
        <v>123456789</v>
      </c>
    </row>
    <row r="37" spans="1:4" x14ac:dyDescent="0.45">
      <c r="A37" t="s">
        <v>170</v>
      </c>
      <c r="B37">
        <f>(LN(global_credit_level!B37)-LN(global_credit_level!B29)) * 100</f>
        <v>2.0081257048015999</v>
      </c>
      <c r="C37" s="2">
        <v>123456789</v>
      </c>
      <c r="D37" s="2">
        <v>123456789</v>
      </c>
    </row>
    <row r="38" spans="1:4" x14ac:dyDescent="0.45">
      <c r="A38" t="s">
        <v>171</v>
      </c>
      <c r="B38">
        <f>(LN(global_credit_level!B38)-LN(global_credit_level!B30)) * 100</f>
        <v>1.77373230008806</v>
      </c>
      <c r="C38" s="2">
        <v>123456789</v>
      </c>
      <c r="D38" s="2">
        <v>123456789</v>
      </c>
    </row>
    <row r="39" spans="1:4" x14ac:dyDescent="0.45">
      <c r="A39" t="s">
        <v>172</v>
      </c>
      <c r="B39">
        <f>(LN(global_credit_level!B39)-LN(global_credit_level!B31)) * 100</f>
        <v>1.8465407847573445</v>
      </c>
      <c r="C39" s="2">
        <v>123456789</v>
      </c>
      <c r="D39" s="2">
        <v>123456789</v>
      </c>
    </row>
    <row r="40" spans="1:4" x14ac:dyDescent="0.45">
      <c r="A40" t="s">
        <v>173</v>
      </c>
      <c r="B40">
        <f>(LN(global_credit_level!B40)-LN(global_credit_level!B32)) * 100</f>
        <v>1.5414730370004293</v>
      </c>
      <c r="C40" s="2">
        <v>123456789</v>
      </c>
      <c r="D40" s="2">
        <v>123456789</v>
      </c>
    </row>
    <row r="41" spans="1:4" x14ac:dyDescent="0.45">
      <c r="A41" t="s">
        <v>174</v>
      </c>
      <c r="B41">
        <f>(LN(global_credit_level!B41)-LN(global_credit_level!B33)) * 100</f>
        <v>1.3474223049294132</v>
      </c>
      <c r="C41" s="2">
        <v>123456789</v>
      </c>
      <c r="D41" s="2">
        <v>123456789</v>
      </c>
    </row>
    <row r="42" spans="1:4" x14ac:dyDescent="0.45">
      <c r="A42" t="s">
        <v>175</v>
      </c>
      <c r="B42">
        <f>(LN(global_credit_level!B42)-LN(global_credit_level!B34)) * 100</f>
        <v>-0.17637908004619618</v>
      </c>
      <c r="C42" s="2">
        <v>123456789</v>
      </c>
      <c r="D42" s="2">
        <v>123456789</v>
      </c>
    </row>
    <row r="43" spans="1:4" x14ac:dyDescent="0.45">
      <c r="A43" t="s">
        <v>176</v>
      </c>
      <c r="B43">
        <f>(LN(global_credit_level!B43)-LN(global_credit_level!B35)) * 100</f>
        <v>0.54505338223744815</v>
      </c>
      <c r="C43" s="2">
        <v>123456789</v>
      </c>
      <c r="D43" s="2">
        <v>123456789</v>
      </c>
    </row>
    <row r="44" spans="1:4" x14ac:dyDescent="0.45">
      <c r="A44" t="s">
        <v>177</v>
      </c>
      <c r="B44">
        <f>(LN(global_credit_level!B44)-LN(global_credit_level!B36)) * 100</f>
        <v>1.0299195682550888</v>
      </c>
      <c r="C44" s="2">
        <v>123456789</v>
      </c>
      <c r="D44" s="2">
        <v>123456789</v>
      </c>
    </row>
    <row r="45" spans="1:4" x14ac:dyDescent="0.45">
      <c r="A45" t="s">
        <v>178</v>
      </c>
      <c r="B45">
        <f>(LN(global_credit_level!B45)-LN(global_credit_level!B37)) * 100</f>
        <v>1.6091322397726593</v>
      </c>
      <c r="C45" s="2">
        <v>123456789</v>
      </c>
      <c r="D45" s="2">
        <v>123456789</v>
      </c>
    </row>
    <row r="46" spans="1:4" x14ac:dyDescent="0.45">
      <c r="A46" t="s">
        <v>179</v>
      </c>
      <c r="B46">
        <f>(LN(global_credit_level!B46)-LN(global_credit_level!B38)) * 100</f>
        <v>2.9548427105645203</v>
      </c>
      <c r="C46" s="2">
        <v>123456789</v>
      </c>
      <c r="D46" s="2">
        <v>123456789</v>
      </c>
    </row>
    <row r="47" spans="1:4" x14ac:dyDescent="0.45">
      <c r="A47" t="s">
        <v>180</v>
      </c>
      <c r="B47">
        <f>(LN(global_credit_level!B47)-LN(global_credit_level!B39)) * 100</f>
        <v>2.8449994719262683</v>
      </c>
      <c r="C47" s="2">
        <v>123456789</v>
      </c>
      <c r="D47" s="2">
        <v>123456789</v>
      </c>
    </row>
    <row r="48" spans="1:4" x14ac:dyDescent="0.45">
      <c r="A48" t="s">
        <v>181</v>
      </c>
      <c r="B48">
        <f>(LN(global_credit_level!B48)-LN(global_credit_level!B40)) * 100</f>
        <v>2.9504927826268457</v>
      </c>
      <c r="C48" s="2">
        <v>123456789</v>
      </c>
      <c r="D48" s="2">
        <v>123456789</v>
      </c>
    </row>
    <row r="49" spans="1:4" x14ac:dyDescent="0.45">
      <c r="A49" t="s">
        <v>182</v>
      </c>
      <c r="B49">
        <f>(LN(global_credit_level!B49)-LN(global_credit_level!B41)) * 100</f>
        <v>2.2505500803556622</v>
      </c>
      <c r="C49" s="2">
        <v>123456789</v>
      </c>
      <c r="D49" s="2">
        <v>123456789</v>
      </c>
    </row>
    <row r="50" spans="1:4" x14ac:dyDescent="0.45">
      <c r="A50" t="s">
        <v>183</v>
      </c>
      <c r="B50">
        <f>(LN(global_credit_level!B50)-LN(global_credit_level!B42)) * 100</f>
        <v>1.833617499499951</v>
      </c>
      <c r="C50" s="2">
        <v>123456789</v>
      </c>
      <c r="D50" s="2">
        <v>123456789</v>
      </c>
    </row>
    <row r="51" spans="1:4" x14ac:dyDescent="0.45">
      <c r="A51" t="s">
        <v>184</v>
      </c>
      <c r="B51">
        <f>(LN(global_credit_level!B51)-LN(global_credit_level!B43)) * 100</f>
        <v>1.5333469485928397</v>
      </c>
      <c r="C51" s="2">
        <v>123456789</v>
      </c>
      <c r="D51" s="2">
        <v>123456789</v>
      </c>
    </row>
    <row r="52" spans="1:4" x14ac:dyDescent="0.45">
      <c r="A52" t="s">
        <v>185</v>
      </c>
      <c r="B52">
        <f>(LN(global_credit_level!B52)-LN(global_credit_level!B44)) * 100</f>
        <v>2.291594587426804</v>
      </c>
      <c r="C52" s="2">
        <v>123456789</v>
      </c>
      <c r="D52" s="2">
        <v>123456789</v>
      </c>
    </row>
    <row r="53" spans="1:4" x14ac:dyDescent="0.45">
      <c r="A53" t="s">
        <v>186</v>
      </c>
      <c r="B53">
        <f>(LN(global_credit_level!B53)-LN(global_credit_level!B45)) * 100</f>
        <v>1.9731880933155033</v>
      </c>
      <c r="C53" s="2">
        <v>123456789</v>
      </c>
      <c r="D53" s="2">
        <v>123456789</v>
      </c>
    </row>
    <row r="54" spans="1:4" x14ac:dyDescent="0.45">
      <c r="A54" t="s">
        <v>187</v>
      </c>
      <c r="B54">
        <f>(LN(global_credit_level!B54)-LN(global_credit_level!B46)) * 100</f>
        <v>0.89387040106245763</v>
      </c>
      <c r="C54" s="2">
        <v>123456789</v>
      </c>
      <c r="D54" s="2">
        <v>123456789</v>
      </c>
    </row>
    <row r="55" spans="1:4" x14ac:dyDescent="0.45">
      <c r="A55" t="s">
        <v>188</v>
      </c>
      <c r="B55">
        <f>(LN(global_credit_level!B55)-LN(global_credit_level!B47)) * 100</f>
        <v>0.85320746670314307</v>
      </c>
      <c r="C55" s="2">
        <v>123456789</v>
      </c>
      <c r="D55" s="2">
        <v>123456789</v>
      </c>
    </row>
    <row r="56" spans="1:4" x14ac:dyDescent="0.45">
      <c r="A56" t="s">
        <v>189</v>
      </c>
      <c r="B56">
        <f>(LN(global_credit_level!B56)-LN(global_credit_level!B48)) * 100</f>
        <v>0.80013078194740572</v>
      </c>
      <c r="C56" s="2">
        <v>123456789</v>
      </c>
      <c r="D56" s="2">
        <v>123456789</v>
      </c>
    </row>
    <row r="57" spans="1:4" x14ac:dyDescent="0.45">
      <c r="A57" t="s">
        <v>190</v>
      </c>
      <c r="B57">
        <f>(LN(global_credit_level!B57)-LN(global_credit_level!B49)) * 100</f>
        <v>1.4462569340660814</v>
      </c>
      <c r="C57" s="2">
        <v>123456789</v>
      </c>
      <c r="D57" s="2">
        <v>123456789</v>
      </c>
    </row>
    <row r="58" spans="1:4" x14ac:dyDescent="0.45">
      <c r="A58" t="s">
        <v>191</v>
      </c>
      <c r="B58">
        <f>(LN(global_credit_level!B58)-LN(global_credit_level!B50)) * 100</f>
        <v>2.5962744790072101</v>
      </c>
      <c r="C58" s="2">
        <v>123456789</v>
      </c>
      <c r="D58" s="2">
        <v>123456789</v>
      </c>
    </row>
    <row r="59" spans="1:4" x14ac:dyDescent="0.45">
      <c r="A59" t="s">
        <v>192</v>
      </c>
      <c r="B59">
        <f>(LN(global_credit_level!B59)-LN(global_credit_level!B51)) * 100</f>
        <v>2.948854990951677</v>
      </c>
      <c r="C59" s="2">
        <v>123456789</v>
      </c>
      <c r="D59" s="2">
        <v>123456789</v>
      </c>
    </row>
    <row r="60" spans="1:4" x14ac:dyDescent="0.45">
      <c r="A60" t="s">
        <v>193</v>
      </c>
      <c r="B60">
        <f>(LN(global_credit_level!B60)-LN(global_credit_level!B52)) * 100</f>
        <v>2.5417828735389669</v>
      </c>
      <c r="C60" s="2">
        <v>123456789</v>
      </c>
      <c r="D60" s="2">
        <v>123456789</v>
      </c>
    </row>
    <row r="61" spans="1:4" x14ac:dyDescent="0.45">
      <c r="A61" t="s">
        <v>194</v>
      </c>
      <c r="B61">
        <f>(LN(global_credit_level!B61)-LN(global_credit_level!B53)) * 100</f>
        <v>2.4254899337810443</v>
      </c>
      <c r="C61" s="2">
        <v>123456789</v>
      </c>
      <c r="D61" s="2">
        <v>123456789</v>
      </c>
    </row>
    <row r="62" spans="1:4" x14ac:dyDescent="0.45">
      <c r="A62" t="s">
        <v>195</v>
      </c>
      <c r="B62">
        <f>(LN(global_credit_level!B62)-LN(global_credit_level!B54)) * 100</f>
        <v>1.8463198500993983</v>
      </c>
      <c r="C62" s="2">
        <v>123456789</v>
      </c>
      <c r="D62" s="2">
        <v>123456789</v>
      </c>
    </row>
    <row r="63" spans="1:4" x14ac:dyDescent="0.45">
      <c r="A63" t="s">
        <v>196</v>
      </c>
      <c r="B63">
        <f>(LN(global_credit_level!B63)-LN(global_credit_level!B55)) * 100</f>
        <v>1.6916811166487911</v>
      </c>
      <c r="C63" s="2">
        <v>123456789</v>
      </c>
      <c r="D63" s="2">
        <v>123456789</v>
      </c>
    </row>
    <row r="64" spans="1:4" x14ac:dyDescent="0.45">
      <c r="A64" t="s">
        <v>197</v>
      </c>
      <c r="B64">
        <f>(LN(global_credit_level!B64)-LN(global_credit_level!B56)) * 100</f>
        <v>1.8731648125260847</v>
      </c>
      <c r="C64" s="2">
        <v>123456789</v>
      </c>
      <c r="D64" s="2">
        <v>123456789</v>
      </c>
    </row>
    <row r="65" spans="1:4" x14ac:dyDescent="0.45">
      <c r="A65" t="s">
        <v>198</v>
      </c>
      <c r="B65">
        <f>(LN(global_credit_level!B65)-LN(global_credit_level!B57)) * 100</f>
        <v>2.6088985692666711</v>
      </c>
      <c r="C65" s="2">
        <v>123456789</v>
      </c>
      <c r="D65" s="2">
        <v>123456789</v>
      </c>
    </row>
    <row r="66" spans="1:4" x14ac:dyDescent="0.45">
      <c r="A66" t="s">
        <v>199</v>
      </c>
      <c r="B66">
        <f>(LN(global_credit_level!B66)-LN(global_credit_level!B58)) * 100</f>
        <v>2.7255824526210226</v>
      </c>
      <c r="C66" s="2">
        <v>123456789</v>
      </c>
      <c r="D66" s="2">
        <v>123456789</v>
      </c>
    </row>
    <row r="67" spans="1:4" x14ac:dyDescent="0.45">
      <c r="A67" t="s">
        <v>200</v>
      </c>
      <c r="B67">
        <f>(LN(global_credit_level!B67)-LN(global_credit_level!B59)) * 100</f>
        <v>2.7010361645385395</v>
      </c>
      <c r="C67" s="2">
        <v>123456789</v>
      </c>
      <c r="D67" s="2">
        <v>123456789</v>
      </c>
    </row>
    <row r="68" spans="1:4" x14ac:dyDescent="0.45">
      <c r="A68" t="s">
        <v>201</v>
      </c>
      <c r="B68">
        <f>(LN(global_credit_level!B68)-LN(global_credit_level!B60)) * 100</f>
        <v>2.8310213754448199</v>
      </c>
      <c r="C68" s="2">
        <v>123456789</v>
      </c>
      <c r="D68" s="2">
        <v>123456789</v>
      </c>
    </row>
    <row r="69" spans="1:4" x14ac:dyDescent="0.45">
      <c r="A69" t="s">
        <v>202</v>
      </c>
      <c r="B69">
        <f>(LN(global_credit_level!B69)-LN(global_credit_level!B61)) * 100</f>
        <v>2.7868062204189137</v>
      </c>
      <c r="C69" s="2">
        <v>123456789</v>
      </c>
      <c r="D69" s="2">
        <v>123456789</v>
      </c>
    </row>
    <row r="70" spans="1:4" x14ac:dyDescent="0.45">
      <c r="A70" t="s">
        <v>203</v>
      </c>
      <c r="B70">
        <f>(LN(global_credit_level!B70)-LN(global_credit_level!B62)) * 100</f>
        <v>3.3878722985831722</v>
      </c>
      <c r="C70" s="2">
        <v>123456789</v>
      </c>
      <c r="D70" s="2">
        <v>123456789</v>
      </c>
    </row>
    <row r="71" spans="1:4" x14ac:dyDescent="0.45">
      <c r="A71" t="s">
        <v>204</v>
      </c>
      <c r="B71">
        <f>(LN(global_credit_level!B71)-LN(global_credit_level!B63)) * 100</f>
        <v>3.9909885508008003</v>
      </c>
      <c r="C71" s="2">
        <v>123456789</v>
      </c>
      <c r="D71" s="2">
        <v>123456789</v>
      </c>
    </row>
    <row r="72" spans="1:4" x14ac:dyDescent="0.45">
      <c r="A72" t="s">
        <v>205</v>
      </c>
      <c r="B72">
        <f>(LN(global_credit_level!B72)-LN(global_credit_level!B64)) * 100</f>
        <v>4.2824140929221599</v>
      </c>
      <c r="C72" s="2">
        <v>123456789</v>
      </c>
      <c r="D72" s="2">
        <v>123456789</v>
      </c>
    </row>
    <row r="73" spans="1:4" x14ac:dyDescent="0.45">
      <c r="A73" t="s">
        <v>206</v>
      </c>
      <c r="B73">
        <f>(LN(global_credit_level!B73)-LN(global_credit_level!B65)) * 100</f>
        <v>3.5767566460719991</v>
      </c>
      <c r="C73" s="2">
        <v>123456789</v>
      </c>
      <c r="D73" s="2">
        <v>123456789</v>
      </c>
    </row>
    <row r="74" spans="1:4" x14ac:dyDescent="0.45">
      <c r="A74" t="s">
        <v>207</v>
      </c>
      <c r="B74">
        <f>(LN(global_credit_level!B74)-LN(global_credit_level!B66)) * 100</f>
        <v>4.1521124373985252</v>
      </c>
      <c r="C74" s="2">
        <v>123456789</v>
      </c>
      <c r="D74" s="2">
        <v>123456789</v>
      </c>
    </row>
    <row r="75" spans="1:4" x14ac:dyDescent="0.45">
      <c r="A75" t="s">
        <v>208</v>
      </c>
      <c r="B75">
        <f>(LN(global_credit_level!B75)-LN(global_credit_level!B67)) * 100</f>
        <v>4.4297924420201973</v>
      </c>
      <c r="C75" s="2">
        <v>123456789</v>
      </c>
      <c r="D75" s="2">
        <v>123456789</v>
      </c>
    </row>
    <row r="76" spans="1:4" x14ac:dyDescent="0.45">
      <c r="A76" t="s">
        <v>209</v>
      </c>
      <c r="B76">
        <f>(LN(global_credit_level!B76)-LN(global_credit_level!B68)) * 100</f>
        <v>4.5100431133370478</v>
      </c>
      <c r="C76" s="2">
        <v>123456789</v>
      </c>
      <c r="D76" s="2">
        <v>123456789</v>
      </c>
    </row>
    <row r="77" spans="1:4" x14ac:dyDescent="0.45">
      <c r="A77" t="s">
        <v>210</v>
      </c>
      <c r="B77">
        <f>(LN(global_credit_level!B77)-LN(global_credit_level!B69)) * 100</f>
        <v>4.8864439903821832</v>
      </c>
      <c r="C77" s="2">
        <v>123456789</v>
      </c>
      <c r="D77" s="2">
        <v>123456789</v>
      </c>
    </row>
    <row r="78" spans="1:4" x14ac:dyDescent="0.45">
      <c r="A78" t="s">
        <v>211</v>
      </c>
      <c r="B78">
        <f>(LN(global_credit_level!B78)-LN(global_credit_level!B70)) * 100</f>
        <v>5.2373728079753157</v>
      </c>
      <c r="C78" s="2">
        <v>123456789</v>
      </c>
      <c r="D78" s="2">
        <v>123456789</v>
      </c>
    </row>
    <row r="79" spans="1:4" x14ac:dyDescent="0.45">
      <c r="A79" t="s">
        <v>212</v>
      </c>
      <c r="B79">
        <f>(LN(global_credit_level!B79)-LN(global_credit_level!B71)) * 100</f>
        <v>5.6049555923205929</v>
      </c>
      <c r="C79" s="2">
        <v>123456789</v>
      </c>
      <c r="D79" s="2">
        <v>123456789</v>
      </c>
    </row>
    <row r="80" spans="1:4" x14ac:dyDescent="0.45">
      <c r="A80" t="s">
        <v>213</v>
      </c>
      <c r="B80">
        <f>(LN(global_credit_level!B80)-LN(global_credit_level!B72)) * 100</f>
        <v>5.2476097258893795</v>
      </c>
      <c r="C80" s="2">
        <v>123456789</v>
      </c>
      <c r="D80" s="2">
        <v>123456789</v>
      </c>
    </row>
    <row r="81" spans="1:4" x14ac:dyDescent="0.45">
      <c r="A81" t="s">
        <v>214</v>
      </c>
      <c r="B81">
        <f>(LN(global_credit_level!B81)-LN(global_credit_level!B73)) * 100</f>
        <v>5.6368400687381026</v>
      </c>
      <c r="C81" s="2">
        <v>123456789</v>
      </c>
      <c r="D81" s="2">
        <v>123456789</v>
      </c>
    </row>
    <row r="82" spans="1:4" x14ac:dyDescent="0.45">
      <c r="A82" t="s">
        <v>215</v>
      </c>
      <c r="B82">
        <f>(LN(global_credit_level!B82)-LN(global_credit_level!B74)) * 100</f>
        <v>5.2915957031682836</v>
      </c>
      <c r="C82" s="2">
        <v>123456789</v>
      </c>
      <c r="D82" s="2">
        <v>123456789</v>
      </c>
    </row>
    <row r="83" spans="1:4" x14ac:dyDescent="0.45">
      <c r="A83" t="s">
        <v>216</v>
      </c>
      <c r="B83">
        <f>(LN(global_credit_level!B83)-LN(global_credit_level!B75)) * 100</f>
        <v>4.32395720525518</v>
      </c>
      <c r="C83" s="2">
        <v>123456789</v>
      </c>
      <c r="D83" s="2">
        <v>123456789</v>
      </c>
    </row>
    <row r="84" spans="1:4" x14ac:dyDescent="0.45">
      <c r="A84" t="s">
        <v>217</v>
      </c>
      <c r="B84">
        <f>(LN(global_credit_level!B84)-LN(global_credit_level!B76)) * 100</f>
        <v>3.7537169237848111</v>
      </c>
      <c r="C84" s="2">
        <v>123456789</v>
      </c>
      <c r="D84" s="2">
        <v>123456789</v>
      </c>
    </row>
    <row r="85" spans="1:4" x14ac:dyDescent="0.45">
      <c r="A85" t="s">
        <v>218</v>
      </c>
      <c r="B85">
        <f>(LN(global_credit_level!B85)-LN(global_credit_level!B77)) * 100</f>
        <v>3.64952694816294</v>
      </c>
      <c r="C85" s="2">
        <v>123456789</v>
      </c>
      <c r="D85" s="2">
        <v>123456789</v>
      </c>
    </row>
    <row r="86" spans="1:4" x14ac:dyDescent="0.45">
      <c r="A86" t="s">
        <v>219</v>
      </c>
      <c r="B86">
        <f>(LN(global_credit_level!B86)-LN(global_credit_level!B78)) * 100</f>
        <v>1.6745875443183067</v>
      </c>
      <c r="C86" s="2">
        <v>123456789</v>
      </c>
      <c r="D86" s="2">
        <v>123456789</v>
      </c>
    </row>
    <row r="87" spans="1:4" x14ac:dyDescent="0.45">
      <c r="A87" t="s">
        <v>220</v>
      </c>
      <c r="B87">
        <f>(LN(global_credit_level!B87)-LN(global_credit_level!B79)) * 100</f>
        <v>0.8033916943904984</v>
      </c>
      <c r="C87" s="2">
        <v>123456789</v>
      </c>
      <c r="D87" s="2">
        <v>123456789</v>
      </c>
    </row>
    <row r="88" spans="1:4" x14ac:dyDescent="0.45">
      <c r="A88" t="s">
        <v>221</v>
      </c>
      <c r="B88">
        <f>(LN(global_credit_level!B88)-LN(global_credit_level!B80)) * 100</f>
        <v>0.9045053012807891</v>
      </c>
      <c r="C88" s="2">
        <v>123456789</v>
      </c>
      <c r="D88" s="2">
        <v>123456789</v>
      </c>
    </row>
    <row r="89" spans="1:4" x14ac:dyDescent="0.45">
      <c r="A89" t="s">
        <v>222</v>
      </c>
      <c r="B89">
        <f>(LN(global_credit_level!B89)-LN(global_credit_level!B81)) * 100</f>
        <v>0.18085505816225478</v>
      </c>
      <c r="C89" s="2">
        <v>123456789</v>
      </c>
      <c r="D89" s="2">
        <v>123456789</v>
      </c>
    </row>
    <row r="90" spans="1:4" x14ac:dyDescent="0.45">
      <c r="A90" t="s">
        <v>223</v>
      </c>
      <c r="B90">
        <f>(LN(global_credit_level!B90)-LN(global_credit_level!B82)) * 100</f>
        <v>0.26383488445196335</v>
      </c>
      <c r="C90" s="2">
        <v>123456789</v>
      </c>
      <c r="D90" s="2">
        <v>123456789</v>
      </c>
    </row>
    <row r="91" spans="1:4" x14ac:dyDescent="0.45">
      <c r="A91" t="s">
        <v>224</v>
      </c>
      <c r="B91">
        <f>(LN(global_credit_level!B91)-LN(global_credit_level!B83)) * 100</f>
        <v>0.51453102159619846</v>
      </c>
      <c r="C91" s="2">
        <v>123456789</v>
      </c>
      <c r="D91" s="2">
        <v>123456789</v>
      </c>
    </row>
    <row r="92" spans="1:4" x14ac:dyDescent="0.45">
      <c r="A92" t="s">
        <v>225</v>
      </c>
      <c r="B92">
        <f>(LN(global_credit_level!B92)-LN(global_credit_level!B84)) * 100</f>
        <v>0.59780493976555604</v>
      </c>
      <c r="C92" s="2">
        <v>123456789</v>
      </c>
      <c r="D92" s="2">
        <v>123456789</v>
      </c>
    </row>
    <row r="93" spans="1:4" x14ac:dyDescent="0.45">
      <c r="A93" t="s">
        <v>226</v>
      </c>
      <c r="B93">
        <f>(LN(global_credit_level!B93)-LN(global_credit_level!B85)) * 100</f>
        <v>-0.14452878658737234</v>
      </c>
      <c r="C93" s="2">
        <v>123456789</v>
      </c>
      <c r="D93" s="2">
        <v>123456789</v>
      </c>
    </row>
    <row r="94" spans="1:4" x14ac:dyDescent="0.45">
      <c r="A94" t="s">
        <v>227</v>
      </c>
      <c r="B94">
        <f>(LN(global_credit_level!B94)-LN(global_credit_level!B86)) * 100</f>
        <v>3.7321120343201564</v>
      </c>
      <c r="C94" s="2">
        <v>123456789</v>
      </c>
      <c r="D94" s="2">
        <v>123456789</v>
      </c>
    </row>
    <row r="95" spans="1:4" x14ac:dyDescent="0.45">
      <c r="A95" t="s">
        <v>228</v>
      </c>
      <c r="B95">
        <f>(LN(global_credit_level!B95)-LN(global_credit_level!B87)) * 100</f>
        <v>3.9387126288146668</v>
      </c>
      <c r="C95" s="2">
        <v>123456789</v>
      </c>
      <c r="D95" s="2">
        <v>123456789</v>
      </c>
    </row>
    <row r="96" spans="1:4" x14ac:dyDescent="0.45">
      <c r="A96" t="s">
        <v>229</v>
      </c>
      <c r="B96">
        <f>(LN(global_credit_level!B96)-LN(global_credit_level!B88)) * 100</f>
        <v>4.2452389506212995</v>
      </c>
      <c r="C96" s="2">
        <v>123456789</v>
      </c>
      <c r="D96" s="2">
        <v>123456789</v>
      </c>
    </row>
    <row r="97" spans="1:4" x14ac:dyDescent="0.45">
      <c r="A97" t="s">
        <v>230</v>
      </c>
      <c r="B97">
        <f>(LN(global_credit_level!B97)-LN(global_credit_level!B89)) * 100</f>
        <v>3.8346832536534592</v>
      </c>
      <c r="C97" s="2">
        <v>123456789</v>
      </c>
      <c r="D97" s="2">
        <v>123456789</v>
      </c>
    </row>
    <row r="98" spans="1:4" x14ac:dyDescent="0.45">
      <c r="A98" t="s">
        <v>231</v>
      </c>
      <c r="B98">
        <f>(LN(global_credit_level!B98)-LN(global_credit_level!B90)) * 100</f>
        <v>3.1973392066083406</v>
      </c>
      <c r="C98" s="2">
        <v>123456789</v>
      </c>
      <c r="D98" s="2">
        <v>123456789</v>
      </c>
    </row>
    <row r="99" spans="1:4" x14ac:dyDescent="0.45">
      <c r="A99" t="s">
        <v>232</v>
      </c>
      <c r="B99">
        <f>(LN(global_credit_level!B99)-LN(global_credit_level!B91)) * 100</f>
        <v>2.4850801970091041</v>
      </c>
      <c r="C99" s="2">
        <v>123456789</v>
      </c>
      <c r="D99" s="2">
        <v>123456789</v>
      </c>
    </row>
    <row r="100" spans="1:4" x14ac:dyDescent="0.45">
      <c r="A100" t="s">
        <v>233</v>
      </c>
      <c r="B100">
        <f>(LN(global_credit_level!B100)-LN(global_credit_level!B92)) * 100</f>
        <v>2.0652106760075561</v>
      </c>
      <c r="C100" s="2">
        <v>123456789</v>
      </c>
      <c r="D100" s="2">
        <v>123456789</v>
      </c>
    </row>
    <row r="101" spans="1:4" x14ac:dyDescent="0.45">
      <c r="A101" t="s">
        <v>234</v>
      </c>
      <c r="B101">
        <f>(LN(global_credit_level!B101)-LN(global_credit_level!B93)) * 100</f>
        <v>1.7620298048711902</v>
      </c>
      <c r="C101" s="2">
        <v>123456789</v>
      </c>
      <c r="D101" s="2">
        <v>123456789</v>
      </c>
    </row>
    <row r="102" spans="1:4" x14ac:dyDescent="0.45">
      <c r="A102" t="s">
        <v>235</v>
      </c>
      <c r="B102">
        <f>(LN(global_credit_level!B102)-LN(global_credit_level!B94)) * 100</f>
        <v>-1.8208749042480044</v>
      </c>
      <c r="C102" s="2">
        <v>123456789</v>
      </c>
      <c r="D102" s="2">
        <v>123456789</v>
      </c>
    </row>
    <row r="103" spans="1:4" x14ac:dyDescent="0.45">
      <c r="A103" t="s">
        <v>236</v>
      </c>
      <c r="B103">
        <f>(LN(global_credit_level!B103)-LN(global_credit_level!B95)) * 100</f>
        <v>-2.0456643339385572</v>
      </c>
      <c r="C103" s="2">
        <v>123456789</v>
      </c>
      <c r="D103" s="2">
        <v>123456789</v>
      </c>
    </row>
    <row r="104" spans="1:4" x14ac:dyDescent="0.45">
      <c r="A104" t="s">
        <v>237</v>
      </c>
      <c r="B104">
        <f>(LN(global_credit_level!B104)-LN(global_credit_level!B96)) * 100</f>
        <v>-2.6638144717515466</v>
      </c>
      <c r="C104" s="2">
        <v>123456789</v>
      </c>
      <c r="D104" s="2">
        <v>123456789</v>
      </c>
    </row>
    <row r="105" spans="1:4" x14ac:dyDescent="0.45">
      <c r="A105" t="s">
        <v>238</v>
      </c>
      <c r="B105">
        <f>(LN(global_credit_level!B105)-LN(global_credit_level!B97)) * 100</f>
        <v>-2.8647079728634672</v>
      </c>
      <c r="C105" s="2">
        <v>123456789</v>
      </c>
      <c r="D105" s="2">
        <v>123456789</v>
      </c>
    </row>
    <row r="106" spans="1:4" x14ac:dyDescent="0.45">
      <c r="A106" t="s">
        <v>239</v>
      </c>
      <c r="B106">
        <f>(LN(global_credit_level!B106)-LN(global_credit_level!B98)) * 100</f>
        <v>-1.2086654020825094</v>
      </c>
      <c r="C106" s="2">
        <v>123456789</v>
      </c>
      <c r="D106" s="2">
        <v>123456789</v>
      </c>
    </row>
    <row r="107" spans="1:4" x14ac:dyDescent="0.45">
      <c r="A107" t="s">
        <v>240</v>
      </c>
      <c r="B107">
        <f>(LN(global_credit_level!B107)-LN(global_credit_level!B99)) * 100</f>
        <v>-0.4953618787780556</v>
      </c>
      <c r="C107" s="2">
        <v>123456789</v>
      </c>
      <c r="D107" s="2">
        <v>123456789</v>
      </c>
    </row>
    <row r="108" spans="1:4" x14ac:dyDescent="0.45">
      <c r="A108" t="s">
        <v>241</v>
      </c>
      <c r="B108">
        <f>(LN(global_credit_level!B108)-LN(global_credit_level!B100)) * 100</f>
        <v>-6.8953493264167776E-2</v>
      </c>
      <c r="C108" s="2">
        <v>123456789</v>
      </c>
      <c r="D108" s="2">
        <v>123456789</v>
      </c>
    </row>
    <row r="109" spans="1:4" x14ac:dyDescent="0.45">
      <c r="A109" t="s">
        <v>242</v>
      </c>
      <c r="B109">
        <f>(LN(global_credit_level!B109)-LN(global_credit_level!B101)) * 100</f>
        <v>-0.13406483482727438</v>
      </c>
      <c r="C109" s="2">
        <v>123456789</v>
      </c>
      <c r="D109" s="2">
        <v>123456789</v>
      </c>
    </row>
    <row r="110" spans="1:4" x14ac:dyDescent="0.45">
      <c r="A110" t="s">
        <v>243</v>
      </c>
      <c r="B110">
        <f>(LN(global_credit_level!B110)-LN(global_credit_level!B102)) * 100</f>
        <v>2.0920358736018052</v>
      </c>
      <c r="C110" s="2">
        <v>123456789</v>
      </c>
      <c r="D110" s="2">
        <v>123456789</v>
      </c>
    </row>
    <row r="111" spans="1:4" x14ac:dyDescent="0.45">
      <c r="A111" t="s">
        <v>244</v>
      </c>
      <c r="B111">
        <f>(LN(global_credit_level!B111)-LN(global_credit_level!B103)) * 100</f>
        <v>2.0830804462924846</v>
      </c>
      <c r="C111" s="2">
        <v>123456789</v>
      </c>
      <c r="D111" s="2">
        <v>123456789</v>
      </c>
    </row>
    <row r="112" spans="1:4" x14ac:dyDescent="0.45">
      <c r="A112" t="s">
        <v>245</v>
      </c>
      <c r="B112">
        <f>(LN(global_credit_level!B112)-LN(global_credit_level!B104)) * 100</f>
        <v>2.4494592654252578</v>
      </c>
      <c r="C112" s="2">
        <v>123456789</v>
      </c>
      <c r="D112" s="2">
        <v>123456789</v>
      </c>
    </row>
    <row r="113" spans="1:4" x14ac:dyDescent="0.45">
      <c r="A113" t="s">
        <v>246</v>
      </c>
      <c r="B113">
        <f>(LN(global_credit_level!B113)-LN(global_credit_level!B105)) * 100</f>
        <v>2.6388988168511318</v>
      </c>
      <c r="C113" s="2">
        <v>123456789</v>
      </c>
      <c r="D113" s="2">
        <v>123456789</v>
      </c>
    </row>
    <row r="114" spans="1:4" x14ac:dyDescent="0.45">
      <c r="A114" t="s">
        <v>247</v>
      </c>
      <c r="B114">
        <f>(LN(global_credit_level!B114)-LN(global_credit_level!B106)) * 100</f>
        <v>2.0742066811018312</v>
      </c>
      <c r="C114" s="2">
        <v>123456789</v>
      </c>
      <c r="D114" s="2">
        <v>123456789</v>
      </c>
    </row>
    <row r="115" spans="1:4" x14ac:dyDescent="0.45">
      <c r="A115" t="s">
        <v>248</v>
      </c>
      <c r="B115">
        <f>(LN(global_credit_level!B115)-LN(global_credit_level!B107)) * 100</f>
        <v>2.5383169295533747</v>
      </c>
      <c r="C115" s="2">
        <v>123456789</v>
      </c>
      <c r="D115" s="2">
        <v>123456789</v>
      </c>
    </row>
    <row r="116" spans="1:4" x14ac:dyDescent="0.45">
      <c r="A116" t="s">
        <v>249</v>
      </c>
      <c r="B116">
        <f>(LN(global_credit_level!B116)-LN(global_credit_level!B108)) * 100</f>
        <v>3.0667257078229149</v>
      </c>
      <c r="C116" s="2">
        <v>123456789</v>
      </c>
      <c r="D116" s="2">
        <v>123456789</v>
      </c>
    </row>
    <row r="117" spans="1:4" x14ac:dyDescent="0.45">
      <c r="A117" t="s">
        <v>250</v>
      </c>
      <c r="B117">
        <f>(LN(global_credit_level!B117)-LN(global_credit_level!B109)) * 100</f>
        <v>3.566267109586807</v>
      </c>
      <c r="C117" s="2">
        <v>123456789</v>
      </c>
      <c r="D117" s="2">
        <v>123456789</v>
      </c>
    </row>
    <row r="118" spans="1:4" x14ac:dyDescent="0.45">
      <c r="A118" t="s">
        <v>251</v>
      </c>
      <c r="B118">
        <f>(LN(global_credit_level!B118)-LN(global_credit_level!B110)) * 100</f>
        <v>3.4064201927137994</v>
      </c>
      <c r="C118" s="2">
        <v>123456789</v>
      </c>
      <c r="D118" s="2">
        <v>123456789</v>
      </c>
    </row>
    <row r="119" spans="1:4" x14ac:dyDescent="0.45">
      <c r="A119" t="s">
        <v>252</v>
      </c>
      <c r="B119">
        <f>(LN(global_credit_level!B119)-LN(global_credit_level!B111)) * 100</f>
        <v>4.5955134784867013</v>
      </c>
      <c r="C119" s="2">
        <v>123456789</v>
      </c>
      <c r="D119" s="2">
        <v>123456789</v>
      </c>
    </row>
    <row r="120" spans="1:4" x14ac:dyDescent="0.45">
      <c r="A120" t="s">
        <v>253</v>
      </c>
      <c r="B120">
        <f>(LN(global_credit_level!B120)-LN(global_credit_level!B112)) * 100</f>
        <v>5.4736444660020034</v>
      </c>
      <c r="C120" s="2">
        <v>123456789</v>
      </c>
      <c r="D120" s="2">
        <v>123456789</v>
      </c>
    </row>
    <row r="121" spans="1:4" x14ac:dyDescent="0.45">
      <c r="A121" t="s">
        <v>254</v>
      </c>
      <c r="B121">
        <f>(LN(global_credit_level!B121)-LN(global_credit_level!B113)) * 100</f>
        <v>6.5961132768418196</v>
      </c>
      <c r="C121" s="2">
        <v>123456789</v>
      </c>
      <c r="D121" s="2">
        <v>123456789</v>
      </c>
    </row>
    <row r="122" spans="1:4" x14ac:dyDescent="0.45">
      <c r="A122" t="s">
        <v>255</v>
      </c>
      <c r="B122">
        <f>(LN(global_credit_level!B122)-LN(global_credit_level!B114)) * 100</f>
        <v>7.8767212802596021</v>
      </c>
      <c r="C122" s="2">
        <v>123456789</v>
      </c>
      <c r="D122" s="2">
        <v>123456789</v>
      </c>
    </row>
    <row r="123" spans="1:4" x14ac:dyDescent="0.45">
      <c r="A123" t="s">
        <v>256</v>
      </c>
      <c r="B123">
        <f>(LN(global_credit_level!B123)-LN(global_credit_level!B115)) * 100</f>
        <v>8.2069499524958012</v>
      </c>
      <c r="C123" s="2">
        <v>123456789</v>
      </c>
      <c r="D123" s="2">
        <v>123456789</v>
      </c>
    </row>
    <row r="124" spans="1:4" x14ac:dyDescent="0.45">
      <c r="A124" t="s">
        <v>257</v>
      </c>
      <c r="B124">
        <f>(LN(global_credit_level!B124)-LN(global_credit_level!B116)) * 100</f>
        <v>8.5746759239604842</v>
      </c>
      <c r="C124" s="2">
        <v>123456789</v>
      </c>
      <c r="D124" s="2">
        <v>123456789</v>
      </c>
    </row>
    <row r="125" spans="1:4" x14ac:dyDescent="0.45">
      <c r="A125" t="s">
        <v>258</v>
      </c>
      <c r="B125">
        <f>(LN(global_credit_level!B125)-LN(global_credit_level!B117)) * 100</f>
        <v>9.231811516741395</v>
      </c>
      <c r="C125" s="2">
        <v>123456789</v>
      </c>
      <c r="D125" s="2">
        <v>123456789</v>
      </c>
    </row>
    <row r="126" spans="1:4" x14ac:dyDescent="0.45">
      <c r="A126" t="s">
        <v>259</v>
      </c>
      <c r="B126">
        <f>(LN(global_credit_level!B126)-LN(global_credit_level!B118)) * 100</f>
        <v>9.7964837529929127</v>
      </c>
      <c r="C126" s="2">
        <v>123456789</v>
      </c>
      <c r="D126" s="2">
        <v>123456789</v>
      </c>
    </row>
    <row r="127" spans="1:4" x14ac:dyDescent="0.45">
      <c r="A127" t="s">
        <v>260</v>
      </c>
      <c r="B127">
        <f>(LN(global_credit_level!B127)-LN(global_credit_level!B119)) * 100</f>
        <v>9.059343659982666</v>
      </c>
      <c r="C127" s="2">
        <v>123456789</v>
      </c>
      <c r="D127" s="2">
        <v>123456789</v>
      </c>
    </row>
    <row r="128" spans="1:4" x14ac:dyDescent="0.45">
      <c r="A128" t="s">
        <v>261</v>
      </c>
      <c r="B128">
        <f>(LN(global_credit_level!B128)-LN(global_credit_level!B120)) * 100</f>
        <v>8.9462238242363767</v>
      </c>
      <c r="C128" s="2">
        <v>123456789</v>
      </c>
      <c r="D128" s="2">
        <v>123456789</v>
      </c>
    </row>
    <row r="129" spans="1:4" x14ac:dyDescent="0.45">
      <c r="A129" t="s">
        <v>262</v>
      </c>
      <c r="B129">
        <f>(LN(global_credit_level!B129)-LN(global_credit_level!B121)) * 100</f>
        <v>7.9618073828251035</v>
      </c>
      <c r="C129" s="2">
        <v>123456789</v>
      </c>
      <c r="D129" s="2">
        <v>123456789</v>
      </c>
    </row>
    <row r="130" spans="1:4" x14ac:dyDescent="0.45">
      <c r="A130" t="s">
        <v>263</v>
      </c>
      <c r="B130">
        <f>(LN(global_credit_level!B130)-LN(global_credit_level!B122)) * 100</f>
        <v>6.6239289887774611</v>
      </c>
      <c r="C130" s="2">
        <v>123456789</v>
      </c>
      <c r="D130" s="2">
        <v>123456789</v>
      </c>
    </row>
    <row r="131" spans="1:4" x14ac:dyDescent="0.45">
      <c r="A131" t="s">
        <v>264</v>
      </c>
      <c r="B131">
        <f>(LN(global_credit_level!B131)-LN(global_credit_level!B123)) * 100</f>
        <v>6.1834433277003775</v>
      </c>
      <c r="C131" s="2">
        <v>123456789</v>
      </c>
      <c r="D131" s="2">
        <v>123456789</v>
      </c>
    </row>
    <row r="132" spans="1:4" x14ac:dyDescent="0.45">
      <c r="A132" t="s">
        <v>265</v>
      </c>
      <c r="B132">
        <f>(LN(global_credit_level!B132)-LN(global_credit_level!B124)) * 100</f>
        <v>5.6279378884049436</v>
      </c>
      <c r="C132" s="2">
        <v>123456789</v>
      </c>
      <c r="D132" s="2">
        <v>123456789</v>
      </c>
    </row>
    <row r="133" spans="1:4" x14ac:dyDescent="0.45">
      <c r="A133" t="s">
        <v>266</v>
      </c>
      <c r="B133">
        <f>(LN(global_credit_level!B133)-LN(global_credit_level!B125)) * 100</f>
        <v>4.7781454422954006</v>
      </c>
      <c r="C133" s="2">
        <v>123456789</v>
      </c>
      <c r="D133" s="2">
        <v>123456789</v>
      </c>
    </row>
    <row r="134" spans="1:4" x14ac:dyDescent="0.45">
      <c r="A134" t="s">
        <v>267</v>
      </c>
      <c r="B134">
        <f>(LN(global_credit_level!B134)-LN(global_credit_level!B126)) * 100</f>
        <v>3.9064508521023278</v>
      </c>
      <c r="C134" s="2">
        <v>123456789</v>
      </c>
      <c r="D134" s="2">
        <v>123456789</v>
      </c>
    </row>
    <row r="135" spans="1:4" x14ac:dyDescent="0.45">
      <c r="A135" t="s">
        <v>268</v>
      </c>
      <c r="B135">
        <f>(LN(global_credit_level!B135)-LN(global_credit_level!B127)) * 100</f>
        <v>4.0102087640157436</v>
      </c>
      <c r="C135" s="2">
        <v>123456789</v>
      </c>
      <c r="D135" s="2">
        <v>123456789</v>
      </c>
    </row>
    <row r="136" spans="1:4" x14ac:dyDescent="0.45">
      <c r="A136" t="s">
        <v>269</v>
      </c>
      <c r="B136">
        <f>(LN(global_credit_level!B136)-LN(global_credit_level!B128)) * 100</f>
        <v>3.3638625344909912</v>
      </c>
      <c r="C136" s="2">
        <v>123456789</v>
      </c>
      <c r="D136" s="2">
        <v>123456789</v>
      </c>
    </row>
    <row r="137" spans="1:4" x14ac:dyDescent="0.45">
      <c r="A137" t="s">
        <v>270</v>
      </c>
      <c r="B137">
        <f>(LN(global_credit_level!B137)-LN(global_credit_level!B129)) * 100</f>
        <v>3.0117238871020469</v>
      </c>
      <c r="C137" s="2">
        <v>123456789</v>
      </c>
      <c r="D137" s="2">
        <v>123456789</v>
      </c>
    </row>
    <row r="138" spans="1:4" x14ac:dyDescent="0.45">
      <c r="A138" t="s">
        <v>271</v>
      </c>
      <c r="B138">
        <f>(LN(global_credit_level!B138)-LN(global_credit_level!B130)) * 100</f>
        <v>3.4701128043925777</v>
      </c>
      <c r="C138" s="2">
        <v>123456789</v>
      </c>
      <c r="D138" s="2">
        <v>123456789</v>
      </c>
    </row>
    <row r="139" spans="1:4" x14ac:dyDescent="0.45">
      <c r="A139" t="s">
        <v>272</v>
      </c>
      <c r="B139">
        <f>(LN(global_credit_level!B139)-LN(global_credit_level!B131)) * 100</f>
        <v>3.2623939457445239</v>
      </c>
      <c r="C139" s="2">
        <v>123456789</v>
      </c>
      <c r="D139" s="2">
        <v>123456789</v>
      </c>
    </row>
    <row r="140" spans="1:4" x14ac:dyDescent="0.45">
      <c r="A140" t="s">
        <v>273</v>
      </c>
      <c r="B140">
        <f>(LN(global_credit_level!B140)-LN(global_credit_level!B132)) * 100</f>
        <v>3.1417744821505167</v>
      </c>
      <c r="C140" s="2">
        <v>123456789</v>
      </c>
      <c r="D140" s="2">
        <v>123456789</v>
      </c>
    </row>
    <row r="141" spans="1:4" x14ac:dyDescent="0.45">
      <c r="A141" t="s">
        <v>274</v>
      </c>
      <c r="B141">
        <f>(LN(global_credit_level!B141)-LN(global_credit_level!B133)) * 100</f>
        <v>3.0362490684653132</v>
      </c>
      <c r="C141" s="2">
        <v>123456789</v>
      </c>
      <c r="D141" s="2">
        <v>123456789</v>
      </c>
    </row>
    <row r="142" spans="1:4" x14ac:dyDescent="0.45">
      <c r="A142" t="s">
        <v>275</v>
      </c>
      <c r="B142">
        <f>(LN(global_credit_level!B142)-LN(global_credit_level!B134)) * 100</f>
        <v>4.6231352961862093</v>
      </c>
      <c r="C142" s="2">
        <v>123456789</v>
      </c>
      <c r="D142" s="2">
        <v>123456789</v>
      </c>
    </row>
    <row r="143" spans="1:4" x14ac:dyDescent="0.45">
      <c r="A143" t="s">
        <v>276</v>
      </c>
      <c r="B143">
        <f>(LN(global_credit_level!B143)-LN(global_credit_level!B135)) * 100</f>
        <v>4.9425594508069715</v>
      </c>
      <c r="C143" s="2">
        <v>123456789</v>
      </c>
      <c r="D143" s="2">
        <v>123456789</v>
      </c>
    </row>
    <row r="144" spans="1:4" x14ac:dyDescent="0.45">
      <c r="A144" t="s">
        <v>277</v>
      </c>
      <c r="B144">
        <f>(LN(global_credit_level!B144)-LN(global_credit_level!B136)) * 100</f>
        <v>5.1692924641153049</v>
      </c>
      <c r="C144" s="2">
        <v>123456789</v>
      </c>
      <c r="D144" s="2">
        <v>123456789</v>
      </c>
    </row>
    <row r="145" spans="1:4" x14ac:dyDescent="0.45">
      <c r="A145" t="s">
        <v>278</v>
      </c>
      <c r="B145">
        <f>(LN(global_credit_level!B145)-LN(global_credit_level!B137)) * 100</f>
        <v>6.0709588740291309</v>
      </c>
      <c r="C145" s="2">
        <v>123456789</v>
      </c>
      <c r="D145" s="2">
        <v>123456789</v>
      </c>
    </row>
    <row r="146" spans="1:4" x14ac:dyDescent="0.45">
      <c r="A146" t="s">
        <v>279</v>
      </c>
      <c r="B146">
        <f>(LN(global_credit_level!B146)-LN(global_credit_level!B138)) * 100</f>
        <v>5.7799666916202419</v>
      </c>
      <c r="C146" s="2">
        <v>123456789</v>
      </c>
      <c r="D146" s="2">
        <v>123456789</v>
      </c>
    </row>
    <row r="147" spans="1:4" x14ac:dyDescent="0.45">
      <c r="A147" t="s">
        <v>280</v>
      </c>
      <c r="B147">
        <f>(LN(global_credit_level!B147)-LN(global_credit_level!B139)) * 100</f>
        <v>6.4275671046938321</v>
      </c>
      <c r="C147" s="2">
        <v>123456789</v>
      </c>
      <c r="D147" s="2">
        <v>123456789</v>
      </c>
    </row>
    <row r="148" spans="1:4" x14ac:dyDescent="0.45">
      <c r="A148" t="s">
        <v>281</v>
      </c>
      <c r="B148">
        <f>(LN(global_credit_level!B148)-LN(global_credit_level!B140)) * 100</f>
        <v>6.9763654220626137</v>
      </c>
      <c r="C148" s="2">
        <v>123456789</v>
      </c>
      <c r="D148" s="2">
        <v>123456789</v>
      </c>
    </row>
    <row r="149" spans="1:4" x14ac:dyDescent="0.45">
      <c r="A149" t="s">
        <v>282</v>
      </c>
      <c r="B149">
        <f>(LN(global_credit_level!B149)-LN(global_credit_level!B141)) * 100</f>
        <v>7.3232800612130333</v>
      </c>
      <c r="C149" s="2">
        <v>123456789</v>
      </c>
      <c r="D149" s="2">
        <v>123456789</v>
      </c>
    </row>
    <row r="150" spans="1:4" x14ac:dyDescent="0.45">
      <c r="A150" t="s">
        <v>283</v>
      </c>
      <c r="B150">
        <f>(LN(global_credit_level!B150)-LN(global_credit_level!B142)) * 100</f>
        <v>6.0578897289810918</v>
      </c>
      <c r="C150" s="2">
        <v>123456789</v>
      </c>
      <c r="D150" s="2">
        <v>123456789</v>
      </c>
    </row>
    <row r="151" spans="1:4" x14ac:dyDescent="0.45">
      <c r="A151" t="s">
        <v>284</v>
      </c>
      <c r="B151">
        <f>(LN(global_credit_level!B151)-LN(global_credit_level!B143)) * 100</f>
        <v>6.1273783942804805</v>
      </c>
      <c r="C151" s="2">
        <v>123456789</v>
      </c>
      <c r="D151" s="2">
        <v>123456789</v>
      </c>
    </row>
    <row r="152" spans="1:4" x14ac:dyDescent="0.45">
      <c r="A152" t="s">
        <v>285</v>
      </c>
      <c r="B152">
        <f>(LN(global_credit_level!B152)-LN(global_credit_level!B144)) * 100</f>
        <v>6.2449143088879389</v>
      </c>
      <c r="C152" s="2">
        <v>123456789</v>
      </c>
      <c r="D152" s="2">
        <v>123456789</v>
      </c>
    </row>
    <row r="153" spans="1:4" x14ac:dyDescent="0.45">
      <c r="A153" t="s">
        <v>286</v>
      </c>
      <c r="B153">
        <f>(LN(global_credit_level!B153)-LN(global_credit_level!B145)) * 100</f>
        <v>5.9432729610930934</v>
      </c>
      <c r="C153" s="2">
        <v>123456789</v>
      </c>
      <c r="D153" s="2">
        <v>123456789</v>
      </c>
    </row>
    <row r="154" spans="1:4" x14ac:dyDescent="0.45">
      <c r="A154" t="s">
        <v>287</v>
      </c>
      <c r="B154">
        <f>(LN(global_credit_level!B154)-LN(global_credit_level!B146)) * 100</f>
        <v>6.5376153852783503</v>
      </c>
      <c r="C154" s="2">
        <v>123456789</v>
      </c>
      <c r="D154" s="2">
        <v>123456789</v>
      </c>
    </row>
    <row r="155" spans="1:4" x14ac:dyDescent="0.45">
      <c r="A155" t="s">
        <v>288</v>
      </c>
      <c r="B155">
        <f>(LN(global_credit_level!B155)-LN(global_credit_level!B147)) * 100</f>
        <v>6.0641605717643543</v>
      </c>
      <c r="C155" s="2">
        <v>123456789</v>
      </c>
      <c r="D155" s="2">
        <v>123456789</v>
      </c>
    </row>
    <row r="156" spans="1:4" x14ac:dyDescent="0.45">
      <c r="A156" t="s">
        <v>289</v>
      </c>
      <c r="B156">
        <f>(LN(global_credit_level!B156)-LN(global_credit_level!B148)) * 100</f>
        <v>6.0089403412294295</v>
      </c>
      <c r="C156" s="2">
        <v>123456789</v>
      </c>
      <c r="D156" s="2">
        <v>123456789</v>
      </c>
    </row>
    <row r="157" spans="1:4" x14ac:dyDescent="0.45">
      <c r="A157" t="s">
        <v>290</v>
      </c>
      <c r="B157">
        <f>(LN(global_credit_level!B157)-LN(global_credit_level!B149)) * 100</f>
        <v>5.4210217410607164</v>
      </c>
      <c r="C157" s="2">
        <v>123456789</v>
      </c>
      <c r="D157" s="2">
        <v>123456789</v>
      </c>
    </row>
    <row r="158" spans="1:4" x14ac:dyDescent="0.45">
      <c r="A158" t="s">
        <v>291</v>
      </c>
      <c r="B158">
        <f>(LN(global_credit_level!B158)-LN(global_credit_level!B150)) * 100</f>
        <v>5.6417591691335645</v>
      </c>
      <c r="C158" s="2">
        <v>123456789</v>
      </c>
      <c r="D158" s="2">
        <v>123456789</v>
      </c>
    </row>
    <row r="159" spans="1:4" x14ac:dyDescent="0.45">
      <c r="A159" t="s">
        <v>292</v>
      </c>
      <c r="B159">
        <f>(LN(global_credit_level!B159)-LN(global_credit_level!B151)) * 100</f>
        <v>5.3091682411252172</v>
      </c>
      <c r="C159" s="2">
        <v>123456789</v>
      </c>
      <c r="D159" s="2">
        <v>123456789</v>
      </c>
    </row>
    <row r="160" spans="1:4" x14ac:dyDescent="0.45">
      <c r="A160" t="s">
        <v>293</v>
      </c>
      <c r="B160">
        <f>(LN(global_credit_level!B160)-LN(global_credit_level!B152)) * 100</f>
        <v>5.3209497173399178</v>
      </c>
      <c r="C160" s="2">
        <v>123456789</v>
      </c>
      <c r="D160" s="2">
        <v>123456789</v>
      </c>
    </row>
    <row r="161" spans="1:4" x14ac:dyDescent="0.45">
      <c r="A161" t="s">
        <v>294</v>
      </c>
      <c r="B161">
        <f>(LN(global_credit_level!B161)-LN(global_credit_level!B153)) * 100</f>
        <v>4.7311552106821253</v>
      </c>
      <c r="C161" s="2">
        <v>123456789</v>
      </c>
      <c r="D161" s="2">
        <v>123456789</v>
      </c>
    </row>
    <row r="162" spans="1:4" x14ac:dyDescent="0.45">
      <c r="A162" t="s">
        <v>295</v>
      </c>
      <c r="B162">
        <f>(LN(global_credit_level!B162)-LN(global_credit_level!B154)) * 100</f>
        <v>4.7483139197038504</v>
      </c>
      <c r="C162" s="2">
        <v>123456789</v>
      </c>
      <c r="D162" s="2">
        <v>123456789</v>
      </c>
    </row>
    <row r="163" spans="1:4" x14ac:dyDescent="0.45">
      <c r="A163" t="s">
        <v>296</v>
      </c>
      <c r="B163">
        <f>(LN(global_credit_level!B163)-LN(global_credit_level!B155)) * 100</f>
        <v>3.7447465491302623</v>
      </c>
      <c r="C163" s="2">
        <v>123456789</v>
      </c>
      <c r="D163" s="2">
        <v>123456789</v>
      </c>
    </row>
    <row r="164" spans="1:4" x14ac:dyDescent="0.45">
      <c r="A164" t="s">
        <v>297</v>
      </c>
      <c r="B164">
        <f>(LN(global_credit_level!B164)-LN(global_credit_level!B156)) * 100</f>
        <v>2.3456219062517825</v>
      </c>
      <c r="C164" s="2">
        <v>123456789</v>
      </c>
      <c r="D164" s="2">
        <v>123456789</v>
      </c>
    </row>
    <row r="165" spans="1:4" x14ac:dyDescent="0.45">
      <c r="A165" t="s">
        <v>298</v>
      </c>
      <c r="B165">
        <f>(LN(global_credit_level!B165)-LN(global_credit_level!B157)) * 100</f>
        <v>1.0764439553481608</v>
      </c>
      <c r="C165" s="2">
        <v>123456789</v>
      </c>
      <c r="D165" s="2">
        <v>123456789</v>
      </c>
    </row>
    <row r="166" spans="1:4" x14ac:dyDescent="0.45">
      <c r="A166" t="s">
        <v>299</v>
      </c>
      <c r="B166">
        <f>(LN(global_credit_level!B166)-LN(global_credit_level!B158)) * 100</f>
        <v>1.7040655112054104</v>
      </c>
      <c r="C166" s="2">
        <v>123456789</v>
      </c>
      <c r="D166" s="2">
        <v>123456789</v>
      </c>
    </row>
    <row r="167" spans="1:4" x14ac:dyDescent="0.45">
      <c r="A167" t="s">
        <v>300</v>
      </c>
      <c r="B167">
        <f>(LN(global_credit_level!B167)-LN(global_credit_level!B159)) * 100</f>
        <v>0.27499508462085487</v>
      </c>
      <c r="C167" s="2">
        <v>123456789</v>
      </c>
      <c r="D167" s="2">
        <v>123456789</v>
      </c>
    </row>
    <row r="168" spans="1:4" x14ac:dyDescent="0.45">
      <c r="A168" t="s">
        <v>301</v>
      </c>
      <c r="B168">
        <f>(LN(global_credit_level!B168)-LN(global_credit_level!B160)) * 100</f>
        <v>9.1226582725045802E-2</v>
      </c>
      <c r="C168" s="2">
        <v>123456789</v>
      </c>
      <c r="D168" s="2">
        <v>123456789</v>
      </c>
    </row>
    <row r="169" spans="1:4" x14ac:dyDescent="0.45">
      <c r="A169" t="s">
        <v>302</v>
      </c>
      <c r="B169">
        <f>(LN(global_credit_level!B169)-LN(global_credit_level!B161)) * 100</f>
        <v>-7.5605616195240088E-2</v>
      </c>
      <c r="C169" s="2">
        <v>123456789</v>
      </c>
      <c r="D169" s="2">
        <v>123456789</v>
      </c>
    </row>
    <row r="170" spans="1:4" x14ac:dyDescent="0.45">
      <c r="A170" t="s">
        <v>303</v>
      </c>
      <c r="B170">
        <f>(LN(global_credit_level!B170)-LN(global_credit_level!B162)) * 100</f>
        <v>-3.4588753829503105</v>
      </c>
      <c r="C170" s="2">
        <v>123456789</v>
      </c>
      <c r="D170" s="2">
        <v>123456789</v>
      </c>
    </row>
    <row r="171" spans="1:4" x14ac:dyDescent="0.45">
      <c r="A171" t="s">
        <v>304</v>
      </c>
      <c r="B171">
        <f>(LN(global_credit_level!B171)-LN(global_credit_level!B163)) * 100</f>
        <v>-2.9897919610980317</v>
      </c>
      <c r="C171" s="2">
        <v>123456789</v>
      </c>
      <c r="D171" s="2">
        <v>123456789</v>
      </c>
    </row>
    <row r="172" spans="1:4" x14ac:dyDescent="0.45">
      <c r="A172" t="s">
        <v>305</v>
      </c>
      <c r="B172">
        <f>(LN(global_credit_level!B172)-LN(global_credit_level!B164)) * 100</f>
        <v>-2.1184020073201637</v>
      </c>
      <c r="C172" s="2">
        <v>123456789</v>
      </c>
      <c r="D172" s="2">
        <v>123456789</v>
      </c>
    </row>
    <row r="173" spans="1:4" x14ac:dyDescent="0.45">
      <c r="A173" t="s">
        <v>306</v>
      </c>
      <c r="B173">
        <f>(LN(global_credit_level!B173)-LN(global_credit_level!B165)) * 100</f>
        <v>-1.6369595570050244</v>
      </c>
      <c r="C173" s="2">
        <v>123456789</v>
      </c>
      <c r="D173" s="2">
        <v>123456789</v>
      </c>
    </row>
    <row r="174" spans="1:4" x14ac:dyDescent="0.45">
      <c r="A174" t="s">
        <v>307</v>
      </c>
      <c r="B174">
        <f>(LN(global_credit_level!B174)-LN(global_credit_level!B166)) * 100</f>
        <v>4.6091771735305542</v>
      </c>
      <c r="C174" s="2">
        <v>123456789</v>
      </c>
      <c r="D174" s="2">
        <v>123456789</v>
      </c>
    </row>
    <row r="175" spans="1:4" x14ac:dyDescent="0.45">
      <c r="A175" t="s">
        <v>308</v>
      </c>
      <c r="B175">
        <f>(LN(global_credit_level!B175)-LN(global_credit_level!B167)) * 100</f>
        <v>4.8594427318552569</v>
      </c>
      <c r="C175" s="2">
        <v>123456789</v>
      </c>
      <c r="D175" s="2">
        <v>123456789</v>
      </c>
    </row>
    <row r="176" spans="1:4" x14ac:dyDescent="0.45">
      <c r="A176" t="s">
        <v>309</v>
      </c>
      <c r="B176">
        <f>(LN(global_credit_level!B176)-LN(global_credit_level!B168)) * 100</f>
        <v>4.1536512338283593</v>
      </c>
      <c r="C176" s="2">
        <v>123456789</v>
      </c>
      <c r="D176" s="2">
        <v>123456789</v>
      </c>
    </row>
    <row r="177" spans="1:4" x14ac:dyDescent="0.45">
      <c r="A177" t="s">
        <v>310</v>
      </c>
      <c r="B177">
        <f>(LN(global_credit_level!B177)-LN(global_credit_level!B169)) * 100</f>
        <v>4.3834062453019129</v>
      </c>
      <c r="C177" s="2">
        <v>123456789</v>
      </c>
      <c r="D177" s="2">
        <v>123456789</v>
      </c>
    </row>
    <row r="178" spans="1:4" x14ac:dyDescent="0.45">
      <c r="A178" t="s">
        <v>311</v>
      </c>
      <c r="B178">
        <f>(LN(global_credit_level!B178)-LN(global_credit_level!B170)) * 100</f>
        <v>2.390882668033445</v>
      </c>
      <c r="C178" s="2">
        <v>123456789</v>
      </c>
      <c r="D178" s="2">
        <v>123456789</v>
      </c>
    </row>
    <row r="179" spans="1:4" x14ac:dyDescent="0.45">
      <c r="A179" t="s">
        <v>312</v>
      </c>
      <c r="B179">
        <f>(LN(global_credit_level!B179)-LN(global_credit_level!B171)) * 100</f>
        <v>2.3366172125264484</v>
      </c>
      <c r="C179" s="2">
        <v>123456789</v>
      </c>
      <c r="D179" s="2">
        <v>123456789</v>
      </c>
    </row>
    <row r="180" spans="1:4" x14ac:dyDescent="0.45">
      <c r="A180" t="s">
        <v>313</v>
      </c>
      <c r="B180">
        <f>(LN(global_credit_level!B180)-LN(global_credit_level!B172)) * 100</f>
        <v>1.7031796967230228</v>
      </c>
      <c r="C180" s="2">
        <v>123456789</v>
      </c>
      <c r="D180" s="2">
        <v>123456789</v>
      </c>
    </row>
    <row r="181" spans="1:4" x14ac:dyDescent="0.45">
      <c r="A181" t="s">
        <v>314</v>
      </c>
      <c r="B181">
        <f>(LN(global_credit_level!B181)-LN(global_credit_level!B173)) * 100</f>
        <v>1.6119942232903917</v>
      </c>
      <c r="C181" s="2">
        <v>123456789</v>
      </c>
      <c r="D181" s="2">
        <v>123456789</v>
      </c>
    </row>
    <row r="182" spans="1:4" x14ac:dyDescent="0.45">
      <c r="A182" t="s">
        <v>315</v>
      </c>
      <c r="B182">
        <f>(LN(global_credit_level!B182)-LN(global_credit_level!B174)) * 100</f>
        <v>-6.263698588384603</v>
      </c>
      <c r="C182" s="2">
        <v>123456789</v>
      </c>
      <c r="D182" s="2">
        <v>123456789</v>
      </c>
    </row>
    <row r="183" spans="1:4" x14ac:dyDescent="0.45">
      <c r="A183" t="s">
        <v>316</v>
      </c>
      <c r="B183">
        <f>(LN(global_credit_level!B183)-LN(global_credit_level!B175)) * 100</f>
        <v>-6.2362912994626818</v>
      </c>
      <c r="C183" s="2">
        <v>123456789</v>
      </c>
      <c r="D183" s="2">
        <v>123456789</v>
      </c>
    </row>
    <row r="184" spans="1:4" x14ac:dyDescent="0.45">
      <c r="A184" t="s">
        <v>317</v>
      </c>
      <c r="B184">
        <f>(LN(global_credit_level!B184)-LN(global_credit_level!B176)) * 100</f>
        <v>-5.8036072143245576</v>
      </c>
      <c r="C184" s="2">
        <v>123456789</v>
      </c>
      <c r="D184" s="2">
        <v>123456789</v>
      </c>
    </row>
    <row r="185" spans="1:4" x14ac:dyDescent="0.45">
      <c r="A185" t="s">
        <v>318</v>
      </c>
      <c r="B185">
        <f>(LN(global_credit_level!B185)-LN(global_credit_level!B177)) * 100</f>
        <v>-5.706297355176293</v>
      </c>
      <c r="C185" s="2">
        <v>123456789</v>
      </c>
      <c r="D185" s="2">
        <v>123456789</v>
      </c>
    </row>
    <row r="186" spans="1:4" x14ac:dyDescent="0.45">
      <c r="A186" t="s">
        <v>319</v>
      </c>
      <c r="B186">
        <f>(LN(global_credit_level!B186)-LN(global_credit_level!B178)) * 100</f>
        <v>-2.690699511320549</v>
      </c>
      <c r="C186" s="2">
        <v>123456789</v>
      </c>
      <c r="D186" s="2">
        <v>123456789</v>
      </c>
    </row>
    <row r="187" spans="1:4" x14ac:dyDescent="0.45">
      <c r="A187" t="s">
        <v>320</v>
      </c>
      <c r="B187">
        <f>(LN(global_credit_level!B187)-LN(global_credit_level!B179)) * 100</f>
        <v>-2.3482133173619246</v>
      </c>
      <c r="C187" s="2">
        <v>123456789</v>
      </c>
      <c r="D187" s="2">
        <v>123456789</v>
      </c>
    </row>
    <row r="188" spans="1:4" x14ac:dyDescent="0.45">
      <c r="A188" t="s">
        <v>321</v>
      </c>
      <c r="B188">
        <f>(LN(global_credit_level!B188)-LN(global_credit_level!B180)) * 100</f>
        <v>-1.4592578072379681</v>
      </c>
      <c r="C188" s="2">
        <v>123456789</v>
      </c>
      <c r="D188" s="2">
        <v>123456789</v>
      </c>
    </row>
    <row r="189" spans="1:4" x14ac:dyDescent="0.45">
      <c r="A189" t="s">
        <v>322</v>
      </c>
      <c r="B189">
        <f>(LN(global_credit_level!B189)-LN(global_credit_level!B181)) * 100</f>
        <v>-1.0007579699092162</v>
      </c>
      <c r="C189" s="2">
        <v>123456789</v>
      </c>
      <c r="D189" s="2">
        <v>123456789</v>
      </c>
    </row>
    <row r="190" spans="1:4" x14ac:dyDescent="0.45">
      <c r="A190" t="s">
        <v>323</v>
      </c>
      <c r="B190">
        <f>(LN(global_credit_level!B190)-LN(global_credit_level!B182)) * 100</f>
        <v>0.26158988552946738</v>
      </c>
      <c r="C190" s="2">
        <v>123456789</v>
      </c>
      <c r="D190" s="2">
        <v>123456789</v>
      </c>
    </row>
    <row r="191" spans="1:4" x14ac:dyDescent="0.45">
      <c r="A191" t="s">
        <v>324</v>
      </c>
      <c r="B191">
        <f>(LN(global_credit_level!B191)-LN(global_credit_level!B183)) * 100</f>
        <v>0.45802784595538881</v>
      </c>
      <c r="C191" s="2">
        <v>123456789</v>
      </c>
      <c r="D191" s="2">
        <v>123456789</v>
      </c>
    </row>
    <row r="192" spans="1:4" x14ac:dyDescent="0.45">
      <c r="A192" t="s">
        <v>325</v>
      </c>
      <c r="B192">
        <f>(LN(global_credit_level!B192)-LN(global_credit_level!B184)) * 100</f>
        <v>8.206287512262378E-2</v>
      </c>
      <c r="C192" s="2">
        <v>123456789</v>
      </c>
      <c r="D192" s="2">
        <v>123456789</v>
      </c>
    </row>
    <row r="193" spans="1:4" x14ac:dyDescent="0.45">
      <c r="A193" t="s">
        <v>326</v>
      </c>
      <c r="B193">
        <f>(LN(global_credit_level!B193)-LN(global_credit_level!B185)) * 100</f>
        <v>3.9179778414766275E-2</v>
      </c>
      <c r="C193" s="2">
        <v>123456789</v>
      </c>
      <c r="D193" s="2">
        <v>123456789</v>
      </c>
    </row>
    <row r="194" spans="1:4" x14ac:dyDescent="0.45">
      <c r="A194" t="s">
        <v>327</v>
      </c>
      <c r="B194">
        <f>(LN(global_credit_level!B194)-LN(global_credit_level!B186)) * 100</f>
        <v>3.0569542942036065</v>
      </c>
      <c r="C194" s="2">
        <v>123456789</v>
      </c>
      <c r="D194" s="2">
        <v>123456789</v>
      </c>
    </row>
    <row r="195" spans="1:4" x14ac:dyDescent="0.45">
      <c r="A195" t="s">
        <v>328</v>
      </c>
      <c r="B195">
        <f>(LN(global_credit_level!B195)-LN(global_credit_level!B187)) * 100</f>
        <v>2.576740301383218</v>
      </c>
      <c r="C195" s="2">
        <v>123456789</v>
      </c>
      <c r="D195" s="2">
        <v>123456789</v>
      </c>
    </row>
    <row r="196" spans="1:4" x14ac:dyDescent="0.45">
      <c r="A196" t="s">
        <v>329</v>
      </c>
      <c r="B196">
        <f>(LN(global_credit_level!B196)-LN(global_credit_level!B188)) * 100</f>
        <v>2.0015778833115228</v>
      </c>
      <c r="C196" s="2">
        <v>123456789</v>
      </c>
      <c r="D196" s="2">
        <v>123456789</v>
      </c>
    </row>
    <row r="197" spans="1:4" x14ac:dyDescent="0.45">
      <c r="A197" t="s">
        <v>330</v>
      </c>
      <c r="B197">
        <f>(LN(global_credit_level!B197)-LN(global_credit_level!B189)) * 100</f>
        <v>1.7669816284609396</v>
      </c>
      <c r="C197" s="2">
        <v>123456789</v>
      </c>
      <c r="D197" s="2">
        <v>123456789</v>
      </c>
    </row>
    <row r="198" spans="1:4" x14ac:dyDescent="0.45">
      <c r="A198" t="s">
        <v>331</v>
      </c>
      <c r="B198">
        <f>(LN(global_credit_level!B198)-LN(global_credit_level!B190)) * 100</f>
        <v>1.4339248215053502</v>
      </c>
      <c r="C198" s="2">
        <v>123456789</v>
      </c>
      <c r="D198" s="2">
        <v>123456789</v>
      </c>
    </row>
    <row r="199" spans="1:4" x14ac:dyDescent="0.45">
      <c r="A199" t="s">
        <v>332</v>
      </c>
      <c r="B199">
        <f>(LN(global_credit_level!B199)-LN(global_credit_level!B191)) * 100</f>
        <v>1.9296212382545974</v>
      </c>
      <c r="C199" s="2">
        <v>123456789</v>
      </c>
      <c r="D199" s="2">
        <v>123456789</v>
      </c>
    </row>
    <row r="200" spans="1:4" x14ac:dyDescent="0.45">
      <c r="A200" t="s">
        <v>333</v>
      </c>
      <c r="B200">
        <f>(LN(global_credit_level!B200)-LN(global_credit_level!B192)) * 100</f>
        <v>2.8126695783202038</v>
      </c>
      <c r="C200" s="2">
        <v>123456789</v>
      </c>
      <c r="D200" s="2">
        <v>123456789</v>
      </c>
    </row>
    <row r="201" spans="1:4" x14ac:dyDescent="0.45">
      <c r="A201" t="s">
        <v>334</v>
      </c>
      <c r="B201">
        <f>(LN(global_credit_level!B201)-LN(global_credit_level!B193)) * 100</f>
        <v>2.9179245777747553</v>
      </c>
      <c r="C201" s="2">
        <v>123456789</v>
      </c>
      <c r="D201" s="2">
        <v>123456789</v>
      </c>
    </row>
    <row r="202" spans="1:4" x14ac:dyDescent="0.45">
      <c r="A202" t="s">
        <v>335</v>
      </c>
      <c r="B202">
        <f>(LN(global_credit_level!B202)-LN(global_credit_level!B194)) * 100</f>
        <v>3.0397010610888842</v>
      </c>
      <c r="C202" s="2">
        <v>123456789</v>
      </c>
      <c r="D202" s="2">
        <v>123456789</v>
      </c>
    </row>
    <row r="203" spans="1:4" x14ac:dyDescent="0.45">
      <c r="A203" t="s">
        <v>336</v>
      </c>
      <c r="B203">
        <f>(LN(global_credit_level!B203)-LN(global_credit_level!B195)) * 100</f>
        <v>7.2935992895954094</v>
      </c>
      <c r="C203" s="2">
        <v>123456789</v>
      </c>
      <c r="D203" s="2">
        <v>123456789</v>
      </c>
    </row>
    <row r="204" spans="1:4" x14ac:dyDescent="0.45">
      <c r="A204" t="s">
        <v>337</v>
      </c>
      <c r="B204">
        <f>(LN(global_credit_level!B204)-LN(global_credit_level!B196)) * 100</f>
        <v>8.9781466736694071</v>
      </c>
      <c r="C204" s="2">
        <v>123456789</v>
      </c>
      <c r="D204" s="2">
        <v>123456789</v>
      </c>
    </row>
    <row r="205" spans="1:4" x14ac:dyDescent="0.45">
      <c r="A205" t="s">
        <v>338</v>
      </c>
      <c r="B205">
        <f>(LN(global_credit_level!B205)-LN(global_credit_level!B197)) * 100</f>
        <v>10.157967011532865</v>
      </c>
      <c r="C205" s="2">
        <v>123456789</v>
      </c>
      <c r="D205" s="2">
        <v>123456789</v>
      </c>
    </row>
    <row r="206" spans="1:4" x14ac:dyDescent="0.45">
      <c r="A206" t="s">
        <v>339</v>
      </c>
      <c r="B206">
        <f>(LN(global_credit_level!B206)-LN(global_credit_level!B198)) * 100</f>
        <v>10.576297399054546</v>
      </c>
      <c r="C206" s="2">
        <v>123456789</v>
      </c>
      <c r="D206" s="2">
        <v>123456789</v>
      </c>
    </row>
    <row r="207" spans="1:4" x14ac:dyDescent="0.45">
      <c r="A207" t="s">
        <v>340</v>
      </c>
      <c r="B207">
        <f>(LN(global_credit_level!B207)-LN(global_credit_level!B199)) * 100</f>
        <v>8.0246566711959844</v>
      </c>
      <c r="C207" s="2">
        <v>123456789</v>
      </c>
      <c r="D207" s="2">
        <v>123456789</v>
      </c>
    </row>
    <row r="208" spans="1:4" x14ac:dyDescent="0.45">
      <c r="A208" t="s">
        <v>341</v>
      </c>
      <c r="B208">
        <f>(LN(global_credit_level!B208)-LN(global_credit_level!B200)) * 100</f>
        <v>6.3765268689308208</v>
      </c>
      <c r="C208" s="2">
        <v>123456789</v>
      </c>
      <c r="D208" s="2">
        <v>123456789</v>
      </c>
    </row>
    <row r="209" spans="1:4" x14ac:dyDescent="0.45">
      <c r="A209" t="s">
        <v>342</v>
      </c>
      <c r="B209">
        <f>(LN(global_credit_level!B209)-LN(global_credit_level!B201)) * 100</f>
        <v>5.1535918332451303</v>
      </c>
      <c r="C209" s="2">
        <v>123456789</v>
      </c>
      <c r="D209" s="2">
        <v>123456789</v>
      </c>
    </row>
    <row r="210" spans="1:4" x14ac:dyDescent="0.45">
      <c r="A210" t="s">
        <v>343</v>
      </c>
      <c r="B210">
        <f>(LN(global_credit_level!B210)-LN(global_credit_level!B202)) * 100</f>
        <v>3.0007482735229019</v>
      </c>
      <c r="C210" s="2">
        <v>123456789</v>
      </c>
      <c r="D210" s="2">
        <v>123456789</v>
      </c>
    </row>
    <row r="211" spans="1:4" x14ac:dyDescent="0.45">
      <c r="A211" t="s">
        <v>344</v>
      </c>
      <c r="B211">
        <f>(LN(global_credit_level!B211)-LN(global_credit_level!B203)) * 100</f>
        <v>-1.9544649916344525</v>
      </c>
      <c r="C211" s="2">
        <v>123456789</v>
      </c>
      <c r="D211" s="2">
        <v>123456789</v>
      </c>
    </row>
    <row r="212" spans="1:4" x14ac:dyDescent="0.45">
      <c r="A212" t="s">
        <v>345</v>
      </c>
      <c r="B212">
        <f>(LN(global_credit_level!B212)-LN(global_credit_level!B204)) * 100</f>
        <v>-3.9475156288037105</v>
      </c>
      <c r="C212" s="2">
        <v>123456789</v>
      </c>
      <c r="D212" s="2">
        <v>123456789</v>
      </c>
    </row>
    <row r="213" spans="1:4" x14ac:dyDescent="0.45">
      <c r="A213" t="s">
        <v>346</v>
      </c>
      <c r="B213">
        <f>(LN(global_credit_level!B213)-LN(global_credit_level!B205)) * 100</f>
        <v>-6.0383609018137108</v>
      </c>
      <c r="C213" s="2">
        <v>123456789</v>
      </c>
      <c r="D213" s="2">
        <v>123456789</v>
      </c>
    </row>
    <row r="214" spans="1:4" x14ac:dyDescent="0.45">
      <c r="A214" t="s">
        <v>347</v>
      </c>
      <c r="B214">
        <f>(LN(global_credit_level!B214)-LN(global_credit_level!B206)) * 100</f>
        <v>-8.410798683787224</v>
      </c>
      <c r="C214" s="2">
        <v>123456789</v>
      </c>
      <c r="D214" s="2">
        <v>123456789</v>
      </c>
    </row>
    <row r="215" spans="1:4" x14ac:dyDescent="0.45">
      <c r="A215" t="s">
        <v>348</v>
      </c>
      <c r="B215">
        <f>(LN(global_credit_level!B215)-LN(global_credit_level!B207)) * 100</f>
        <v>-7.5093298456821778</v>
      </c>
      <c r="C215" s="2">
        <v>123456789</v>
      </c>
      <c r="D215" s="2">
        <v>123456789</v>
      </c>
    </row>
    <row r="216" spans="1:4" x14ac:dyDescent="0.45">
      <c r="A216" t="s">
        <v>349</v>
      </c>
      <c r="B216">
        <f>(LN(global_credit_level!B216)-LN(global_credit_level!B208)) * 100</f>
        <v>-7.6087493999206224</v>
      </c>
      <c r="C216" s="2">
        <v>123456789</v>
      </c>
      <c r="D216" s="2">
        <v>123456789</v>
      </c>
    </row>
    <row r="217" spans="1:4" x14ac:dyDescent="0.45">
      <c r="A217" t="s">
        <v>350</v>
      </c>
      <c r="B217">
        <f>(LN(global_credit_level!B217)-LN(global_credit_level!B209)) * 100</f>
        <v>-7.872053468527529</v>
      </c>
      <c r="C217" s="2">
        <v>123456789</v>
      </c>
      <c r="D217" s="2">
        <v>123456789</v>
      </c>
    </row>
    <row r="218" spans="1:4" x14ac:dyDescent="0.45">
      <c r="A218" t="s">
        <v>351</v>
      </c>
      <c r="B218">
        <f>(LN(global_credit_level!B218)-LN(global_credit_level!B210)) * 100</f>
        <v>-7.2203120298037327</v>
      </c>
      <c r="C218" s="2">
        <v>123456789</v>
      </c>
      <c r="D218" s="2">
        <v>123456789</v>
      </c>
    </row>
    <row r="219" spans="1:4" x14ac:dyDescent="0.45">
      <c r="A219" t="s">
        <v>352</v>
      </c>
      <c r="B219">
        <f>(LN(global_credit_level!B219)-LN(global_credit_level!B211)) * 100</f>
        <v>-6.4452875474859894</v>
      </c>
      <c r="C219" s="2">
        <v>123456789</v>
      </c>
      <c r="D219" s="2">
        <v>123456789</v>
      </c>
    </row>
    <row r="220" spans="1:4" x14ac:dyDescent="0.45">
      <c r="A220" t="s">
        <v>353</v>
      </c>
      <c r="B220">
        <f>(LN(global_credit_level!B220)-LN(global_credit_level!B212)) * 100</f>
        <v>-6.3246956244985775</v>
      </c>
      <c r="C220" s="2">
        <v>123456789</v>
      </c>
      <c r="D220" s="2">
        <v>123456789</v>
      </c>
    </row>
    <row r="221" spans="1:4" x14ac:dyDescent="0.45">
      <c r="A221" t="s">
        <v>354</v>
      </c>
      <c r="B221">
        <f>(LN(global_credit_level!B221)-LN(global_credit_level!B213)) * 100</f>
        <v>-5.8364888451661656</v>
      </c>
      <c r="C221" s="2">
        <v>123456789</v>
      </c>
      <c r="D221" s="2">
        <v>123456789</v>
      </c>
    </row>
    <row r="222" spans="1:4" x14ac:dyDescent="0.45">
      <c r="A222" t="s">
        <v>355</v>
      </c>
      <c r="B222">
        <f>(LN(global_credit_level!B222)-LN(global_credit_level!B214)) * 100</f>
        <v>-4.6471070882767584</v>
      </c>
      <c r="C222" s="2">
        <v>123456789</v>
      </c>
      <c r="D222" s="2">
        <v>123456789</v>
      </c>
    </row>
    <row r="223" spans="1:4" x14ac:dyDescent="0.45">
      <c r="A223" s="40" t="s">
        <v>356</v>
      </c>
      <c r="B223">
        <f>(LN(global_credit_level!B223)-LN(global_credit_level!B215)) * 100</f>
        <v>-4.1208351803920351</v>
      </c>
      <c r="C223" s="2">
        <v>123456789</v>
      </c>
      <c r="D223" s="2">
        <v>123456789</v>
      </c>
    </row>
    <row r="224" spans="1:4" x14ac:dyDescent="0.45">
      <c r="A224" s="4" t="s">
        <v>357</v>
      </c>
      <c r="B224">
        <f>(LN(global_credit_level!B224)-LN(global_credit_level!B216)) * 100</f>
        <v>-3.1896209468464498</v>
      </c>
      <c r="C224" s="2">
        <v>123456789</v>
      </c>
      <c r="D224" s="2">
        <v>123456789</v>
      </c>
    </row>
    <row r="225" spans="1:4" x14ac:dyDescent="0.45">
      <c r="A225" s="4" t="s">
        <v>438</v>
      </c>
      <c r="B225">
        <f>(LN(global_credit_level!B225)-LN(global_credit_level!B217)) * 100</f>
        <v>-2.1348866400639821</v>
      </c>
      <c r="C225" s="2">
        <v>123456789</v>
      </c>
      <c r="D225" s="2">
        <v>123456789</v>
      </c>
    </row>
    <row r="226" spans="1:4" x14ac:dyDescent="0.45">
      <c r="A226" s="4" t="s">
        <v>441</v>
      </c>
      <c r="B226">
        <f>(LN(global_credit_level!B226)-LN(global_credit_level!B218)) * 100</f>
        <v>-1.9493368868843675</v>
      </c>
      <c r="C226" s="2">
        <v>123456789</v>
      </c>
      <c r="D226" s="2">
        <v>123456789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F983-BC71-4865-90FF-8D80D9742ACA}">
  <sheetPr>
    <tabColor theme="9" tint="0.79998168889431442"/>
  </sheetPr>
  <dimension ref="A1:D226"/>
  <sheetViews>
    <sheetView topLeftCell="A211" workbookViewId="0">
      <selection activeCell="H225" sqref="H225"/>
    </sheetView>
  </sheetViews>
  <sheetFormatPr defaultRowHeight="14.25" x14ac:dyDescent="0.45"/>
  <cols>
    <col min="2" max="2" width="10" bestFit="1" customWidth="1"/>
  </cols>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s="2">
        <v>123456789</v>
      </c>
      <c r="C76" s="2">
        <v>123456789</v>
      </c>
      <c r="D76" s="2">
        <v>123456789</v>
      </c>
    </row>
    <row r="77" spans="1:4" x14ac:dyDescent="0.45">
      <c r="A77" t="s">
        <v>210</v>
      </c>
      <c r="B77" s="2">
        <v>123456789</v>
      </c>
      <c r="C77" s="2">
        <v>123456789</v>
      </c>
      <c r="D77" s="2">
        <v>123456789</v>
      </c>
    </row>
    <row r="78" spans="1:4" x14ac:dyDescent="0.45">
      <c r="A78" t="s">
        <v>211</v>
      </c>
      <c r="B78" s="2">
        <v>123456789</v>
      </c>
      <c r="C78" s="2">
        <v>123456789</v>
      </c>
      <c r="D78" s="2">
        <v>123456789</v>
      </c>
    </row>
    <row r="79" spans="1:4" x14ac:dyDescent="0.45">
      <c r="A79" t="s">
        <v>212</v>
      </c>
      <c r="B79" s="2">
        <v>123456789</v>
      </c>
      <c r="C79" s="2">
        <v>123456789</v>
      </c>
      <c r="D79" s="2">
        <v>123456789</v>
      </c>
    </row>
    <row r="80" spans="1:4" x14ac:dyDescent="0.45">
      <c r="A80" t="s">
        <v>213</v>
      </c>
      <c r="B80" s="2">
        <v>123456789</v>
      </c>
      <c r="C80" s="2">
        <v>123456789</v>
      </c>
      <c r="D80" s="2">
        <v>123456789</v>
      </c>
    </row>
    <row r="81" spans="1:4" x14ac:dyDescent="0.45">
      <c r="A81" t="s">
        <v>214</v>
      </c>
      <c r="B81" s="15">
        <f>spliced_quartely_pmi!D81</f>
        <v>52.53646704791462</v>
      </c>
      <c r="C81" s="2">
        <v>123456789</v>
      </c>
      <c r="D81" s="2">
        <v>123456789</v>
      </c>
    </row>
    <row r="82" spans="1:4" x14ac:dyDescent="0.45">
      <c r="A82" t="s">
        <v>215</v>
      </c>
      <c r="B82" s="21">
        <f>spliced_quartely_pmi!D82</f>
        <v>54.156892464617357</v>
      </c>
      <c r="C82" s="2">
        <v>123456789</v>
      </c>
      <c r="D82" s="2">
        <v>123456789</v>
      </c>
    </row>
    <row r="83" spans="1:4" x14ac:dyDescent="0.45">
      <c r="A83" t="s">
        <v>216</v>
      </c>
      <c r="B83" s="21">
        <f>spliced_quartely_pmi!D83</f>
        <v>55.090245821019195</v>
      </c>
      <c r="C83" s="2">
        <v>123456789</v>
      </c>
      <c r="D83" s="2">
        <v>123456789</v>
      </c>
    </row>
    <row r="84" spans="1:4" x14ac:dyDescent="0.45">
      <c r="A84" t="s">
        <v>217</v>
      </c>
      <c r="B84" s="21">
        <f>spliced_quartely_pmi!D84</f>
        <v>54.285788606984546</v>
      </c>
      <c r="C84" s="2">
        <v>123456789</v>
      </c>
      <c r="D84" s="2">
        <v>123456789</v>
      </c>
    </row>
    <row r="85" spans="1:4" x14ac:dyDescent="0.45">
      <c r="A85" t="s">
        <v>218</v>
      </c>
      <c r="B85" s="21">
        <f>spliced_quartely_pmi!D85</f>
        <v>50.240485047932324</v>
      </c>
      <c r="C85" s="2">
        <v>123456789</v>
      </c>
      <c r="D85" s="2">
        <v>123456789</v>
      </c>
    </row>
    <row r="86" spans="1:4" x14ac:dyDescent="0.45">
      <c r="A86" t="s">
        <v>219</v>
      </c>
      <c r="B86" s="21">
        <f>spliced_quartely_pmi!D86</f>
        <v>54.551639274283552</v>
      </c>
      <c r="C86" s="2">
        <v>123456789</v>
      </c>
      <c r="D86" s="2">
        <v>123456789</v>
      </c>
    </row>
    <row r="87" spans="1:4" x14ac:dyDescent="0.45">
      <c r="A87" t="s">
        <v>220</v>
      </c>
      <c r="B87" s="21">
        <f>spliced_quartely_pmi!D87</f>
        <v>54.524018425733004</v>
      </c>
      <c r="C87" s="2">
        <v>123456789</v>
      </c>
      <c r="D87" s="2">
        <v>123456789</v>
      </c>
    </row>
    <row r="88" spans="1:4" x14ac:dyDescent="0.45">
      <c r="A88" t="s">
        <v>221</v>
      </c>
      <c r="B88" s="21">
        <f>spliced_quartely_pmi!D88</f>
        <v>53.32826700810098</v>
      </c>
      <c r="C88" s="2">
        <v>123456789</v>
      </c>
      <c r="D88" s="2">
        <v>123456789</v>
      </c>
    </row>
    <row r="89" spans="1:4" x14ac:dyDescent="0.45">
      <c r="A89" t="s">
        <v>222</v>
      </c>
      <c r="B89" s="21">
        <f>spliced_quartely_pmi!D89</f>
        <v>53.347829474086907</v>
      </c>
      <c r="C89" s="2">
        <v>123456789</v>
      </c>
      <c r="D89" s="2">
        <v>123456789</v>
      </c>
    </row>
    <row r="90" spans="1:4" x14ac:dyDescent="0.45">
      <c r="A90" t="s">
        <v>223</v>
      </c>
      <c r="B90" s="21">
        <f>spliced_quartely_pmi!D90</f>
        <v>55.435506427901018</v>
      </c>
      <c r="C90" s="2">
        <v>123456789</v>
      </c>
      <c r="D90" s="2">
        <v>123456789</v>
      </c>
    </row>
    <row r="91" spans="1:4" x14ac:dyDescent="0.45">
      <c r="A91" t="s">
        <v>224</v>
      </c>
      <c r="B91" s="21">
        <f>spliced_quartely_pmi!D91</f>
        <v>55.223747739882185</v>
      </c>
      <c r="C91" s="2">
        <v>123456789</v>
      </c>
      <c r="D91" s="2">
        <v>123456789</v>
      </c>
    </row>
    <row r="92" spans="1:4" x14ac:dyDescent="0.45">
      <c r="A92" t="s">
        <v>225</v>
      </c>
      <c r="B92" s="21">
        <f>spliced_quartely_pmi!D92</f>
        <v>53.030189715755625</v>
      </c>
      <c r="C92" s="2">
        <v>123456789</v>
      </c>
      <c r="D92" s="2">
        <v>123456789</v>
      </c>
    </row>
    <row r="93" spans="1:4" x14ac:dyDescent="0.45">
      <c r="A93" t="s">
        <v>226</v>
      </c>
      <c r="B93" s="21">
        <f>spliced_quartely_pmi!D93</f>
        <v>51.313094781732055</v>
      </c>
      <c r="C93" s="2">
        <v>123456789</v>
      </c>
      <c r="D93" s="2">
        <v>123456789</v>
      </c>
    </row>
    <row r="94" spans="1:4" x14ac:dyDescent="0.45">
      <c r="A94" t="s">
        <v>227</v>
      </c>
      <c r="B94" s="21">
        <f>spliced_quartely_pmi!D94</f>
        <v>55.511463761415015</v>
      </c>
      <c r="C94" s="2">
        <v>123456789</v>
      </c>
      <c r="D94" s="2">
        <v>123456789</v>
      </c>
    </row>
    <row r="95" spans="1:4" x14ac:dyDescent="0.45">
      <c r="A95" t="s">
        <v>228</v>
      </c>
      <c r="B95" s="21">
        <f>spliced_quartely_pmi!D95</f>
        <v>55.848669438338284</v>
      </c>
      <c r="C95" s="2">
        <v>123456789</v>
      </c>
      <c r="D95" s="2">
        <v>123456789</v>
      </c>
    </row>
    <row r="96" spans="1:4" x14ac:dyDescent="0.45">
      <c r="A96" t="s">
        <v>229</v>
      </c>
      <c r="B96" s="21">
        <f>spliced_quartely_pmi!D96</f>
        <v>56.131783135981379</v>
      </c>
      <c r="C96" s="2">
        <v>123456789</v>
      </c>
      <c r="D96" s="2">
        <v>123456789</v>
      </c>
    </row>
    <row r="97" spans="1:4" x14ac:dyDescent="0.45">
      <c r="A97" t="s">
        <v>230</v>
      </c>
      <c r="B97" s="21">
        <f>spliced_quartely_pmi!D97</f>
        <v>56.084596368838845</v>
      </c>
      <c r="C97" s="2">
        <v>123456789</v>
      </c>
      <c r="D97" s="2">
        <v>123456789</v>
      </c>
    </row>
    <row r="98" spans="1:4" x14ac:dyDescent="0.45">
      <c r="A98" t="s">
        <v>231</v>
      </c>
      <c r="B98" s="21">
        <f>spliced_quartely_pmi!D98</f>
        <v>56.109914329141489</v>
      </c>
      <c r="C98" s="2">
        <v>123456789</v>
      </c>
      <c r="D98" s="2">
        <v>123456789</v>
      </c>
    </row>
    <row r="99" spans="1:4" x14ac:dyDescent="0.45">
      <c r="A99" t="s">
        <v>232</v>
      </c>
      <c r="B99" s="21">
        <f>spliced_quartely_pmi!D99</f>
        <v>56.557603400266942</v>
      </c>
      <c r="C99" s="2">
        <v>123456789</v>
      </c>
      <c r="D99" s="2">
        <v>123456789</v>
      </c>
    </row>
    <row r="100" spans="1:4" x14ac:dyDescent="0.45">
      <c r="A100" t="s">
        <v>233</v>
      </c>
      <c r="B100" s="21">
        <f>spliced_quartely_pmi!D100</f>
        <v>57.044420855970309</v>
      </c>
      <c r="C100" s="2">
        <v>123456789</v>
      </c>
      <c r="D100" s="2">
        <v>123456789</v>
      </c>
    </row>
    <row r="101" spans="1:4" x14ac:dyDescent="0.45">
      <c r="A101" t="s">
        <v>234</v>
      </c>
      <c r="B101" s="21">
        <f>spliced_quartely_pmi!D101</f>
        <v>57.625608393352685</v>
      </c>
      <c r="C101" s="2">
        <v>123456789</v>
      </c>
      <c r="D101" s="2">
        <v>123456789</v>
      </c>
    </row>
    <row r="102" spans="1:4" x14ac:dyDescent="0.45">
      <c r="A102" t="s">
        <v>235</v>
      </c>
      <c r="B102" s="21">
        <f>spliced_quartely_pmi!D102</f>
        <v>56.716423279432576</v>
      </c>
      <c r="C102" s="2">
        <v>123456789</v>
      </c>
      <c r="D102" s="2">
        <v>123456789</v>
      </c>
    </row>
    <row r="103" spans="1:4" x14ac:dyDescent="0.45">
      <c r="A103" t="s">
        <v>236</v>
      </c>
      <c r="B103" s="21">
        <f>spliced_quartely_pmi!D103</f>
        <v>56.890203300694409</v>
      </c>
      <c r="C103" s="2">
        <v>123456789</v>
      </c>
      <c r="D103" s="2">
        <v>123456789</v>
      </c>
    </row>
    <row r="104" spans="1:4" x14ac:dyDescent="0.45">
      <c r="A104" t="s">
        <v>237</v>
      </c>
      <c r="B104" s="21">
        <f>spliced_quartely_pmi!D104</f>
        <v>56.70721517904704</v>
      </c>
      <c r="C104" s="2">
        <v>123456789</v>
      </c>
      <c r="D104" s="2">
        <v>123456789</v>
      </c>
    </row>
    <row r="105" spans="1:4" x14ac:dyDescent="0.45">
      <c r="A105" t="s">
        <v>238</v>
      </c>
      <c r="B105" s="21">
        <f>spliced_quartely_pmi!D105</f>
        <v>56.117972711706109</v>
      </c>
      <c r="C105" s="2">
        <v>123456789</v>
      </c>
      <c r="D105" s="2">
        <v>123456789</v>
      </c>
    </row>
    <row r="106" spans="1:4" x14ac:dyDescent="0.45">
      <c r="A106" t="s">
        <v>239</v>
      </c>
      <c r="B106" s="21">
        <f>spliced_quartely_pmi!D106</f>
        <v>57.380473362466589</v>
      </c>
      <c r="C106" s="2">
        <v>123456789</v>
      </c>
      <c r="D106" s="2">
        <v>123456789</v>
      </c>
    </row>
    <row r="107" spans="1:4" x14ac:dyDescent="0.45">
      <c r="A107" t="s">
        <v>240</v>
      </c>
      <c r="B107" s="21">
        <f>spliced_quartely_pmi!D107</f>
        <v>57.794786090724784</v>
      </c>
      <c r="C107" s="2">
        <v>123456789</v>
      </c>
      <c r="D107" s="2">
        <v>123456789</v>
      </c>
    </row>
    <row r="108" spans="1:4" x14ac:dyDescent="0.45">
      <c r="A108" t="s">
        <v>241</v>
      </c>
      <c r="B108" s="21">
        <f>spliced_quartely_pmi!D108</f>
        <v>58.359863768190053</v>
      </c>
      <c r="C108" s="2">
        <v>123456789</v>
      </c>
      <c r="D108" s="2">
        <v>123456789</v>
      </c>
    </row>
    <row r="109" spans="1:4" x14ac:dyDescent="0.45">
      <c r="A109" t="s">
        <v>242</v>
      </c>
      <c r="B109" s="21">
        <f>spliced_quartely_pmi!D109</f>
        <v>58.801797344998789</v>
      </c>
      <c r="C109" s="2">
        <v>123456789</v>
      </c>
      <c r="D109" s="2">
        <v>123456789</v>
      </c>
    </row>
    <row r="110" spans="1:4" x14ac:dyDescent="0.45">
      <c r="A110" t="s">
        <v>243</v>
      </c>
      <c r="B110" s="21">
        <f>spliced_quartely_pmi!D110</f>
        <v>56.296355056857671</v>
      </c>
      <c r="C110" s="2">
        <v>123456789</v>
      </c>
      <c r="D110" s="2">
        <v>123456789</v>
      </c>
    </row>
    <row r="111" spans="1:4" x14ac:dyDescent="0.45">
      <c r="A111" t="s">
        <v>244</v>
      </c>
      <c r="B111" s="21">
        <f>spliced_quartely_pmi!D111</f>
        <v>56.2825446325824</v>
      </c>
      <c r="C111" s="2">
        <v>123456789</v>
      </c>
      <c r="D111" s="2">
        <v>123456789</v>
      </c>
    </row>
    <row r="112" spans="1:4" x14ac:dyDescent="0.45">
      <c r="A112" t="s">
        <v>245</v>
      </c>
      <c r="B112" s="21">
        <f>spliced_quartely_pmi!D112</f>
        <v>55.999430934939305</v>
      </c>
      <c r="C112" s="2">
        <v>123456789</v>
      </c>
      <c r="D112" s="2">
        <v>123456789</v>
      </c>
    </row>
    <row r="113" spans="1:4" x14ac:dyDescent="0.45">
      <c r="A113" t="s">
        <v>246</v>
      </c>
      <c r="B113" s="21">
        <f>spliced_quartely_pmi!D113</f>
        <v>55.992525722801666</v>
      </c>
      <c r="C113" s="2">
        <v>123456789</v>
      </c>
      <c r="D113" s="2">
        <v>123456789</v>
      </c>
    </row>
    <row r="114" spans="1:4" x14ac:dyDescent="0.45">
      <c r="A114" t="s">
        <v>247</v>
      </c>
      <c r="B114" s="21">
        <f>spliced_quartely_pmi!D114</f>
        <v>57.145919999999997</v>
      </c>
      <c r="C114" s="2">
        <v>123456789</v>
      </c>
      <c r="D114" s="2">
        <v>123456789</v>
      </c>
    </row>
    <row r="115" spans="1:4" x14ac:dyDescent="0.45">
      <c r="A115" t="s">
        <v>248</v>
      </c>
      <c r="B115" s="21">
        <f>spliced_quartely_pmi!D115</f>
        <v>54.244869999999999</v>
      </c>
      <c r="C115" s="2">
        <v>123456789</v>
      </c>
      <c r="D115" s="2">
        <v>123456789</v>
      </c>
    </row>
    <row r="116" spans="1:4" x14ac:dyDescent="0.45">
      <c r="A116" t="s">
        <v>249</v>
      </c>
      <c r="B116" s="21">
        <f>spliced_quartely_pmi!D116</f>
        <v>50.972499999999997</v>
      </c>
      <c r="C116" s="2">
        <v>123456789</v>
      </c>
      <c r="D116" s="2">
        <v>123456789</v>
      </c>
    </row>
    <row r="117" spans="1:4" x14ac:dyDescent="0.45">
      <c r="A117" t="s">
        <v>250</v>
      </c>
      <c r="B117" s="21">
        <f>spliced_quartely_pmi!D117</f>
        <v>46.597670000000001</v>
      </c>
      <c r="C117" s="2">
        <v>123456789</v>
      </c>
      <c r="D117" s="2">
        <v>123456789</v>
      </c>
    </row>
    <row r="118" spans="1:4" x14ac:dyDescent="0.45">
      <c r="A118" t="s">
        <v>251</v>
      </c>
      <c r="B118" s="21">
        <f>spliced_quartely_pmi!D118</f>
        <v>49.254219999999997</v>
      </c>
      <c r="C118" s="2">
        <v>123456789</v>
      </c>
      <c r="D118" s="2">
        <v>123456789</v>
      </c>
    </row>
    <row r="119" spans="1:4" x14ac:dyDescent="0.45">
      <c r="A119" t="s">
        <v>252</v>
      </c>
      <c r="B119" s="21">
        <f>spliced_quartely_pmi!D119</f>
        <v>55.406959999999998</v>
      </c>
      <c r="C119" s="2">
        <v>123456789</v>
      </c>
      <c r="D119" s="2">
        <v>123456789</v>
      </c>
    </row>
    <row r="120" spans="1:4" x14ac:dyDescent="0.45">
      <c r="A120" t="s">
        <v>253</v>
      </c>
      <c r="B120" s="21">
        <f>spliced_quartely_pmi!D120</f>
        <v>57.31541</v>
      </c>
      <c r="C120" s="2">
        <v>123456789</v>
      </c>
      <c r="D120" s="2">
        <v>123456789</v>
      </c>
    </row>
    <row r="121" spans="1:4" x14ac:dyDescent="0.45">
      <c r="A121" t="s">
        <v>254</v>
      </c>
      <c r="B121" s="21">
        <f>spliced_quartely_pmi!D121</f>
        <v>57.776040000000002</v>
      </c>
      <c r="C121" s="2">
        <v>123456789</v>
      </c>
      <c r="D121" s="2">
        <v>123456789</v>
      </c>
    </row>
    <row r="122" spans="1:4" x14ac:dyDescent="0.45">
      <c r="A122" t="s">
        <v>255</v>
      </c>
      <c r="B122" s="21">
        <f>spliced_quartely_pmi!D122</f>
        <v>56.123939999999997</v>
      </c>
      <c r="C122" s="2">
        <v>123456789</v>
      </c>
      <c r="D122" s="2">
        <v>123456789</v>
      </c>
    </row>
    <row r="123" spans="1:4" x14ac:dyDescent="0.45">
      <c r="A123" t="s">
        <v>256</v>
      </c>
      <c r="B123" s="21">
        <f>spliced_quartely_pmi!D123</f>
        <v>56.128979999999999</v>
      </c>
      <c r="C123" s="2">
        <v>123456789</v>
      </c>
      <c r="D123" s="2">
        <v>123456789</v>
      </c>
    </row>
    <row r="124" spans="1:4" x14ac:dyDescent="0.45">
      <c r="A124" t="s">
        <v>257</v>
      </c>
      <c r="B124" s="21">
        <f>spliced_quartely_pmi!D124</f>
        <v>55.21443</v>
      </c>
      <c r="C124" s="2">
        <v>123456789</v>
      </c>
      <c r="D124" s="2">
        <v>123456789</v>
      </c>
    </row>
    <row r="125" spans="1:4" x14ac:dyDescent="0.45">
      <c r="A125" t="s">
        <v>258</v>
      </c>
      <c r="B125" s="21">
        <f>spliced_quartely_pmi!D125</f>
        <v>55.37032</v>
      </c>
      <c r="C125" s="2">
        <v>123456789</v>
      </c>
      <c r="D125" s="2">
        <v>123456789</v>
      </c>
    </row>
    <row r="126" spans="1:4" x14ac:dyDescent="0.45">
      <c r="A126" t="s">
        <v>259</v>
      </c>
      <c r="B126" s="21">
        <f>spliced_quartely_pmi!D126</f>
        <v>55.020870000000002</v>
      </c>
      <c r="C126" s="2">
        <v>123456789</v>
      </c>
      <c r="D126" s="2">
        <v>123456789</v>
      </c>
    </row>
    <row r="127" spans="1:4" x14ac:dyDescent="0.45">
      <c r="A127" t="s">
        <v>260</v>
      </c>
      <c r="B127" s="21">
        <f>spliced_quartely_pmi!D127</f>
        <v>50.288559999999997</v>
      </c>
      <c r="C127" s="2">
        <v>123456789</v>
      </c>
      <c r="D127" s="2">
        <v>123456789</v>
      </c>
    </row>
    <row r="128" spans="1:4" x14ac:dyDescent="0.45">
      <c r="A128" t="s">
        <v>261</v>
      </c>
      <c r="B128" s="21">
        <f>spliced_quartely_pmi!D128</f>
        <v>48.974769999999999</v>
      </c>
      <c r="C128" s="2">
        <v>123456789</v>
      </c>
      <c r="D128" s="2">
        <v>123456789</v>
      </c>
    </row>
    <row r="129" spans="1:4" x14ac:dyDescent="0.45">
      <c r="A129" t="s">
        <v>262</v>
      </c>
      <c r="B129" s="21">
        <f>spliced_quartely_pmi!D129</f>
        <v>47.369590000000002</v>
      </c>
      <c r="C129" s="2">
        <v>123456789</v>
      </c>
      <c r="D129" s="2">
        <v>123456789</v>
      </c>
    </row>
    <row r="130" spans="1:4" x14ac:dyDescent="0.45">
      <c r="A130" t="s">
        <v>263</v>
      </c>
      <c r="B130" s="21">
        <f>spliced_quartely_pmi!D130</f>
        <v>52.401200000000003</v>
      </c>
      <c r="C130" s="2">
        <v>123456789</v>
      </c>
      <c r="D130" s="2">
        <v>123456789</v>
      </c>
    </row>
    <row r="131" spans="1:4" x14ac:dyDescent="0.45">
      <c r="A131" t="s">
        <v>264</v>
      </c>
      <c r="B131" s="21">
        <f>spliced_quartely_pmi!D131</f>
        <v>55.513500000000001</v>
      </c>
      <c r="C131" s="2">
        <v>123456789</v>
      </c>
      <c r="D131" s="2">
        <v>123456789</v>
      </c>
    </row>
    <row r="132" spans="1:4" x14ac:dyDescent="0.45">
      <c r="A132" t="s">
        <v>265</v>
      </c>
      <c r="B132" s="21">
        <f>spliced_quartely_pmi!D132</f>
        <v>54.358469999999997</v>
      </c>
      <c r="C132" s="2">
        <v>123456789</v>
      </c>
      <c r="D132" s="2">
        <v>123456789</v>
      </c>
    </row>
    <row r="133" spans="1:4" x14ac:dyDescent="0.45">
      <c r="A133" t="s">
        <v>266</v>
      </c>
      <c r="B133" s="21">
        <f>spliced_quartely_pmi!D133</f>
        <v>53.379570000000001</v>
      </c>
      <c r="C133" s="2">
        <v>123456789</v>
      </c>
      <c r="D133" s="2">
        <v>123456789</v>
      </c>
    </row>
    <row r="134" spans="1:4" x14ac:dyDescent="0.45">
      <c r="A134" t="s">
        <v>267</v>
      </c>
      <c r="B134" s="21">
        <f>spliced_quartely_pmi!D134</f>
        <v>50.119059999999998</v>
      </c>
      <c r="C134" s="2">
        <v>123456789</v>
      </c>
      <c r="D134" s="2">
        <v>123456789</v>
      </c>
    </row>
    <row r="135" spans="1:4" x14ac:dyDescent="0.45">
      <c r="A135" t="s">
        <v>268</v>
      </c>
      <c r="B135" s="21">
        <f>spliced_quartely_pmi!D135</f>
        <v>51.803159999999998</v>
      </c>
      <c r="C135" s="2">
        <v>123456789</v>
      </c>
      <c r="D135" s="2">
        <v>123456789</v>
      </c>
    </row>
    <row r="136" spans="1:4" x14ac:dyDescent="0.45">
      <c r="A136" t="s">
        <v>269</v>
      </c>
      <c r="B136" s="21">
        <f>spliced_quartely_pmi!D136</f>
        <v>56.809489999999997</v>
      </c>
      <c r="C136" s="2">
        <v>123456789</v>
      </c>
      <c r="D136" s="2">
        <v>123456789</v>
      </c>
    </row>
    <row r="137" spans="1:4" x14ac:dyDescent="0.45">
      <c r="A137" t="s">
        <v>270</v>
      </c>
      <c r="B137" s="21">
        <f>spliced_quartely_pmi!D137</f>
        <v>58.765880000000003</v>
      </c>
      <c r="C137" s="2">
        <v>123456789</v>
      </c>
      <c r="D137" s="2">
        <v>123456789</v>
      </c>
    </row>
    <row r="138" spans="1:4" x14ac:dyDescent="0.45">
      <c r="A138" t="s">
        <v>271</v>
      </c>
      <c r="B138" s="21">
        <f>spliced_quartely_pmi!D138</f>
        <v>58.64893</v>
      </c>
      <c r="C138" s="2">
        <v>123456789</v>
      </c>
      <c r="D138" s="2">
        <v>123456789</v>
      </c>
    </row>
    <row r="139" spans="1:4" x14ac:dyDescent="0.45">
      <c r="A139" t="s">
        <v>272</v>
      </c>
      <c r="B139" s="21">
        <f>spliced_quartely_pmi!D139</f>
        <v>57.459249999999997</v>
      </c>
      <c r="C139" s="2">
        <v>123456789</v>
      </c>
      <c r="D139" s="2">
        <v>123456789</v>
      </c>
    </row>
    <row r="140" spans="1:4" x14ac:dyDescent="0.45">
      <c r="A140" t="s">
        <v>273</v>
      </c>
      <c r="B140" s="21">
        <f>spliced_quartely_pmi!D140</f>
        <v>55.736789999999999</v>
      </c>
      <c r="C140" s="2">
        <v>123456789</v>
      </c>
      <c r="D140" s="2">
        <v>123456789</v>
      </c>
    </row>
    <row r="141" spans="1:4" x14ac:dyDescent="0.45">
      <c r="A141" t="s">
        <v>274</v>
      </c>
      <c r="B141" s="21">
        <f>spliced_quartely_pmi!D141</f>
        <v>55.749870000000001</v>
      </c>
      <c r="C141" s="2">
        <v>123456789</v>
      </c>
      <c r="D141" s="2">
        <v>123456789</v>
      </c>
    </row>
    <row r="142" spans="1:4" x14ac:dyDescent="0.45">
      <c r="A142" t="s">
        <v>275</v>
      </c>
      <c r="B142" s="21">
        <f>spliced_quartely_pmi!D142</f>
        <v>55.284059999999997</v>
      </c>
      <c r="C142" s="2">
        <v>123456789</v>
      </c>
      <c r="D142" s="2">
        <v>123456789</v>
      </c>
    </row>
    <row r="143" spans="1:4" x14ac:dyDescent="0.45">
      <c r="A143" t="s">
        <v>276</v>
      </c>
      <c r="B143" s="21">
        <f>spliced_quartely_pmi!D143</f>
        <v>53.97589</v>
      </c>
      <c r="C143" s="2">
        <v>123456789</v>
      </c>
      <c r="D143" s="2">
        <v>123456789</v>
      </c>
    </row>
    <row r="144" spans="1:4" x14ac:dyDescent="0.45">
      <c r="A144" t="s">
        <v>277</v>
      </c>
      <c r="B144" s="21">
        <f>spliced_quartely_pmi!D144</f>
        <v>54.553190000000001</v>
      </c>
      <c r="C144" s="2">
        <v>123456789</v>
      </c>
      <c r="D144" s="2">
        <v>123456789</v>
      </c>
    </row>
    <row r="145" spans="1:4" x14ac:dyDescent="0.45">
      <c r="A145" t="s">
        <v>278</v>
      </c>
      <c r="B145" s="21">
        <f>spliced_quartely_pmi!D145</f>
        <v>55.930140000000002</v>
      </c>
      <c r="C145" s="2">
        <v>123456789</v>
      </c>
      <c r="D145" s="2">
        <v>123456789</v>
      </c>
    </row>
    <row r="146" spans="1:4" x14ac:dyDescent="0.45">
      <c r="A146" t="s">
        <v>279</v>
      </c>
      <c r="B146" s="21">
        <f>spliced_quartely_pmi!D146</f>
        <v>56.782260000000001</v>
      </c>
      <c r="C146" s="2">
        <v>123456789</v>
      </c>
      <c r="D146" s="2">
        <v>123456789</v>
      </c>
    </row>
    <row r="147" spans="1:4" x14ac:dyDescent="0.45">
      <c r="A147" t="s">
        <v>280</v>
      </c>
      <c r="B147" s="21">
        <f>spliced_quartely_pmi!D147</f>
        <v>58.460749999999997</v>
      </c>
      <c r="C147" s="2">
        <v>123456789</v>
      </c>
      <c r="D147" s="2">
        <v>123456789</v>
      </c>
    </row>
    <row r="148" spans="1:4" x14ac:dyDescent="0.45">
      <c r="A148" t="s">
        <v>281</v>
      </c>
      <c r="B148" s="21">
        <f>spliced_quartely_pmi!D148</f>
        <v>56.56165</v>
      </c>
      <c r="C148" s="2">
        <v>123456789</v>
      </c>
      <c r="D148" s="2">
        <v>123456789</v>
      </c>
    </row>
    <row r="149" spans="1:4" x14ac:dyDescent="0.45">
      <c r="A149" t="s">
        <v>282</v>
      </c>
      <c r="B149" s="21">
        <f>spliced_quartely_pmi!D149</f>
        <v>58.292310000000001</v>
      </c>
      <c r="C149" s="2">
        <v>123456789</v>
      </c>
      <c r="D149" s="2">
        <v>123456789</v>
      </c>
    </row>
    <row r="150" spans="1:4" x14ac:dyDescent="0.45">
      <c r="A150" t="s">
        <v>283</v>
      </c>
      <c r="B150" s="21">
        <f>spliced_quartely_pmi!D150</f>
        <v>57.595030000000001</v>
      </c>
      <c r="C150" s="2">
        <v>123456789</v>
      </c>
      <c r="D150" s="2">
        <v>123456789</v>
      </c>
    </row>
    <row r="151" spans="1:4" x14ac:dyDescent="0.45">
      <c r="A151" t="s">
        <v>284</v>
      </c>
      <c r="B151" s="21">
        <f>spliced_quartely_pmi!D151</f>
        <v>57.215159999999997</v>
      </c>
      <c r="C151" s="2">
        <v>123456789</v>
      </c>
      <c r="D151" s="2">
        <v>123456789</v>
      </c>
    </row>
    <row r="152" spans="1:4" x14ac:dyDescent="0.45">
      <c r="A152" t="s">
        <v>285</v>
      </c>
      <c r="B152" s="21">
        <f>spliced_quartely_pmi!D152</f>
        <v>57.23404</v>
      </c>
      <c r="C152" s="2">
        <v>123456789</v>
      </c>
      <c r="D152" s="2">
        <v>123456789</v>
      </c>
    </row>
    <row r="153" spans="1:4" x14ac:dyDescent="0.45">
      <c r="A153" t="s">
        <v>286</v>
      </c>
      <c r="B153" s="21">
        <f>spliced_quartely_pmi!D153</f>
        <v>53.491050000000001</v>
      </c>
      <c r="C153" s="2">
        <v>123456789</v>
      </c>
      <c r="D153" s="2">
        <v>123456789</v>
      </c>
    </row>
    <row r="154" spans="1:4" x14ac:dyDescent="0.45">
      <c r="A154" t="s">
        <v>287</v>
      </c>
      <c r="B154" s="21">
        <f>spliced_quartely_pmi!D154</f>
        <v>52.954219999999999</v>
      </c>
      <c r="C154" s="2">
        <v>123456789</v>
      </c>
      <c r="D154" s="2">
        <v>123456789</v>
      </c>
    </row>
    <row r="155" spans="1:4" x14ac:dyDescent="0.45">
      <c r="A155" t="s">
        <v>288</v>
      </c>
      <c r="B155" s="21">
        <f>spliced_quartely_pmi!D155</f>
        <v>48.573279999999997</v>
      </c>
      <c r="C155" s="2">
        <v>123456789</v>
      </c>
      <c r="D155" s="2">
        <v>123456789</v>
      </c>
    </row>
    <row r="156" spans="1:4" x14ac:dyDescent="0.45">
      <c r="A156" t="s">
        <v>289</v>
      </c>
      <c r="B156" s="21">
        <f>spliced_quartely_pmi!D156</f>
        <v>46.54495</v>
      </c>
      <c r="C156" s="2">
        <v>123456789</v>
      </c>
      <c r="D156" s="2">
        <v>123456789</v>
      </c>
    </row>
    <row r="157" spans="1:4" x14ac:dyDescent="0.45">
      <c r="A157" t="s">
        <v>290</v>
      </c>
      <c r="B157" s="21">
        <f>spliced_quartely_pmi!D157</f>
        <v>39.703960000000002</v>
      </c>
      <c r="C157" s="2">
        <v>123456789</v>
      </c>
      <c r="D157" s="2">
        <v>123456789</v>
      </c>
    </row>
    <row r="158" spans="1:4" x14ac:dyDescent="0.45">
      <c r="A158" t="s">
        <v>291</v>
      </c>
      <c r="B158" s="21">
        <f>spliced_quartely_pmi!D158</f>
        <v>41.831670000000003</v>
      </c>
      <c r="C158" s="2">
        <v>123456789</v>
      </c>
      <c r="D158" s="2">
        <v>123456789</v>
      </c>
    </row>
    <row r="159" spans="1:4" x14ac:dyDescent="0.45">
      <c r="A159" t="s">
        <v>292</v>
      </c>
      <c r="B159" s="21">
        <f>spliced_quartely_pmi!D159</f>
        <v>50.09646</v>
      </c>
      <c r="C159" s="2">
        <v>123456789</v>
      </c>
      <c r="D159" s="2">
        <v>123456789</v>
      </c>
    </row>
    <row r="160" spans="1:4" x14ac:dyDescent="0.45">
      <c r="A160" t="s">
        <v>293</v>
      </c>
      <c r="B160" s="21">
        <f>spliced_quartely_pmi!D160</f>
        <v>54.286459999999998</v>
      </c>
      <c r="C160" s="2">
        <v>123456789</v>
      </c>
      <c r="D160" s="2">
        <v>123456789</v>
      </c>
    </row>
    <row r="161" spans="1:4" x14ac:dyDescent="0.45">
      <c r="A161" t="s">
        <v>294</v>
      </c>
      <c r="B161" s="21">
        <f>spliced_quartely_pmi!D161</f>
        <v>57.08099</v>
      </c>
      <c r="C161" s="2">
        <v>123456789</v>
      </c>
      <c r="D161" s="2">
        <v>123456789</v>
      </c>
    </row>
    <row r="162" spans="1:4" x14ac:dyDescent="0.45">
      <c r="A162" t="s">
        <v>295</v>
      </c>
      <c r="B162" s="21">
        <f>spliced_quartely_pmi!D162</f>
        <v>56.945740000000001</v>
      </c>
      <c r="C162" s="2">
        <v>123456789</v>
      </c>
      <c r="D162" s="2">
        <v>123456789</v>
      </c>
    </row>
    <row r="163" spans="1:4" x14ac:dyDescent="0.45">
      <c r="A163" t="s">
        <v>296</v>
      </c>
      <c r="B163" s="21">
        <f>spliced_quartely_pmi!D163</f>
        <v>56.076610000000002</v>
      </c>
      <c r="C163" s="2">
        <v>123456789</v>
      </c>
      <c r="D163" s="2">
        <v>123456789</v>
      </c>
    </row>
    <row r="164" spans="1:4" x14ac:dyDescent="0.45">
      <c r="A164" t="s">
        <v>297</v>
      </c>
      <c r="B164" s="21">
        <f>spliced_quartely_pmi!D164</f>
        <v>53.340200000000003</v>
      </c>
      <c r="C164" s="2">
        <v>123456789</v>
      </c>
      <c r="D164" s="2">
        <v>123456789</v>
      </c>
    </row>
    <row r="165" spans="1:4" x14ac:dyDescent="0.45">
      <c r="A165" t="s">
        <v>298</v>
      </c>
      <c r="B165" s="21">
        <f>spliced_quartely_pmi!D165</f>
        <v>53.498339999999999</v>
      </c>
      <c r="C165" s="2">
        <v>123456789</v>
      </c>
      <c r="D165" s="2">
        <v>123456789</v>
      </c>
    </row>
    <row r="166" spans="1:4" x14ac:dyDescent="0.45">
      <c r="A166" t="s">
        <v>299</v>
      </c>
      <c r="B166" s="21">
        <f>spliced_quartely_pmi!D166</f>
        <v>55.747169999999997</v>
      </c>
      <c r="C166" s="2">
        <v>123456789</v>
      </c>
      <c r="D166" s="2">
        <v>123456789</v>
      </c>
    </row>
    <row r="167" spans="1:4" x14ac:dyDescent="0.45">
      <c r="A167" t="s">
        <v>300</v>
      </c>
      <c r="B167" s="21">
        <f>spliced_quartely_pmi!D167</f>
        <v>53.829990000000002</v>
      </c>
      <c r="C167" s="2">
        <v>123456789</v>
      </c>
      <c r="D167" s="2">
        <v>123456789</v>
      </c>
    </row>
    <row r="168" spans="1:4" x14ac:dyDescent="0.45">
      <c r="A168" t="s">
        <v>301</v>
      </c>
      <c r="B168" s="21">
        <f>spliced_quartely_pmi!D168</f>
        <v>52.815040000000003</v>
      </c>
      <c r="C168" s="2">
        <v>123456789</v>
      </c>
      <c r="D168" s="2">
        <v>123456789</v>
      </c>
    </row>
    <row r="169" spans="1:4" x14ac:dyDescent="0.45">
      <c r="A169" t="s">
        <v>302</v>
      </c>
      <c r="B169" s="21">
        <f>spliced_quartely_pmi!D169</f>
        <v>51.693390000000001</v>
      </c>
      <c r="C169" s="2">
        <v>123456789</v>
      </c>
      <c r="D169" s="2">
        <v>123456789</v>
      </c>
    </row>
    <row r="170" spans="1:4" x14ac:dyDescent="0.45">
      <c r="A170" t="s">
        <v>303</v>
      </c>
      <c r="B170" s="21">
        <f>spliced_quartely_pmi!D170</f>
        <v>54.727200000000003</v>
      </c>
      <c r="C170" s="2">
        <v>123456789</v>
      </c>
      <c r="D170" s="2">
        <v>123456789</v>
      </c>
    </row>
    <row r="171" spans="1:4" x14ac:dyDescent="0.45">
      <c r="A171" t="s">
        <v>304</v>
      </c>
      <c r="B171" s="21">
        <f>spliced_quartely_pmi!D171</f>
        <v>52.123539999999998</v>
      </c>
      <c r="C171" s="2">
        <v>123456789</v>
      </c>
      <c r="D171" s="2">
        <v>123456789</v>
      </c>
    </row>
    <row r="172" spans="1:4" x14ac:dyDescent="0.45">
      <c r="A172" t="s">
        <v>305</v>
      </c>
      <c r="B172" s="21">
        <f>spliced_quartely_pmi!D172</f>
        <v>51.213940000000001</v>
      </c>
      <c r="C172" s="2">
        <v>123456789</v>
      </c>
      <c r="D172" s="2">
        <v>123456789</v>
      </c>
    </row>
    <row r="173" spans="1:4" x14ac:dyDescent="0.45">
      <c r="A173" t="s">
        <v>306</v>
      </c>
      <c r="B173" s="21">
        <f>spliced_quartely_pmi!D173</f>
        <v>49.858580000000003</v>
      </c>
      <c r="C173" s="2">
        <v>123456789</v>
      </c>
      <c r="D173" s="2">
        <v>123456789</v>
      </c>
    </row>
    <row r="174" spans="1:4" x14ac:dyDescent="0.45">
      <c r="A174" t="s">
        <v>307</v>
      </c>
      <c r="B174" s="21">
        <f>spliced_quartely_pmi!D174</f>
        <v>51.678040000000003</v>
      </c>
      <c r="C174" s="2">
        <v>123456789</v>
      </c>
      <c r="D174" s="2">
        <v>123456789</v>
      </c>
    </row>
    <row r="175" spans="1:4" x14ac:dyDescent="0.45">
      <c r="A175" t="s">
        <v>308</v>
      </c>
      <c r="B175" s="21">
        <f>spliced_quartely_pmi!D175</f>
        <v>54.664319999999996</v>
      </c>
      <c r="C175" s="2">
        <v>123456789</v>
      </c>
      <c r="D175" s="2">
        <v>123456789</v>
      </c>
    </row>
    <row r="176" spans="1:4" x14ac:dyDescent="0.45">
      <c r="A176" t="s">
        <v>309</v>
      </c>
      <c r="B176" s="21">
        <f>spliced_quartely_pmi!D176</f>
        <v>60.50338</v>
      </c>
      <c r="C176" s="2">
        <v>123456789</v>
      </c>
      <c r="D176" s="2">
        <v>123456789</v>
      </c>
    </row>
    <row r="177" spans="1:4" x14ac:dyDescent="0.45">
      <c r="A177" t="s">
        <v>310</v>
      </c>
      <c r="B177" s="21">
        <f>spliced_quartely_pmi!D177</f>
        <v>60.301740000000002</v>
      </c>
      <c r="C177" s="2">
        <v>123456789</v>
      </c>
      <c r="D177" s="2">
        <v>123456789</v>
      </c>
    </row>
    <row r="178" spans="1:4" x14ac:dyDescent="0.45">
      <c r="A178" t="s">
        <v>311</v>
      </c>
      <c r="B178" s="21">
        <f>spliced_quartely_pmi!D178</f>
        <v>57.894370000000002</v>
      </c>
      <c r="C178" s="2">
        <v>123456789</v>
      </c>
      <c r="D178" s="2">
        <v>123456789</v>
      </c>
    </row>
    <row r="179" spans="1:4" x14ac:dyDescent="0.45">
      <c r="A179" t="s">
        <v>312</v>
      </c>
      <c r="B179" s="21">
        <f>spliced_quartely_pmi!D179</f>
        <v>58.766849999999998</v>
      </c>
      <c r="C179" s="2">
        <v>123456789</v>
      </c>
      <c r="D179" s="2">
        <v>123456789</v>
      </c>
    </row>
    <row r="180" spans="1:4" x14ac:dyDescent="0.45">
      <c r="A180" t="s">
        <v>313</v>
      </c>
      <c r="B180" s="21">
        <f>spliced_quartely_pmi!D180</f>
        <v>58.584609999999998</v>
      </c>
      <c r="C180" s="2">
        <v>123456789</v>
      </c>
      <c r="D180" s="2">
        <v>123456789</v>
      </c>
    </row>
    <row r="181" spans="1:4" x14ac:dyDescent="0.45">
      <c r="A181" t="s">
        <v>314</v>
      </c>
      <c r="B181" s="21">
        <f>spliced_quartely_pmi!D181</f>
        <v>56.177810000000001</v>
      </c>
      <c r="C181" s="2">
        <v>123456789</v>
      </c>
      <c r="D181" s="2">
        <v>123456789</v>
      </c>
    </row>
    <row r="182" spans="1:4" x14ac:dyDescent="0.45">
      <c r="A182" t="s">
        <v>315</v>
      </c>
      <c r="B182" s="21">
        <f>spliced_quartely_pmi!D182</f>
        <v>57.160649999999997</v>
      </c>
      <c r="C182" s="2">
        <v>123456789</v>
      </c>
      <c r="D182" s="2">
        <v>123456789</v>
      </c>
    </row>
    <row r="183" spans="1:4" x14ac:dyDescent="0.45">
      <c r="A183" t="s">
        <v>316</v>
      </c>
      <c r="B183" s="21">
        <f>spliced_quartely_pmi!D183</f>
        <v>57.356699999999996</v>
      </c>
      <c r="C183" s="2">
        <v>123456789</v>
      </c>
      <c r="D183" s="2">
        <v>123456789</v>
      </c>
    </row>
    <row r="184" spans="1:4" x14ac:dyDescent="0.45">
      <c r="A184" t="s">
        <v>317</v>
      </c>
      <c r="B184" s="21">
        <f>spliced_quartely_pmi!D184</f>
        <v>55.148820000000001</v>
      </c>
      <c r="C184" s="2">
        <v>123456789</v>
      </c>
      <c r="D184" s="2">
        <v>123456789</v>
      </c>
    </row>
    <row r="185" spans="1:4" x14ac:dyDescent="0.45">
      <c r="A185" t="s">
        <v>318</v>
      </c>
      <c r="B185" s="21">
        <f>spliced_quartely_pmi!D185</f>
        <v>55.316270000000003</v>
      </c>
      <c r="C185" s="2">
        <v>123456789</v>
      </c>
      <c r="D185" s="2">
        <v>123456789</v>
      </c>
    </row>
    <row r="186" spans="1:4" x14ac:dyDescent="0.45">
      <c r="A186" t="s">
        <v>319</v>
      </c>
      <c r="B186" s="21">
        <f>spliced_quartely_pmi!D186</f>
        <v>54.002249999999997</v>
      </c>
      <c r="C186" s="2">
        <v>123456789</v>
      </c>
      <c r="D186" s="2">
        <v>123456789</v>
      </c>
    </row>
    <row r="187" spans="1:4" x14ac:dyDescent="0.45">
      <c r="A187" t="s">
        <v>320</v>
      </c>
      <c r="B187" s="21">
        <f>spliced_quartely_pmi!D187</f>
        <v>52.648560000000003</v>
      </c>
      <c r="C187" s="2">
        <v>123456789</v>
      </c>
      <c r="D187" s="2">
        <v>123456789</v>
      </c>
    </row>
    <row r="188" spans="1:4" x14ac:dyDescent="0.45">
      <c r="A188" t="s">
        <v>321</v>
      </c>
      <c r="B188" s="21">
        <f>spliced_quartely_pmi!D188</f>
        <v>51.626139999999999</v>
      </c>
      <c r="C188" s="2">
        <v>123456789</v>
      </c>
      <c r="D188" s="2">
        <v>123456789</v>
      </c>
    </row>
    <row r="189" spans="1:4" x14ac:dyDescent="0.45">
      <c r="A189" t="s">
        <v>322</v>
      </c>
      <c r="B189" s="21">
        <f>spliced_quartely_pmi!D189</f>
        <v>55.478169999999999</v>
      </c>
      <c r="C189" s="2">
        <v>123456789</v>
      </c>
      <c r="D189" s="2">
        <v>123456789</v>
      </c>
    </row>
    <row r="190" spans="1:4" x14ac:dyDescent="0.45">
      <c r="A190" t="s">
        <v>323</v>
      </c>
      <c r="B190" s="21">
        <f>spliced_quartely_pmi!D190</f>
        <v>54.583109999999998</v>
      </c>
      <c r="C190" s="2">
        <v>123456789</v>
      </c>
      <c r="D190" s="2">
        <v>123456789</v>
      </c>
    </row>
    <row r="191" spans="1:4" x14ac:dyDescent="0.45">
      <c r="A191" t="s">
        <v>324</v>
      </c>
      <c r="B191" s="21">
        <f>spliced_quartely_pmi!D191</f>
        <v>54.834470000000003</v>
      </c>
      <c r="C191" s="2">
        <v>123456789</v>
      </c>
      <c r="D191" s="2">
        <v>123456789</v>
      </c>
    </row>
    <row r="192" spans="1:4" x14ac:dyDescent="0.45">
      <c r="A192" t="s">
        <v>325</v>
      </c>
      <c r="B192" s="21">
        <f>spliced_quartely_pmi!D192</f>
        <v>54.061199999999999</v>
      </c>
      <c r="C192" s="2">
        <v>123456789</v>
      </c>
      <c r="D192" s="2">
        <v>123456789</v>
      </c>
    </row>
    <row r="193" spans="1:4" x14ac:dyDescent="0.45">
      <c r="A193" t="s">
        <v>326</v>
      </c>
      <c r="B193" s="21">
        <f>spliced_quartely_pmi!D193</f>
        <v>55.174149999999997</v>
      </c>
      <c r="C193" s="2">
        <v>123456789</v>
      </c>
      <c r="D193" s="2">
        <v>123456789</v>
      </c>
    </row>
    <row r="194" spans="1:4" x14ac:dyDescent="0.45">
      <c r="A194" t="s">
        <v>327</v>
      </c>
      <c r="B194" s="21">
        <f>spliced_quartely_pmi!D194</f>
        <v>53.456270000000004</v>
      </c>
      <c r="C194" s="2">
        <v>123456789</v>
      </c>
      <c r="D194" s="2">
        <v>123456789</v>
      </c>
    </row>
    <row r="195" spans="1:4" x14ac:dyDescent="0.45">
      <c r="A195" t="s">
        <v>328</v>
      </c>
      <c r="B195" s="21">
        <f>spliced_quartely_pmi!D195</f>
        <v>54.276260000000001</v>
      </c>
      <c r="C195" s="2">
        <v>123456789</v>
      </c>
      <c r="D195" s="2">
        <v>123456789</v>
      </c>
    </row>
    <row r="196" spans="1:4" x14ac:dyDescent="0.45">
      <c r="A196" t="s">
        <v>329</v>
      </c>
      <c r="B196" s="21">
        <f>spliced_quartely_pmi!D196</f>
        <v>53.929180000000002</v>
      </c>
      <c r="C196" s="2">
        <v>123456789</v>
      </c>
      <c r="D196" s="2">
        <v>123456789</v>
      </c>
    </row>
    <row r="197" spans="1:4" x14ac:dyDescent="0.45">
      <c r="A197" t="s">
        <v>330</v>
      </c>
      <c r="B197" s="21">
        <f>spliced_quartely_pmi!D197</f>
        <v>51.440289999999997</v>
      </c>
      <c r="C197" s="2">
        <v>123456789</v>
      </c>
      <c r="D197" s="2">
        <v>123456789</v>
      </c>
    </row>
    <row r="198" spans="1:4" x14ac:dyDescent="0.45">
      <c r="A198" t="s">
        <v>331</v>
      </c>
      <c r="B198" s="21">
        <f>spliced_quartely_pmi!D198</f>
        <v>50.607050000000001</v>
      </c>
      <c r="C198" s="2">
        <v>123456789</v>
      </c>
      <c r="D198" s="2">
        <v>123456789</v>
      </c>
    </row>
    <row r="199" spans="1:4" x14ac:dyDescent="0.45">
      <c r="A199" t="s">
        <v>332</v>
      </c>
      <c r="B199" s="21">
        <f>spliced_quartely_pmi!D199</f>
        <v>50.51155</v>
      </c>
      <c r="C199" s="2">
        <v>123456789</v>
      </c>
      <c r="D199" s="2">
        <v>123456789</v>
      </c>
    </row>
    <row r="200" spans="1:4" x14ac:dyDescent="0.45">
      <c r="A200" t="s">
        <v>333</v>
      </c>
      <c r="B200" s="21">
        <f>spliced_quartely_pmi!D200</f>
        <v>50.060169999999999</v>
      </c>
      <c r="C200" s="2">
        <v>123456789</v>
      </c>
      <c r="D200" s="2">
        <v>123456789</v>
      </c>
    </row>
    <row r="201" spans="1:4" x14ac:dyDescent="0.45">
      <c r="A201" t="s">
        <v>334</v>
      </c>
      <c r="B201" s="21">
        <f>spliced_quartely_pmi!D201</f>
        <v>49.507800000000003</v>
      </c>
      <c r="C201" s="2">
        <v>123456789</v>
      </c>
      <c r="D201" s="2">
        <v>123456789</v>
      </c>
    </row>
    <row r="202" spans="1:4" x14ac:dyDescent="0.45">
      <c r="A202" t="s">
        <v>335</v>
      </c>
      <c r="B202" s="21">
        <f>spliced_quartely_pmi!D202</f>
        <v>47.433959999999999</v>
      </c>
      <c r="C202" s="2">
        <v>123456789</v>
      </c>
      <c r="D202" s="2">
        <v>123456789</v>
      </c>
    </row>
    <row r="203" spans="1:4" x14ac:dyDescent="0.45">
      <c r="A203" t="s">
        <v>336</v>
      </c>
      <c r="B203" s="21">
        <f>spliced_quartely_pmi!D203</f>
        <v>30.49887</v>
      </c>
      <c r="C203" s="2">
        <v>123456789</v>
      </c>
      <c r="D203" s="2">
        <v>123456789</v>
      </c>
    </row>
    <row r="204" spans="1:4" x14ac:dyDescent="0.45">
      <c r="A204" t="s">
        <v>337</v>
      </c>
      <c r="B204" s="21">
        <f>spliced_quartely_pmi!D204</f>
        <v>57.540100000000002</v>
      </c>
      <c r="C204" s="2">
        <v>123456789</v>
      </c>
      <c r="D204" s="2">
        <v>123456789</v>
      </c>
    </row>
    <row r="205" spans="1:4" x14ac:dyDescent="0.45">
      <c r="A205" t="s">
        <v>338</v>
      </c>
      <c r="B205" s="21">
        <f>spliced_quartely_pmi!D205</f>
        <v>50.522309999999997</v>
      </c>
      <c r="C205" s="2">
        <v>123456789</v>
      </c>
      <c r="D205" s="2">
        <v>123456789</v>
      </c>
    </row>
    <row r="206" spans="1:4" x14ac:dyDescent="0.45">
      <c r="A206" t="s">
        <v>339</v>
      </c>
      <c r="B206" s="21">
        <f>spliced_quartely_pmi!D206</f>
        <v>49.084299999999999</v>
      </c>
      <c r="C206" s="2">
        <v>123456789</v>
      </c>
      <c r="D206" s="2">
        <v>123456789</v>
      </c>
    </row>
    <row r="207" spans="1:4" x14ac:dyDescent="0.45">
      <c r="A207" t="s">
        <v>340</v>
      </c>
      <c r="B207" s="21">
        <f>spliced_quartely_pmi!D207</f>
        <v>61.931150000000002</v>
      </c>
      <c r="C207" s="2">
        <v>123456789</v>
      </c>
      <c r="D207" s="2">
        <v>123456789</v>
      </c>
    </row>
    <row r="208" spans="1:4" x14ac:dyDescent="0.45">
      <c r="A208" t="s">
        <v>341</v>
      </c>
      <c r="B208" s="21">
        <f>spliced_quartely_pmi!D208</f>
        <v>56.33379</v>
      </c>
      <c r="C208" s="2">
        <v>123456789</v>
      </c>
      <c r="D208" s="2">
        <v>123456789</v>
      </c>
    </row>
    <row r="209" spans="1:4" x14ac:dyDescent="0.45">
      <c r="A209" t="s">
        <v>342</v>
      </c>
      <c r="B209" s="21">
        <f>spliced_quartely_pmi!D209</f>
        <v>56.316299999999998</v>
      </c>
      <c r="C209" s="2">
        <v>123456789</v>
      </c>
      <c r="D209" s="2">
        <v>123456789</v>
      </c>
    </row>
    <row r="210" spans="1:4" x14ac:dyDescent="0.45">
      <c r="A210" t="s">
        <v>343</v>
      </c>
      <c r="B210" s="21">
        <f>spliced_quartely_pmi!D210</f>
        <v>58.32978</v>
      </c>
      <c r="C210" s="2">
        <v>123456789</v>
      </c>
      <c r="D210" s="2">
        <v>123456789</v>
      </c>
    </row>
    <row r="211" spans="1:4" x14ac:dyDescent="0.45">
      <c r="A211" t="s">
        <v>344</v>
      </c>
      <c r="B211" s="21">
        <f>spliced_quartely_pmi!D211</f>
        <v>55.012259999999998</v>
      </c>
      <c r="C211" s="2">
        <v>123456789</v>
      </c>
      <c r="D211" s="2">
        <v>123456789</v>
      </c>
    </row>
    <row r="212" spans="1:4" x14ac:dyDescent="0.45">
      <c r="A212" t="s">
        <v>345</v>
      </c>
      <c r="B212" s="21">
        <f>spliced_quartely_pmi!D212</f>
        <v>50.271349999999998</v>
      </c>
      <c r="C212" s="2">
        <v>123456789</v>
      </c>
      <c r="D212" s="2">
        <v>123456789</v>
      </c>
    </row>
    <row r="213" spans="1:4" x14ac:dyDescent="0.45">
      <c r="A213" t="s">
        <v>346</v>
      </c>
      <c r="B213" s="21">
        <f>spliced_quartely_pmi!D213</f>
        <v>48.46857</v>
      </c>
      <c r="C213" s="2">
        <v>123456789</v>
      </c>
      <c r="D213" s="2">
        <v>123456789</v>
      </c>
    </row>
    <row r="214" spans="1:4" x14ac:dyDescent="0.45">
      <c r="A214" t="s">
        <v>347</v>
      </c>
      <c r="B214" s="21">
        <f>spliced_quartely_pmi!D214</f>
        <v>51.257800000000003</v>
      </c>
      <c r="C214" s="2">
        <v>123456789</v>
      </c>
      <c r="D214" s="2">
        <v>123456789</v>
      </c>
    </row>
    <row r="215" spans="1:4" x14ac:dyDescent="0.45">
      <c r="A215" t="s">
        <v>348</v>
      </c>
      <c r="B215" s="21">
        <f>spliced_quartely_pmi!D215</f>
        <v>53.902209999999997</v>
      </c>
      <c r="C215" s="2">
        <v>123456789</v>
      </c>
      <c r="D215" s="2">
        <v>123456789</v>
      </c>
    </row>
    <row r="216" spans="1:4" x14ac:dyDescent="0.45">
      <c r="A216" t="s">
        <v>349</v>
      </c>
      <c r="B216" s="21">
        <f>spliced_quartely_pmi!D216</f>
        <v>49.315809999999999</v>
      </c>
      <c r="C216" s="2">
        <v>123456789</v>
      </c>
      <c r="D216" s="2">
        <v>123456789</v>
      </c>
    </row>
    <row r="217" spans="1:4" x14ac:dyDescent="0.45">
      <c r="A217" t="s">
        <v>350</v>
      </c>
      <c r="B217" s="21">
        <f>spliced_quartely_pmi!D217</f>
        <v>50.494790000000002</v>
      </c>
      <c r="C217" s="2">
        <v>123456789</v>
      </c>
      <c r="D217" s="2">
        <v>123456789</v>
      </c>
    </row>
    <row r="218" spans="1:4" x14ac:dyDescent="0.45">
      <c r="A218" t="s">
        <v>351</v>
      </c>
      <c r="B218" s="21">
        <f>spliced_quartely_pmi!D218</f>
        <v>52.902200000000001</v>
      </c>
      <c r="C218" s="2">
        <v>123456789</v>
      </c>
      <c r="D218" s="2">
        <v>123456789</v>
      </c>
    </row>
    <row r="219" spans="1:4" x14ac:dyDescent="0.45">
      <c r="A219" t="s">
        <v>352</v>
      </c>
      <c r="B219" s="21">
        <f>spliced_quartely_pmi!D219</f>
        <v>53.126550000000002</v>
      </c>
      <c r="C219" s="2">
        <v>123456789</v>
      </c>
      <c r="D219" s="2">
        <v>123456789</v>
      </c>
    </row>
    <row r="220" spans="1:4" x14ac:dyDescent="0.45">
      <c r="A220" t="s">
        <v>353</v>
      </c>
      <c r="B220" s="21">
        <f>spliced_quartely_pmi!D220</f>
        <v>53.076039999999999</v>
      </c>
      <c r="C220" s="2">
        <v>123456789</v>
      </c>
      <c r="D220" s="2">
        <v>123456789</v>
      </c>
    </row>
    <row r="221" spans="1:4" x14ac:dyDescent="0.45">
      <c r="A221" t="s">
        <v>354</v>
      </c>
      <c r="B221" s="21">
        <f>spliced_quartely_pmi!D221</f>
        <v>50.866320000000002</v>
      </c>
      <c r="C221" s="2">
        <v>123456789</v>
      </c>
      <c r="D221" s="2">
        <v>123456789</v>
      </c>
    </row>
    <row r="222" spans="1:4" x14ac:dyDescent="0.45">
      <c r="A222" t="s">
        <v>355</v>
      </c>
      <c r="B222" s="21">
        <f>spliced_quartely_pmi!D222</f>
        <v>50.849550000000001</v>
      </c>
      <c r="C222" s="2">
        <v>123456789</v>
      </c>
      <c r="D222" s="2">
        <v>123456789</v>
      </c>
    </row>
    <row r="223" spans="1:4" x14ac:dyDescent="0.45">
      <c r="A223" t="s">
        <v>356</v>
      </c>
      <c r="B223" s="21">
        <f>spliced_quartely_pmi!D223</f>
        <v>50.253450000000001</v>
      </c>
      <c r="C223" s="2">
        <v>123456789</v>
      </c>
      <c r="D223" s="2">
        <v>123456789</v>
      </c>
    </row>
    <row r="224" spans="1:4" x14ac:dyDescent="0.45">
      <c r="A224" t="s">
        <v>357</v>
      </c>
      <c r="B224" s="21">
        <f>spliced_quartely_pmi!D224</f>
        <v>51.67</v>
      </c>
      <c r="C224" s="2">
        <v>123456789</v>
      </c>
      <c r="D224" s="2">
        <v>123456789</v>
      </c>
    </row>
    <row r="225" spans="1:4" x14ac:dyDescent="0.45">
      <c r="A225" t="s">
        <v>438</v>
      </c>
      <c r="B225" s="21">
        <v>51.67</v>
      </c>
      <c r="C225" s="2">
        <v>123456789</v>
      </c>
      <c r="D225" s="2">
        <v>123456789</v>
      </c>
    </row>
    <row r="226" spans="1:4" x14ac:dyDescent="0.45">
      <c r="A226" t="s">
        <v>441</v>
      </c>
      <c r="B226" s="21">
        <v>51.67</v>
      </c>
      <c r="C226" s="2">
        <v>123456789</v>
      </c>
      <c r="D226" s="2">
        <v>123456789</v>
      </c>
    </row>
  </sheetData>
  <phoneticPr fontId="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6D315-F955-4501-99AF-C406B64B1EA6}">
  <sheetPr>
    <tabColor theme="9" tint="0.79998168889431442"/>
  </sheetPr>
  <dimension ref="A1:D226"/>
  <sheetViews>
    <sheetView topLeftCell="A211" workbookViewId="0">
      <selection activeCell="G224" sqref="G224"/>
    </sheetView>
  </sheetViews>
  <sheetFormatPr defaultRowHeight="14.25" x14ac:dyDescent="0.45"/>
  <cols>
    <col min="2" max="2" width="10" bestFit="1" customWidth="1"/>
  </cols>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1">
        <f>spliced_quartely_pmi_long!D6</f>
        <v>56.070286938149152</v>
      </c>
      <c r="C6" s="2">
        <v>123456789</v>
      </c>
      <c r="D6" s="2">
        <v>123456789</v>
      </c>
    </row>
    <row r="7" spans="1:4" x14ac:dyDescent="0.45">
      <c r="A7" t="s">
        <v>140</v>
      </c>
      <c r="B7" s="21">
        <f>spliced_quartely_pmi_long!D7</f>
        <v>55.457302359676426</v>
      </c>
      <c r="C7" s="2">
        <v>123456789</v>
      </c>
      <c r="D7" s="2">
        <v>123456789</v>
      </c>
    </row>
    <row r="8" spans="1:4" x14ac:dyDescent="0.45">
      <c r="A8" t="s">
        <v>141</v>
      </c>
      <c r="B8" s="21">
        <f>spliced_quartely_pmi_long!D8</f>
        <v>56.229196492296488</v>
      </c>
      <c r="C8" s="2">
        <v>123456789</v>
      </c>
      <c r="D8" s="2">
        <v>123456789</v>
      </c>
    </row>
    <row r="9" spans="1:4" x14ac:dyDescent="0.45">
      <c r="A9" t="s">
        <v>142</v>
      </c>
      <c r="B9" s="21">
        <f>spliced_quartely_pmi_long!D9</f>
        <v>55.668120889127721</v>
      </c>
      <c r="C9" s="2">
        <v>123456789</v>
      </c>
      <c r="D9" s="2">
        <v>123456789</v>
      </c>
    </row>
    <row r="10" spans="1:4" x14ac:dyDescent="0.45">
      <c r="A10" t="s">
        <v>143</v>
      </c>
      <c r="B10" s="21">
        <f>spliced_quartely_pmi_long!D10</f>
        <v>56.391201286712587</v>
      </c>
      <c r="C10" s="2">
        <v>123456789</v>
      </c>
      <c r="D10" s="2">
        <v>123456789</v>
      </c>
    </row>
    <row r="11" spans="1:4" x14ac:dyDescent="0.45">
      <c r="A11" t="s">
        <v>144</v>
      </c>
      <c r="B11" s="21">
        <f>spliced_quartely_pmi_long!D11</f>
        <v>57.257844620458222</v>
      </c>
      <c r="C11" s="2">
        <v>123456789</v>
      </c>
      <c r="D11" s="2">
        <v>123456789</v>
      </c>
    </row>
    <row r="12" spans="1:4" x14ac:dyDescent="0.45">
      <c r="A12" t="s">
        <v>145</v>
      </c>
      <c r="B12" s="21">
        <f>spliced_quartely_pmi_long!D12</f>
        <v>55.774767757087638</v>
      </c>
      <c r="C12" s="2">
        <v>123456789</v>
      </c>
      <c r="D12" s="2">
        <v>123456789</v>
      </c>
    </row>
    <row r="13" spans="1:4" x14ac:dyDescent="0.45">
      <c r="A13" t="s">
        <v>146</v>
      </c>
      <c r="B13" s="21">
        <f>spliced_quartely_pmi_long!D13</f>
        <v>56.982971684342758</v>
      </c>
      <c r="C13" s="2">
        <v>123456789</v>
      </c>
      <c r="D13" s="2">
        <v>123456789</v>
      </c>
    </row>
    <row r="14" spans="1:4" x14ac:dyDescent="0.45">
      <c r="A14" t="s">
        <v>147</v>
      </c>
      <c r="B14" s="21">
        <f>spliced_quartely_pmi_long!D14</f>
        <v>61.759307633907198</v>
      </c>
      <c r="C14" s="2">
        <v>123456789</v>
      </c>
      <c r="D14" s="2">
        <v>123456789</v>
      </c>
    </row>
    <row r="15" spans="1:4" x14ac:dyDescent="0.45">
      <c r="A15" t="s">
        <v>148</v>
      </c>
      <c r="B15" s="21">
        <f>spliced_quartely_pmi_long!D15</f>
        <v>59.236709659080056</v>
      </c>
      <c r="C15" s="2">
        <v>123456789</v>
      </c>
      <c r="D15" s="2">
        <v>123456789</v>
      </c>
    </row>
    <row r="16" spans="1:4" x14ac:dyDescent="0.45">
      <c r="A16" t="s">
        <v>149</v>
      </c>
      <c r="B16" s="21">
        <f>spliced_quartely_pmi_long!D16</f>
        <v>57.979225589228257</v>
      </c>
      <c r="C16" s="2">
        <v>123456789</v>
      </c>
      <c r="D16" s="2">
        <v>123456789</v>
      </c>
    </row>
    <row r="17" spans="1:4" x14ac:dyDescent="0.45">
      <c r="A17" t="s">
        <v>150</v>
      </c>
      <c r="B17" s="21">
        <f>spliced_quartely_pmi_long!D17</f>
        <v>55.960963357749336</v>
      </c>
      <c r="C17" s="2">
        <v>123456789</v>
      </c>
      <c r="D17" s="2">
        <v>123456789</v>
      </c>
    </row>
    <row r="18" spans="1:4" x14ac:dyDescent="0.45">
      <c r="A18" t="s">
        <v>151</v>
      </c>
      <c r="B18" s="21">
        <f>spliced_quartely_pmi_long!D18</f>
        <v>48.01980166466754</v>
      </c>
      <c r="C18" s="2">
        <v>123456789</v>
      </c>
      <c r="D18" s="2">
        <v>123456789</v>
      </c>
    </row>
    <row r="19" spans="1:4" x14ac:dyDescent="0.45">
      <c r="A19" t="s">
        <v>152</v>
      </c>
      <c r="B19" s="21">
        <f>spliced_quartely_pmi_long!D19</f>
        <v>49.30780660820438</v>
      </c>
      <c r="C19" s="2">
        <v>123456789</v>
      </c>
      <c r="D19" s="2">
        <v>123456789</v>
      </c>
    </row>
    <row r="20" spans="1:4" x14ac:dyDescent="0.45">
      <c r="A20" t="s">
        <v>153</v>
      </c>
      <c r="B20" s="21">
        <f>spliced_quartely_pmi_long!D20</f>
        <v>50.904179355620691</v>
      </c>
      <c r="C20" s="2">
        <v>123456789</v>
      </c>
      <c r="D20" s="2">
        <v>123456789</v>
      </c>
    </row>
    <row r="21" spans="1:4" x14ac:dyDescent="0.45">
      <c r="A21" t="s">
        <v>154</v>
      </c>
      <c r="B21" s="21">
        <f>spliced_quartely_pmi_long!D21</f>
        <v>49.776869145794493</v>
      </c>
      <c r="C21" s="2">
        <v>123456789</v>
      </c>
      <c r="D21" s="2">
        <v>123456789</v>
      </c>
    </row>
    <row r="22" spans="1:4" x14ac:dyDescent="0.45">
      <c r="A22" t="s">
        <v>155</v>
      </c>
      <c r="B22" s="21">
        <f>spliced_quartely_pmi_long!D22</f>
        <v>52.733938215199835</v>
      </c>
      <c r="C22" s="2">
        <v>123456789</v>
      </c>
      <c r="D22" s="2">
        <v>123456789</v>
      </c>
    </row>
    <row r="23" spans="1:4" x14ac:dyDescent="0.45">
      <c r="A23" t="s">
        <v>156</v>
      </c>
      <c r="B23" s="21">
        <f>spliced_quartely_pmi_long!D23</f>
        <v>49.542375747372922</v>
      </c>
      <c r="C23" s="2">
        <v>123456789</v>
      </c>
      <c r="D23" s="2">
        <v>123456789</v>
      </c>
    </row>
    <row r="24" spans="1:4" x14ac:dyDescent="0.45">
      <c r="A24" t="s">
        <v>157</v>
      </c>
      <c r="B24" s="21">
        <f>spliced_quartely_pmi_long!D24</f>
        <v>48.609164502680073</v>
      </c>
      <c r="C24" s="2">
        <v>123456789</v>
      </c>
      <c r="D24" s="2">
        <v>123456789</v>
      </c>
    </row>
    <row r="25" spans="1:4" x14ac:dyDescent="0.45">
      <c r="A25" t="s">
        <v>158</v>
      </c>
      <c r="B25" s="21">
        <f>spliced_quartely_pmi_long!D25</f>
        <v>51.301423313877542</v>
      </c>
      <c r="C25" s="2">
        <v>123456789</v>
      </c>
      <c r="D25" s="2">
        <v>123456789</v>
      </c>
    </row>
    <row r="26" spans="1:4" x14ac:dyDescent="0.45">
      <c r="A26" t="s">
        <v>159</v>
      </c>
      <c r="B26" s="21">
        <f>spliced_quartely_pmi_long!D26</f>
        <v>53.014383931140898</v>
      </c>
      <c r="C26" s="2">
        <v>123456789</v>
      </c>
      <c r="D26" s="2">
        <v>123456789</v>
      </c>
    </row>
    <row r="27" spans="1:4" x14ac:dyDescent="0.45">
      <c r="A27" t="s">
        <v>160</v>
      </c>
      <c r="B27" s="21">
        <f>spliced_quartely_pmi_long!D27</f>
        <v>54.576813984139037</v>
      </c>
      <c r="C27" s="2">
        <v>123456789</v>
      </c>
      <c r="D27" s="2">
        <v>123456789</v>
      </c>
    </row>
    <row r="28" spans="1:4" x14ac:dyDescent="0.45">
      <c r="A28" t="s">
        <v>161</v>
      </c>
      <c r="B28" s="21">
        <f>spliced_quartely_pmi_long!D28</f>
        <v>56.179292344464564</v>
      </c>
      <c r="C28" s="2">
        <v>123456789</v>
      </c>
      <c r="D28" s="2">
        <v>123456789</v>
      </c>
    </row>
    <row r="29" spans="1:4" x14ac:dyDescent="0.45">
      <c r="A29" t="s">
        <v>162</v>
      </c>
      <c r="B29" s="21">
        <f>spliced_quartely_pmi_long!D29</f>
        <v>57.195908228034504</v>
      </c>
      <c r="C29" s="2">
        <v>123456789</v>
      </c>
      <c r="D29" s="2">
        <v>123456789</v>
      </c>
    </row>
    <row r="30" spans="1:4" x14ac:dyDescent="0.45">
      <c r="A30" t="s">
        <v>163</v>
      </c>
      <c r="B30" s="21">
        <f>spliced_quartely_pmi_long!D30</f>
        <v>55.529173946699188</v>
      </c>
      <c r="C30" s="2">
        <v>123456789</v>
      </c>
      <c r="D30" s="2">
        <v>123456789</v>
      </c>
    </row>
    <row r="31" spans="1:4" x14ac:dyDescent="0.45">
      <c r="A31" t="s">
        <v>164</v>
      </c>
      <c r="B31" s="21">
        <f>spliced_quartely_pmi_long!D31</f>
        <v>54.952821706356055</v>
      </c>
      <c r="C31" s="2">
        <v>123456789</v>
      </c>
      <c r="D31" s="2">
        <v>123456789</v>
      </c>
    </row>
    <row r="32" spans="1:4" x14ac:dyDescent="0.45">
      <c r="A32" t="s">
        <v>165</v>
      </c>
      <c r="B32" s="21">
        <f>spliced_quartely_pmi_long!D32</f>
        <v>54.340962297000999</v>
      </c>
      <c r="C32" s="2">
        <v>123456789</v>
      </c>
      <c r="D32" s="2">
        <v>123456789</v>
      </c>
    </row>
    <row r="33" spans="1:4" x14ac:dyDescent="0.45">
      <c r="A33" t="s">
        <v>166</v>
      </c>
      <c r="B33" s="21">
        <f>spliced_quartely_pmi_long!D33</f>
        <v>53.926929483128745</v>
      </c>
      <c r="C33" s="2">
        <v>123456789</v>
      </c>
      <c r="D33" s="2">
        <v>123456789</v>
      </c>
    </row>
    <row r="34" spans="1:4" x14ac:dyDescent="0.45">
      <c r="A34" t="s">
        <v>167</v>
      </c>
      <c r="B34" s="21">
        <f>spliced_quartely_pmi_long!D34</f>
        <v>54.835159243820314</v>
      </c>
      <c r="C34" s="2">
        <v>123456789</v>
      </c>
      <c r="D34" s="2">
        <v>123456789</v>
      </c>
    </row>
    <row r="35" spans="1:4" x14ac:dyDescent="0.45">
      <c r="A35" t="s">
        <v>168</v>
      </c>
      <c r="B35" s="21">
        <f>spliced_quartely_pmi_long!D35</f>
        <v>56.744686832929972</v>
      </c>
      <c r="C35" s="2">
        <v>123456789</v>
      </c>
      <c r="D35" s="2">
        <v>123456789</v>
      </c>
    </row>
    <row r="36" spans="1:4" x14ac:dyDescent="0.45">
      <c r="A36" t="s">
        <v>169</v>
      </c>
      <c r="B36" s="21">
        <f>spliced_quartely_pmi_long!D36</f>
        <v>57.481620449128187</v>
      </c>
      <c r="C36" s="2">
        <v>123456789</v>
      </c>
      <c r="D36" s="2">
        <v>123456789</v>
      </c>
    </row>
    <row r="37" spans="1:4" x14ac:dyDescent="0.45">
      <c r="A37" t="s">
        <v>170</v>
      </c>
      <c r="B37" s="21">
        <f>spliced_quartely_pmi_long!D37</f>
        <v>56.648765123635954</v>
      </c>
      <c r="C37" s="2">
        <v>123456789</v>
      </c>
      <c r="D37" s="2">
        <v>123456789</v>
      </c>
    </row>
    <row r="38" spans="1:4" x14ac:dyDescent="0.45">
      <c r="A38" t="s">
        <v>171</v>
      </c>
      <c r="B38" s="21">
        <f>spliced_quartely_pmi_long!D38</f>
        <v>55.359853771413384</v>
      </c>
      <c r="C38" s="2">
        <v>123456789</v>
      </c>
      <c r="D38" s="2">
        <v>123456789</v>
      </c>
    </row>
    <row r="39" spans="1:4" x14ac:dyDescent="0.45">
      <c r="A39" t="s">
        <v>172</v>
      </c>
      <c r="B39" s="21">
        <f>spliced_quartely_pmi_long!D39</f>
        <v>58.621282762206185</v>
      </c>
      <c r="C39" s="2">
        <v>123456789</v>
      </c>
      <c r="D39" s="2">
        <v>123456789</v>
      </c>
    </row>
    <row r="40" spans="1:4" x14ac:dyDescent="0.45">
      <c r="A40" t="s">
        <v>173</v>
      </c>
      <c r="B40" s="21">
        <f>spliced_quartely_pmi_long!D40</f>
        <v>54.881219749471256</v>
      </c>
      <c r="C40" s="2">
        <v>123456789</v>
      </c>
      <c r="D40" s="2">
        <v>123456789</v>
      </c>
    </row>
    <row r="41" spans="1:4" x14ac:dyDescent="0.45">
      <c r="A41" t="s">
        <v>174</v>
      </c>
      <c r="B41" s="21">
        <f>spliced_quartely_pmi_long!D41</f>
        <v>55.018168299781145</v>
      </c>
      <c r="C41" s="2">
        <v>123456789</v>
      </c>
      <c r="D41" s="2">
        <v>123456789</v>
      </c>
    </row>
    <row r="42" spans="1:4" x14ac:dyDescent="0.45">
      <c r="A42" t="s">
        <v>175</v>
      </c>
      <c r="B42" s="21">
        <f>spliced_quartely_pmi_long!D42</f>
        <v>54.299018946074945</v>
      </c>
      <c r="C42" s="2">
        <v>123456789</v>
      </c>
      <c r="D42" s="2">
        <v>123456789</v>
      </c>
    </row>
    <row r="43" spans="1:4" x14ac:dyDescent="0.45">
      <c r="A43" t="s">
        <v>176</v>
      </c>
      <c r="B43" s="21">
        <f>spliced_quartely_pmi_long!D43</f>
        <v>47.789861940961828</v>
      </c>
      <c r="C43" s="2">
        <v>123456789</v>
      </c>
      <c r="D43" s="2">
        <v>123456789</v>
      </c>
    </row>
    <row r="44" spans="1:4" x14ac:dyDescent="0.45">
      <c r="A44" t="s">
        <v>177</v>
      </c>
      <c r="B44" s="21">
        <f>spliced_quartely_pmi_long!D44</f>
        <v>50.004187067831161</v>
      </c>
      <c r="C44" s="2">
        <v>123456789</v>
      </c>
      <c r="D44" s="2">
        <v>123456789</v>
      </c>
    </row>
    <row r="45" spans="1:4" x14ac:dyDescent="0.45">
      <c r="A45" t="s">
        <v>178</v>
      </c>
      <c r="B45" s="21">
        <f>spliced_quartely_pmi_long!D45</f>
        <v>47.868890014554253</v>
      </c>
      <c r="C45" s="2">
        <v>123456789</v>
      </c>
      <c r="D45" s="2">
        <v>123456789</v>
      </c>
    </row>
    <row r="46" spans="1:4" x14ac:dyDescent="0.45">
      <c r="A46" t="s">
        <v>179</v>
      </c>
      <c r="B46" s="21">
        <f>spliced_quartely_pmi_long!D46</f>
        <v>48.813536640044944</v>
      </c>
      <c r="C46" s="2">
        <v>123456789</v>
      </c>
      <c r="D46" s="2">
        <v>123456789</v>
      </c>
    </row>
    <row r="47" spans="1:4" x14ac:dyDescent="0.45">
      <c r="A47" t="s">
        <v>180</v>
      </c>
      <c r="B47" s="21">
        <f>spliced_quartely_pmi_long!D47</f>
        <v>51.204430777805101</v>
      </c>
      <c r="C47" s="2">
        <v>123456789</v>
      </c>
      <c r="D47" s="2">
        <v>123456789</v>
      </c>
    </row>
    <row r="48" spans="1:4" x14ac:dyDescent="0.45">
      <c r="A48" t="s">
        <v>181</v>
      </c>
      <c r="B48" s="21">
        <f>spliced_quartely_pmi_long!D48</f>
        <v>52.526569699154841</v>
      </c>
      <c r="C48" s="2">
        <v>123456789</v>
      </c>
      <c r="D48" s="2">
        <v>123456789</v>
      </c>
    </row>
    <row r="49" spans="1:4" x14ac:dyDescent="0.45">
      <c r="A49" t="s">
        <v>182</v>
      </c>
      <c r="B49" s="21">
        <f>spliced_quartely_pmi_long!D49</f>
        <v>53.737225959911051</v>
      </c>
      <c r="C49" s="2">
        <v>123456789</v>
      </c>
      <c r="D49" s="2">
        <v>123456789</v>
      </c>
    </row>
    <row r="50" spans="1:4" x14ac:dyDescent="0.45">
      <c r="A50" t="s">
        <v>183</v>
      </c>
      <c r="B50" s="21">
        <f>spliced_quartely_pmi_long!D50</f>
        <v>53.994289124398172</v>
      </c>
      <c r="C50" s="2">
        <v>123456789</v>
      </c>
      <c r="D50" s="2">
        <v>123456789</v>
      </c>
    </row>
    <row r="51" spans="1:4" x14ac:dyDescent="0.45">
      <c r="A51" t="s">
        <v>184</v>
      </c>
      <c r="B51" s="21">
        <f>spliced_quartely_pmi_long!D51</f>
        <v>54.734709091458967</v>
      </c>
      <c r="C51" s="2">
        <v>123456789</v>
      </c>
      <c r="D51" s="2">
        <v>123456789</v>
      </c>
    </row>
    <row r="52" spans="1:4" x14ac:dyDescent="0.45">
      <c r="A52" t="s">
        <v>185</v>
      </c>
      <c r="B52" s="21">
        <f>spliced_quartely_pmi_long!D52</f>
        <v>53.750397204499656</v>
      </c>
      <c r="C52" s="2">
        <v>123456789</v>
      </c>
      <c r="D52" s="2">
        <v>123456789</v>
      </c>
    </row>
    <row r="53" spans="1:4" x14ac:dyDescent="0.45">
      <c r="A53" t="s">
        <v>186</v>
      </c>
      <c r="B53" s="21">
        <f>spliced_quartely_pmi_long!D53</f>
        <v>54.323630441470911</v>
      </c>
      <c r="C53" s="2">
        <v>123456789</v>
      </c>
      <c r="D53" s="2">
        <v>123456789</v>
      </c>
    </row>
    <row r="54" spans="1:4" x14ac:dyDescent="0.45">
      <c r="A54" t="s">
        <v>187</v>
      </c>
      <c r="B54" s="21">
        <f>spliced_quartely_pmi_long!D54</f>
        <v>56.18666388205515</v>
      </c>
      <c r="C54" s="2">
        <v>123456789</v>
      </c>
      <c r="D54" s="2">
        <v>123456789</v>
      </c>
    </row>
    <row r="55" spans="1:4" x14ac:dyDescent="0.45">
      <c r="A55" t="s">
        <v>188</v>
      </c>
      <c r="B55" s="21">
        <f>spliced_quartely_pmi_long!D55</f>
        <v>55.833904433924225</v>
      </c>
      <c r="C55" s="2">
        <v>123456789</v>
      </c>
      <c r="D55" s="2">
        <v>123456789</v>
      </c>
    </row>
    <row r="56" spans="1:4" x14ac:dyDescent="0.45">
      <c r="A56" t="s">
        <v>189</v>
      </c>
      <c r="B56" s="21">
        <f>spliced_quartely_pmi_long!D56</f>
        <v>56.810225910115719</v>
      </c>
      <c r="C56" s="2">
        <v>123456789</v>
      </c>
      <c r="D56" s="2">
        <v>123456789</v>
      </c>
    </row>
    <row r="57" spans="1:4" x14ac:dyDescent="0.45">
      <c r="A57" t="s">
        <v>190</v>
      </c>
      <c r="B57" s="21">
        <f>spliced_quartely_pmi_long!D57</f>
        <v>56.880579692454688</v>
      </c>
      <c r="C57" s="2">
        <v>123456789</v>
      </c>
      <c r="D57" s="2">
        <v>123456789</v>
      </c>
    </row>
    <row r="58" spans="1:4" x14ac:dyDescent="0.45">
      <c r="A58" t="s">
        <v>191</v>
      </c>
      <c r="B58" s="21">
        <f>spliced_quartely_pmi_long!D58</f>
        <v>55.735827163452583</v>
      </c>
      <c r="C58" s="2">
        <v>123456789</v>
      </c>
      <c r="D58" s="2">
        <v>123456789</v>
      </c>
    </row>
    <row r="59" spans="1:4" x14ac:dyDescent="0.45">
      <c r="A59" t="s">
        <v>192</v>
      </c>
      <c r="B59" s="21">
        <f>spliced_quartely_pmi_long!D59</f>
        <v>53.968024605602238</v>
      </c>
      <c r="C59" s="2">
        <v>123456789</v>
      </c>
      <c r="D59" s="2">
        <v>123456789</v>
      </c>
    </row>
    <row r="60" spans="1:4" x14ac:dyDescent="0.45">
      <c r="A60" t="s">
        <v>193</v>
      </c>
      <c r="B60" s="21">
        <f>spliced_quartely_pmi_long!D60</f>
        <v>53.529233964678433</v>
      </c>
      <c r="C60" s="2">
        <v>123456789</v>
      </c>
      <c r="D60" s="2">
        <v>123456789</v>
      </c>
    </row>
    <row r="61" spans="1:4" x14ac:dyDescent="0.45">
      <c r="A61" t="s">
        <v>194</v>
      </c>
      <c r="B61" s="21">
        <f>spliced_quartely_pmi_long!D61</f>
        <v>54.626852495776525</v>
      </c>
      <c r="C61" s="2">
        <v>123456789</v>
      </c>
      <c r="D61" s="2">
        <v>123456789</v>
      </c>
    </row>
    <row r="62" spans="1:4" x14ac:dyDescent="0.45">
      <c r="A62" t="s">
        <v>195</v>
      </c>
      <c r="B62" s="21">
        <f>spliced_quartely_pmi_long!D62</f>
        <v>54.756101181575005</v>
      </c>
      <c r="C62" s="2">
        <v>123456789</v>
      </c>
      <c r="D62" s="2">
        <v>123456789</v>
      </c>
    </row>
    <row r="63" spans="1:4" x14ac:dyDescent="0.45">
      <c r="A63" t="s">
        <v>196</v>
      </c>
      <c r="B63" s="21">
        <f>spliced_quartely_pmi_long!D63</f>
        <v>57.995847015058047</v>
      </c>
      <c r="C63" s="2">
        <v>123456789</v>
      </c>
      <c r="D63" s="2">
        <v>123456789</v>
      </c>
    </row>
    <row r="64" spans="1:4" x14ac:dyDescent="0.45">
      <c r="A64" t="s">
        <v>197</v>
      </c>
      <c r="B64" s="21">
        <f>spliced_quartely_pmi_long!D64</f>
        <v>57.215534874293624</v>
      </c>
      <c r="C64" s="2">
        <v>123456789</v>
      </c>
      <c r="D64" s="2">
        <v>123456789</v>
      </c>
    </row>
    <row r="65" spans="1:4" x14ac:dyDescent="0.45">
      <c r="A65" t="s">
        <v>198</v>
      </c>
      <c r="B65" s="21">
        <f>spliced_quartely_pmi_long!D65</f>
        <v>55.405124609132692</v>
      </c>
      <c r="C65" s="2">
        <v>123456789</v>
      </c>
      <c r="D65" s="2">
        <v>123456789</v>
      </c>
    </row>
    <row r="66" spans="1:4" x14ac:dyDescent="0.45">
      <c r="A66" t="s">
        <v>199</v>
      </c>
      <c r="B66" s="21">
        <f>spliced_quartely_pmi_long!D66</f>
        <v>55.472816676776432</v>
      </c>
      <c r="C66" s="2">
        <v>123456789</v>
      </c>
      <c r="D66" s="2">
        <v>123456789</v>
      </c>
    </row>
    <row r="67" spans="1:4" x14ac:dyDescent="0.45">
      <c r="A67" t="s">
        <v>200</v>
      </c>
      <c r="B67" s="21">
        <f>spliced_quartely_pmi_long!D67</f>
        <v>54.206683018554571</v>
      </c>
      <c r="C67" s="2">
        <v>123456789</v>
      </c>
      <c r="D67" s="2">
        <v>123456789</v>
      </c>
    </row>
    <row r="68" spans="1:4" x14ac:dyDescent="0.45">
      <c r="A68" t="s">
        <v>201</v>
      </c>
      <c r="B68" s="21">
        <f>spliced_quartely_pmi_long!D68</f>
        <v>54.888765830661264</v>
      </c>
      <c r="C68" s="2">
        <v>123456789</v>
      </c>
      <c r="D68" s="2">
        <v>123456789</v>
      </c>
    </row>
    <row r="69" spans="1:4" x14ac:dyDescent="0.45">
      <c r="A69" t="s">
        <v>202</v>
      </c>
      <c r="B69" s="21">
        <f>spliced_quartely_pmi_long!D69</f>
        <v>56.82097910576298</v>
      </c>
      <c r="C69" s="2">
        <v>123456789</v>
      </c>
      <c r="D69" s="2">
        <v>123456789</v>
      </c>
    </row>
    <row r="70" spans="1:4" x14ac:dyDescent="0.45">
      <c r="A70" t="s">
        <v>203</v>
      </c>
      <c r="B70" s="21">
        <f>spliced_quartely_pmi_long!D70</f>
        <v>56.473861398503104</v>
      </c>
      <c r="C70" s="2">
        <v>123456789</v>
      </c>
      <c r="D70" s="2">
        <v>123456789</v>
      </c>
    </row>
    <row r="71" spans="1:4" x14ac:dyDescent="0.45">
      <c r="A71" t="s">
        <v>204</v>
      </c>
      <c r="B71" s="21">
        <f>spliced_quartely_pmi_long!D71</f>
        <v>57.085833760562572</v>
      </c>
      <c r="C71" s="2">
        <v>123456789</v>
      </c>
      <c r="D71" s="2">
        <v>123456789</v>
      </c>
    </row>
    <row r="72" spans="1:4" x14ac:dyDescent="0.45">
      <c r="A72" t="s">
        <v>205</v>
      </c>
      <c r="B72" s="21">
        <f>spliced_quartely_pmi_long!D72</f>
        <v>58.987348901549282</v>
      </c>
      <c r="C72" s="2">
        <v>123456789</v>
      </c>
      <c r="D72" s="2">
        <v>123456789</v>
      </c>
    </row>
    <row r="73" spans="1:4" x14ac:dyDescent="0.45">
      <c r="A73" t="s">
        <v>206</v>
      </c>
      <c r="B73" s="21">
        <f>spliced_quartely_pmi_long!D73</f>
        <v>58.183840929174949</v>
      </c>
      <c r="C73" s="2">
        <v>123456789</v>
      </c>
      <c r="D73" s="2">
        <v>123456789</v>
      </c>
    </row>
    <row r="74" spans="1:4" x14ac:dyDescent="0.45">
      <c r="A74" t="s">
        <v>207</v>
      </c>
      <c r="B74" s="21">
        <f>spliced_quartely_pmi_long!D74</f>
        <v>59.136759872166579</v>
      </c>
      <c r="C74" s="2">
        <v>123456789</v>
      </c>
      <c r="D74" s="2">
        <v>123456789</v>
      </c>
    </row>
    <row r="75" spans="1:4" x14ac:dyDescent="0.45">
      <c r="A75" t="s">
        <v>208</v>
      </c>
      <c r="B75" s="21">
        <f>spliced_quartely_pmi_long!D75</f>
        <v>58.155262003720303</v>
      </c>
      <c r="C75" s="2">
        <v>123456789</v>
      </c>
      <c r="D75" s="2">
        <v>123456789</v>
      </c>
    </row>
    <row r="76" spans="1:4" x14ac:dyDescent="0.45">
      <c r="A76" t="s">
        <v>209</v>
      </c>
      <c r="B76" s="21">
        <f>spliced_quartely_pmi_long!D76</f>
        <v>56.888319906048402</v>
      </c>
      <c r="C76" s="2">
        <v>123456789</v>
      </c>
      <c r="D76" s="2">
        <v>123456789</v>
      </c>
    </row>
    <row r="77" spans="1:4" x14ac:dyDescent="0.45">
      <c r="A77" t="s">
        <v>210</v>
      </c>
      <c r="B77" s="21">
        <f>spliced_quartely_pmi_long!D77</f>
        <v>56.528802984261603</v>
      </c>
      <c r="C77" s="2">
        <v>123456789</v>
      </c>
      <c r="D77" s="2">
        <v>123456789</v>
      </c>
    </row>
    <row r="78" spans="1:4" x14ac:dyDescent="0.45">
      <c r="A78" t="s">
        <v>211</v>
      </c>
      <c r="B78" s="21">
        <f>spliced_quartely_pmi_long!D78</f>
        <v>55.35935610945787</v>
      </c>
      <c r="C78" s="2">
        <v>123456789</v>
      </c>
      <c r="D78" s="2">
        <v>123456789</v>
      </c>
    </row>
    <row r="79" spans="1:4" x14ac:dyDescent="0.45">
      <c r="A79" t="s">
        <v>212</v>
      </c>
      <c r="B79" s="21">
        <f>spliced_quartely_pmi_long!D79</f>
        <v>55.452600611701321</v>
      </c>
      <c r="C79" s="2">
        <v>123456789</v>
      </c>
      <c r="D79" s="2">
        <v>123456789</v>
      </c>
    </row>
    <row r="80" spans="1:4" x14ac:dyDescent="0.45">
      <c r="A80" t="s">
        <v>213</v>
      </c>
      <c r="B80" s="21">
        <f>spliced_quartely_pmi_long!D80</f>
        <v>54.327273214248677</v>
      </c>
      <c r="C80" s="2">
        <v>123456789</v>
      </c>
      <c r="D80" s="2">
        <v>123456789</v>
      </c>
    </row>
    <row r="81" spans="1:4" x14ac:dyDescent="0.45">
      <c r="A81" t="s">
        <v>214</v>
      </c>
      <c r="B81" s="21">
        <f>spliced_quartely_pmi_long!D81</f>
        <v>53.471437091068985</v>
      </c>
      <c r="C81" s="2">
        <v>123456789</v>
      </c>
      <c r="D81" s="2">
        <v>123456789</v>
      </c>
    </row>
    <row r="82" spans="1:4" x14ac:dyDescent="0.45">
      <c r="A82" t="s">
        <v>215</v>
      </c>
      <c r="B82" s="21">
        <f>spliced_quartely_pmi_long!D82</f>
        <v>53.489680258065711</v>
      </c>
      <c r="C82" s="2">
        <v>123456789</v>
      </c>
      <c r="D82" s="2">
        <v>123456789</v>
      </c>
    </row>
    <row r="83" spans="1:4" x14ac:dyDescent="0.45">
      <c r="A83" t="s">
        <v>216</v>
      </c>
      <c r="B83" s="21">
        <f>spliced_quartely_pmi_long!D83</f>
        <v>53.536105018559816</v>
      </c>
      <c r="C83" s="2">
        <v>123456789</v>
      </c>
      <c r="D83" s="2">
        <v>123456789</v>
      </c>
    </row>
    <row r="84" spans="1:4" x14ac:dyDescent="0.45">
      <c r="A84" t="s">
        <v>217</v>
      </c>
      <c r="B84" s="21">
        <f>spliced_quartely_pmi_long!D84</f>
        <v>52.218481362353657</v>
      </c>
      <c r="C84" s="2">
        <v>123456789</v>
      </c>
      <c r="D84" s="2">
        <v>123456789</v>
      </c>
    </row>
    <row r="85" spans="1:4" x14ac:dyDescent="0.45">
      <c r="A85" t="s">
        <v>218</v>
      </c>
      <c r="B85" s="21">
        <f>spliced_quartely_pmi_long!D85</f>
        <v>51.705706911848424</v>
      </c>
      <c r="C85" s="2">
        <v>123456789</v>
      </c>
      <c r="D85" s="2">
        <v>123456789</v>
      </c>
    </row>
    <row r="86" spans="1:4" x14ac:dyDescent="0.45">
      <c r="A86" t="s">
        <v>219</v>
      </c>
      <c r="B86" s="21">
        <f>spliced_quartely_pmi_long!D86</f>
        <v>50.650554790434903</v>
      </c>
      <c r="C86" s="2">
        <v>123456789</v>
      </c>
      <c r="D86" s="2">
        <v>123456789</v>
      </c>
    </row>
    <row r="87" spans="1:4" x14ac:dyDescent="0.45">
      <c r="A87" t="s">
        <v>220</v>
      </c>
      <c r="B87" s="21">
        <f>spliced_quartely_pmi_long!D87</f>
        <v>49.82767876775425</v>
      </c>
      <c r="C87" s="2">
        <v>123456789</v>
      </c>
      <c r="D87" s="2">
        <v>123456789</v>
      </c>
    </row>
    <row r="88" spans="1:4" x14ac:dyDescent="0.45">
      <c r="A88" t="s">
        <v>221</v>
      </c>
      <c r="B88" s="21">
        <f>spliced_quartely_pmi_long!D88</f>
        <v>50.768794832926979</v>
      </c>
      <c r="C88" s="2">
        <v>123456789</v>
      </c>
      <c r="D88" s="2">
        <v>123456789</v>
      </c>
    </row>
    <row r="89" spans="1:4" x14ac:dyDescent="0.45">
      <c r="A89" t="s">
        <v>222</v>
      </c>
      <c r="B89" s="21">
        <f>spliced_quartely_pmi_long!D89</f>
        <v>51.433647603247202</v>
      </c>
      <c r="C89" s="2">
        <v>123456789</v>
      </c>
      <c r="D89" s="2">
        <v>123456789</v>
      </c>
    </row>
    <row r="90" spans="1:4" x14ac:dyDescent="0.45">
      <c r="A90" t="s">
        <v>223</v>
      </c>
      <c r="B90" s="21">
        <f>spliced_quartely_pmi_long!D90</f>
        <v>51.939448274063537</v>
      </c>
      <c r="C90" s="2">
        <v>123456789</v>
      </c>
      <c r="D90" s="2">
        <v>123456789</v>
      </c>
    </row>
    <row r="91" spans="1:4" x14ac:dyDescent="0.45">
      <c r="A91" t="s">
        <v>224</v>
      </c>
      <c r="B91" s="21">
        <f>spliced_quartely_pmi_long!D91</f>
        <v>51.907256245355867</v>
      </c>
      <c r="C91" s="2">
        <v>123456789</v>
      </c>
      <c r="D91" s="2">
        <v>123456789</v>
      </c>
    </row>
    <row r="92" spans="1:4" x14ac:dyDescent="0.45">
      <c r="A92" t="s">
        <v>225</v>
      </c>
      <c r="B92" s="21">
        <f>spliced_quartely_pmi_long!D92</f>
        <v>52.610832112116405</v>
      </c>
      <c r="C92" s="2">
        <v>123456789</v>
      </c>
      <c r="D92" s="2">
        <v>123456789</v>
      </c>
    </row>
    <row r="93" spans="1:4" x14ac:dyDescent="0.45">
      <c r="A93" t="s">
        <v>226</v>
      </c>
      <c r="B93" s="21">
        <f>spliced_quartely_pmi_long!D93</f>
        <v>53.277134945936801</v>
      </c>
      <c r="C93" s="2">
        <v>123456789</v>
      </c>
      <c r="D93" s="2">
        <v>123456789</v>
      </c>
    </row>
    <row r="94" spans="1:4" x14ac:dyDescent="0.45">
      <c r="A94" t="s">
        <v>227</v>
      </c>
      <c r="B94" s="21">
        <f>spliced_quartely_pmi_long!D94</f>
        <v>53.827165066199768</v>
      </c>
      <c r="C94" s="2">
        <v>123456789</v>
      </c>
      <c r="D94" s="2">
        <v>123456789</v>
      </c>
    </row>
    <row r="95" spans="1:4" x14ac:dyDescent="0.45">
      <c r="A95" t="s">
        <v>228</v>
      </c>
      <c r="B95" s="21">
        <f>spliced_quartely_pmi_long!D95</f>
        <v>54.445819680769681</v>
      </c>
      <c r="C95" s="2">
        <v>123456789</v>
      </c>
      <c r="D95" s="2">
        <v>123456789</v>
      </c>
    </row>
    <row r="96" spans="1:4" x14ac:dyDescent="0.45">
      <c r="A96" t="s">
        <v>229</v>
      </c>
      <c r="B96" s="21">
        <f>spliced_quartely_pmi_long!D96</f>
        <v>54.895884807160364</v>
      </c>
      <c r="C96" s="2">
        <v>123456789</v>
      </c>
      <c r="D96" s="2">
        <v>123456789</v>
      </c>
    </row>
    <row r="97" spans="1:4" x14ac:dyDescent="0.45">
      <c r="A97" t="s">
        <v>230</v>
      </c>
      <c r="B97" s="21">
        <f>spliced_quartely_pmi_long!D97</f>
        <v>54.804508819968191</v>
      </c>
      <c r="C97" s="2">
        <v>123456789</v>
      </c>
      <c r="D97" s="2">
        <v>123456789</v>
      </c>
    </row>
    <row r="98" spans="1:4" x14ac:dyDescent="0.45">
      <c r="A98" t="s">
        <v>231</v>
      </c>
      <c r="B98" s="21">
        <f>spliced_quartely_pmi_long!D98</f>
        <v>55.308105994890582</v>
      </c>
      <c r="C98" s="2">
        <v>123456789</v>
      </c>
      <c r="D98" s="2">
        <v>123456789</v>
      </c>
    </row>
    <row r="99" spans="1:4" x14ac:dyDescent="0.45">
      <c r="A99" t="s">
        <v>232</v>
      </c>
      <c r="B99" s="21">
        <f>spliced_quartely_pmi_long!D99</f>
        <v>55.795133517413731</v>
      </c>
      <c r="C99" s="2">
        <v>123456789</v>
      </c>
      <c r="D99" s="2">
        <v>123456789</v>
      </c>
    </row>
    <row r="100" spans="1:4" x14ac:dyDescent="0.45">
      <c r="A100" t="s">
        <v>233</v>
      </c>
      <c r="B100" s="21">
        <f>spliced_quartely_pmi_long!D100</f>
        <v>55.893549001568871</v>
      </c>
      <c r="C100" s="2">
        <v>123456789</v>
      </c>
      <c r="D100" s="2">
        <v>123456789</v>
      </c>
    </row>
    <row r="101" spans="1:4" x14ac:dyDescent="0.45">
      <c r="A101" t="s">
        <v>234</v>
      </c>
      <c r="B101" s="21">
        <f>spliced_quartely_pmi_long!D101</f>
        <v>55.632496112500981</v>
      </c>
      <c r="C101" s="2">
        <v>123456789</v>
      </c>
      <c r="D101" s="2">
        <v>123456789</v>
      </c>
    </row>
    <row r="102" spans="1:4" x14ac:dyDescent="0.45">
      <c r="A102" t="s">
        <v>235</v>
      </c>
      <c r="B102" s="21">
        <f>spliced_quartely_pmi_long!D102</f>
        <v>55.139480897418743</v>
      </c>
      <c r="C102" s="2">
        <v>123456789</v>
      </c>
      <c r="D102" s="2">
        <v>123456789</v>
      </c>
    </row>
    <row r="103" spans="1:4" x14ac:dyDescent="0.45">
      <c r="A103" t="s">
        <v>236</v>
      </c>
      <c r="B103" s="21">
        <f>spliced_quartely_pmi_long!D103</f>
        <v>54.417618412580637</v>
      </c>
      <c r="C103" s="2">
        <v>123456789</v>
      </c>
      <c r="D103" s="2">
        <v>123456789</v>
      </c>
    </row>
    <row r="104" spans="1:4" x14ac:dyDescent="0.45">
      <c r="A104" t="s">
        <v>237</v>
      </c>
      <c r="B104" s="21">
        <f>spliced_quartely_pmi_long!D104</f>
        <v>54.538224282272772</v>
      </c>
      <c r="C104" s="2">
        <v>123456789</v>
      </c>
      <c r="D104" s="2">
        <v>123456789</v>
      </c>
    </row>
    <row r="105" spans="1:4" x14ac:dyDescent="0.45">
      <c r="A105" t="s">
        <v>238</v>
      </c>
      <c r="B105" s="21">
        <f>spliced_quartely_pmi_long!D105</f>
        <v>54.432156808915977</v>
      </c>
      <c r="C105" s="2">
        <v>123456789</v>
      </c>
      <c r="D105" s="2">
        <v>123456789</v>
      </c>
    </row>
    <row r="106" spans="1:4" x14ac:dyDescent="0.45">
      <c r="A106" t="s">
        <v>239</v>
      </c>
      <c r="B106" s="21">
        <f>spliced_quartely_pmi_long!D106</f>
        <v>54.617973032037156</v>
      </c>
      <c r="C106" s="2">
        <v>123456789</v>
      </c>
      <c r="D106" s="2">
        <v>123456789</v>
      </c>
    </row>
    <row r="107" spans="1:4" x14ac:dyDescent="0.45">
      <c r="A107" t="s">
        <v>240</v>
      </c>
      <c r="B107" s="21">
        <f>spliced_quartely_pmi_long!D107</f>
        <v>54.722446699453812</v>
      </c>
      <c r="C107" s="2">
        <v>123456789</v>
      </c>
      <c r="D107" s="2">
        <v>123456789</v>
      </c>
    </row>
    <row r="108" spans="1:4" x14ac:dyDescent="0.45">
      <c r="A108" t="s">
        <v>241</v>
      </c>
      <c r="B108" s="21">
        <f>spliced_quartely_pmi_long!D108</f>
        <v>54.483458937172301</v>
      </c>
      <c r="C108" s="2">
        <v>123456789</v>
      </c>
      <c r="D108" s="2">
        <v>123456789</v>
      </c>
    </row>
    <row r="109" spans="1:4" x14ac:dyDescent="0.45">
      <c r="A109" t="s">
        <v>242</v>
      </c>
      <c r="B109" s="21">
        <f>spliced_quartely_pmi_long!D109</f>
        <v>55.539832867881984</v>
      </c>
      <c r="C109" s="2">
        <v>123456789</v>
      </c>
      <c r="D109" s="2">
        <v>123456789</v>
      </c>
    </row>
    <row r="110" spans="1:4" x14ac:dyDescent="0.45">
      <c r="A110" t="s">
        <v>243</v>
      </c>
      <c r="B110" s="21">
        <f>spliced_quartely_pmi_long!D110</f>
        <v>56.466700939914126</v>
      </c>
      <c r="C110" s="2">
        <v>123456789</v>
      </c>
      <c r="D110" s="2">
        <v>123456789</v>
      </c>
    </row>
    <row r="111" spans="1:4" x14ac:dyDescent="0.45">
      <c r="A111" t="s">
        <v>244</v>
      </c>
      <c r="B111" s="21">
        <f>spliced_quartely_pmi_long!D111</f>
        <v>57.293416565576976</v>
      </c>
      <c r="C111" s="2">
        <v>123456789</v>
      </c>
      <c r="D111" s="2">
        <v>123456789</v>
      </c>
    </row>
    <row r="112" spans="1:4" x14ac:dyDescent="0.45">
      <c r="A112" t="s">
        <v>245</v>
      </c>
      <c r="B112" s="21">
        <f>spliced_quartely_pmi_long!D112</f>
        <v>57.298290837997328</v>
      </c>
      <c r="C112" s="2">
        <v>123456789</v>
      </c>
      <c r="D112" s="2">
        <v>123456789</v>
      </c>
    </row>
    <row r="113" spans="1:4" x14ac:dyDescent="0.45">
      <c r="A113" t="s">
        <v>246</v>
      </c>
      <c r="B113" s="21">
        <f>spliced_quartely_pmi_long!D113</f>
        <v>57.424286881157769</v>
      </c>
      <c r="C113" s="2">
        <v>123456789</v>
      </c>
      <c r="D113" s="2">
        <v>123456789</v>
      </c>
    </row>
    <row r="114" spans="1:4" x14ac:dyDescent="0.45">
      <c r="A114" t="s">
        <v>247</v>
      </c>
      <c r="B114" s="21">
        <f>spliced_quartely_pmi_long!D114</f>
        <v>57.145919999999997</v>
      </c>
      <c r="C114" s="2">
        <v>123456789</v>
      </c>
      <c r="D114" s="2">
        <v>123456789</v>
      </c>
    </row>
    <row r="115" spans="1:4" x14ac:dyDescent="0.45">
      <c r="A115" t="s">
        <v>248</v>
      </c>
      <c r="B115" s="21">
        <f>spliced_quartely_pmi_long!D115</f>
        <v>54.244869999999999</v>
      </c>
      <c r="C115" s="2">
        <v>123456789</v>
      </c>
      <c r="D115" s="2">
        <v>123456789</v>
      </c>
    </row>
    <row r="116" spans="1:4" x14ac:dyDescent="0.45">
      <c r="A116" t="s">
        <v>249</v>
      </c>
      <c r="B116" s="21">
        <f>spliced_quartely_pmi_long!D116</f>
        <v>50.972499999999997</v>
      </c>
      <c r="C116" s="2">
        <v>123456789</v>
      </c>
      <c r="D116" s="2">
        <v>123456789</v>
      </c>
    </row>
    <row r="117" spans="1:4" x14ac:dyDescent="0.45">
      <c r="A117" t="s">
        <v>250</v>
      </c>
      <c r="B117" s="21">
        <f>spliced_quartely_pmi_long!D117</f>
        <v>46.597670000000001</v>
      </c>
      <c r="C117" s="2">
        <v>123456789</v>
      </c>
      <c r="D117" s="2">
        <v>123456789</v>
      </c>
    </row>
    <row r="118" spans="1:4" x14ac:dyDescent="0.45">
      <c r="A118" t="s">
        <v>251</v>
      </c>
      <c r="B118" s="21">
        <f>spliced_quartely_pmi_long!D118</f>
        <v>49.254219999999997</v>
      </c>
      <c r="C118" s="2">
        <v>123456789</v>
      </c>
      <c r="D118" s="2">
        <v>123456789</v>
      </c>
    </row>
    <row r="119" spans="1:4" x14ac:dyDescent="0.45">
      <c r="A119" t="s">
        <v>252</v>
      </c>
      <c r="B119" s="21">
        <f>spliced_quartely_pmi_long!D119</f>
        <v>55.406959999999998</v>
      </c>
      <c r="C119" s="2">
        <v>123456789</v>
      </c>
      <c r="D119" s="2">
        <v>123456789</v>
      </c>
    </row>
    <row r="120" spans="1:4" x14ac:dyDescent="0.45">
      <c r="A120" t="s">
        <v>253</v>
      </c>
      <c r="B120" s="21">
        <f>spliced_quartely_pmi_long!D120</f>
        <v>57.31541</v>
      </c>
      <c r="C120" s="2">
        <v>123456789</v>
      </c>
      <c r="D120" s="2">
        <v>123456789</v>
      </c>
    </row>
    <row r="121" spans="1:4" x14ac:dyDescent="0.45">
      <c r="A121" t="s">
        <v>254</v>
      </c>
      <c r="B121" s="21">
        <f>spliced_quartely_pmi_long!D121</f>
        <v>57.776040000000002</v>
      </c>
      <c r="C121" s="2">
        <v>123456789</v>
      </c>
      <c r="D121" s="2">
        <v>123456789</v>
      </c>
    </row>
    <row r="122" spans="1:4" x14ac:dyDescent="0.45">
      <c r="A122" t="s">
        <v>255</v>
      </c>
      <c r="B122" s="21">
        <f>spliced_quartely_pmi_long!D122</f>
        <v>56.123939999999997</v>
      </c>
      <c r="C122" s="2">
        <v>123456789</v>
      </c>
      <c r="D122" s="2">
        <v>123456789</v>
      </c>
    </row>
    <row r="123" spans="1:4" x14ac:dyDescent="0.45">
      <c r="A123" t="s">
        <v>256</v>
      </c>
      <c r="B123" s="21">
        <f>spliced_quartely_pmi_long!D123</f>
        <v>56.128979999999999</v>
      </c>
      <c r="C123" s="2">
        <v>123456789</v>
      </c>
      <c r="D123" s="2">
        <v>123456789</v>
      </c>
    </row>
    <row r="124" spans="1:4" x14ac:dyDescent="0.45">
      <c r="A124" t="s">
        <v>257</v>
      </c>
      <c r="B124" s="21">
        <f>spliced_quartely_pmi_long!D124</f>
        <v>55.21443</v>
      </c>
      <c r="C124" s="2">
        <v>123456789</v>
      </c>
      <c r="D124" s="2">
        <v>123456789</v>
      </c>
    </row>
    <row r="125" spans="1:4" x14ac:dyDescent="0.45">
      <c r="A125" t="s">
        <v>258</v>
      </c>
      <c r="B125" s="21">
        <f>spliced_quartely_pmi_long!D125</f>
        <v>55.37032</v>
      </c>
      <c r="C125" s="2">
        <v>123456789</v>
      </c>
      <c r="D125" s="2">
        <v>123456789</v>
      </c>
    </row>
    <row r="126" spans="1:4" x14ac:dyDescent="0.45">
      <c r="A126" t="s">
        <v>259</v>
      </c>
      <c r="B126" s="21">
        <f>spliced_quartely_pmi_long!D126</f>
        <v>55.020870000000002</v>
      </c>
      <c r="C126" s="2">
        <v>123456789</v>
      </c>
      <c r="D126" s="2">
        <v>123456789</v>
      </c>
    </row>
    <row r="127" spans="1:4" x14ac:dyDescent="0.45">
      <c r="A127" t="s">
        <v>260</v>
      </c>
      <c r="B127" s="21">
        <f>spliced_quartely_pmi_long!D127</f>
        <v>50.288559999999997</v>
      </c>
      <c r="C127" s="2">
        <v>123456789</v>
      </c>
      <c r="D127" s="2">
        <v>123456789</v>
      </c>
    </row>
    <row r="128" spans="1:4" x14ac:dyDescent="0.45">
      <c r="A128" t="s">
        <v>261</v>
      </c>
      <c r="B128" s="21">
        <f>spliced_quartely_pmi_long!D128</f>
        <v>48.974769999999999</v>
      </c>
      <c r="C128" s="2">
        <v>123456789</v>
      </c>
      <c r="D128" s="2">
        <v>123456789</v>
      </c>
    </row>
    <row r="129" spans="1:4" x14ac:dyDescent="0.45">
      <c r="A129" t="s">
        <v>262</v>
      </c>
      <c r="B129" s="21">
        <f>spliced_quartely_pmi_long!D129</f>
        <v>47.369590000000002</v>
      </c>
      <c r="C129" s="2">
        <v>123456789</v>
      </c>
      <c r="D129" s="2">
        <v>123456789</v>
      </c>
    </row>
    <row r="130" spans="1:4" x14ac:dyDescent="0.45">
      <c r="A130" t="s">
        <v>263</v>
      </c>
      <c r="B130" s="21">
        <f>spliced_quartely_pmi_long!D130</f>
        <v>52.401200000000003</v>
      </c>
      <c r="C130" s="2">
        <v>123456789</v>
      </c>
      <c r="D130" s="2">
        <v>123456789</v>
      </c>
    </row>
    <row r="131" spans="1:4" x14ac:dyDescent="0.45">
      <c r="A131" t="s">
        <v>264</v>
      </c>
      <c r="B131" s="21">
        <f>spliced_quartely_pmi_long!D131</f>
        <v>55.513500000000001</v>
      </c>
      <c r="C131" s="2">
        <v>123456789</v>
      </c>
      <c r="D131" s="2">
        <v>123456789</v>
      </c>
    </row>
    <row r="132" spans="1:4" x14ac:dyDescent="0.45">
      <c r="A132" t="s">
        <v>265</v>
      </c>
      <c r="B132" s="21">
        <f>spliced_quartely_pmi_long!D132</f>
        <v>54.358469999999997</v>
      </c>
      <c r="C132" s="2">
        <v>123456789</v>
      </c>
      <c r="D132" s="2">
        <v>123456789</v>
      </c>
    </row>
    <row r="133" spans="1:4" x14ac:dyDescent="0.45">
      <c r="A133" t="s">
        <v>266</v>
      </c>
      <c r="B133" s="21">
        <f>spliced_quartely_pmi_long!D133</f>
        <v>53.379570000000001</v>
      </c>
      <c r="C133" s="2">
        <v>123456789</v>
      </c>
      <c r="D133" s="2">
        <v>123456789</v>
      </c>
    </row>
    <row r="134" spans="1:4" x14ac:dyDescent="0.45">
      <c r="A134" t="s">
        <v>267</v>
      </c>
      <c r="B134" s="21">
        <f>spliced_quartely_pmi_long!D134</f>
        <v>50.119059999999998</v>
      </c>
      <c r="C134" s="2">
        <v>123456789</v>
      </c>
      <c r="D134" s="2">
        <v>123456789</v>
      </c>
    </row>
    <row r="135" spans="1:4" x14ac:dyDescent="0.45">
      <c r="A135" t="s">
        <v>268</v>
      </c>
      <c r="B135" s="21">
        <f>spliced_quartely_pmi_long!D135</f>
        <v>51.803159999999998</v>
      </c>
      <c r="C135" s="2">
        <v>123456789</v>
      </c>
      <c r="D135" s="2">
        <v>123456789</v>
      </c>
    </row>
    <row r="136" spans="1:4" x14ac:dyDescent="0.45">
      <c r="A136" t="s">
        <v>269</v>
      </c>
      <c r="B136" s="21">
        <f>spliced_quartely_pmi_long!D136</f>
        <v>56.809489999999997</v>
      </c>
      <c r="C136" s="2">
        <v>123456789</v>
      </c>
      <c r="D136" s="2">
        <v>123456789</v>
      </c>
    </row>
    <row r="137" spans="1:4" x14ac:dyDescent="0.45">
      <c r="A137" t="s">
        <v>270</v>
      </c>
      <c r="B137" s="21">
        <f>spliced_quartely_pmi_long!D137</f>
        <v>58.765880000000003</v>
      </c>
      <c r="C137" s="2">
        <v>123456789</v>
      </c>
      <c r="D137" s="2">
        <v>123456789</v>
      </c>
    </row>
    <row r="138" spans="1:4" x14ac:dyDescent="0.45">
      <c r="A138" t="s">
        <v>271</v>
      </c>
      <c r="B138" s="21">
        <f>spliced_quartely_pmi_long!D138</f>
        <v>58.64893</v>
      </c>
      <c r="C138" s="2">
        <v>123456789</v>
      </c>
      <c r="D138" s="2">
        <v>123456789</v>
      </c>
    </row>
    <row r="139" spans="1:4" x14ac:dyDescent="0.45">
      <c r="A139" t="s">
        <v>272</v>
      </c>
      <c r="B139" s="21">
        <f>spliced_quartely_pmi_long!D139</f>
        <v>57.459249999999997</v>
      </c>
      <c r="C139" s="2">
        <v>123456789</v>
      </c>
      <c r="D139" s="2">
        <v>123456789</v>
      </c>
    </row>
    <row r="140" spans="1:4" x14ac:dyDescent="0.45">
      <c r="A140" t="s">
        <v>273</v>
      </c>
      <c r="B140" s="21">
        <f>spliced_quartely_pmi_long!D140</f>
        <v>55.736789999999999</v>
      </c>
      <c r="C140" s="2">
        <v>123456789</v>
      </c>
      <c r="D140" s="2">
        <v>123456789</v>
      </c>
    </row>
    <row r="141" spans="1:4" x14ac:dyDescent="0.45">
      <c r="A141" t="s">
        <v>274</v>
      </c>
      <c r="B141" s="21">
        <f>spliced_quartely_pmi_long!D141</f>
        <v>55.749870000000001</v>
      </c>
      <c r="C141" s="2">
        <v>123456789</v>
      </c>
      <c r="D141" s="2">
        <v>123456789</v>
      </c>
    </row>
    <row r="142" spans="1:4" x14ac:dyDescent="0.45">
      <c r="A142" t="s">
        <v>275</v>
      </c>
      <c r="B142" s="21">
        <f>spliced_quartely_pmi_long!D142</f>
        <v>55.284059999999997</v>
      </c>
      <c r="C142" s="2">
        <v>123456789</v>
      </c>
      <c r="D142" s="2">
        <v>123456789</v>
      </c>
    </row>
    <row r="143" spans="1:4" x14ac:dyDescent="0.45">
      <c r="A143" t="s">
        <v>276</v>
      </c>
      <c r="B143" s="21">
        <f>spliced_quartely_pmi_long!D143</f>
        <v>53.97589</v>
      </c>
      <c r="C143" s="2">
        <v>123456789</v>
      </c>
      <c r="D143" s="2">
        <v>123456789</v>
      </c>
    </row>
    <row r="144" spans="1:4" x14ac:dyDescent="0.45">
      <c r="A144" t="s">
        <v>277</v>
      </c>
      <c r="B144" s="21">
        <f>spliced_quartely_pmi_long!D144</f>
        <v>54.553190000000001</v>
      </c>
      <c r="C144" s="2">
        <v>123456789</v>
      </c>
      <c r="D144" s="2">
        <v>123456789</v>
      </c>
    </row>
    <row r="145" spans="1:4" x14ac:dyDescent="0.45">
      <c r="A145" t="s">
        <v>278</v>
      </c>
      <c r="B145" s="21">
        <f>spliced_quartely_pmi_long!D145</f>
        <v>55.930140000000002</v>
      </c>
      <c r="C145" s="2">
        <v>123456789</v>
      </c>
      <c r="D145" s="2">
        <v>123456789</v>
      </c>
    </row>
    <row r="146" spans="1:4" x14ac:dyDescent="0.45">
      <c r="A146" t="s">
        <v>279</v>
      </c>
      <c r="B146" s="21">
        <f>spliced_quartely_pmi_long!D146</f>
        <v>56.782260000000001</v>
      </c>
      <c r="C146" s="2">
        <v>123456789</v>
      </c>
      <c r="D146" s="2">
        <v>123456789</v>
      </c>
    </row>
    <row r="147" spans="1:4" x14ac:dyDescent="0.45">
      <c r="A147" t="s">
        <v>280</v>
      </c>
      <c r="B147" s="21">
        <f>spliced_quartely_pmi_long!D147</f>
        <v>58.460749999999997</v>
      </c>
      <c r="C147" s="2">
        <v>123456789</v>
      </c>
      <c r="D147" s="2">
        <v>123456789</v>
      </c>
    </row>
    <row r="148" spans="1:4" x14ac:dyDescent="0.45">
      <c r="A148" t="s">
        <v>281</v>
      </c>
      <c r="B148" s="21">
        <f>spliced_quartely_pmi_long!D148</f>
        <v>56.56165</v>
      </c>
      <c r="C148" s="2">
        <v>123456789</v>
      </c>
      <c r="D148" s="2">
        <v>123456789</v>
      </c>
    </row>
    <row r="149" spans="1:4" x14ac:dyDescent="0.45">
      <c r="A149" t="s">
        <v>282</v>
      </c>
      <c r="B149" s="21">
        <f>spliced_quartely_pmi_long!D149</f>
        <v>58.292310000000001</v>
      </c>
      <c r="C149" s="2">
        <v>123456789</v>
      </c>
      <c r="D149" s="2">
        <v>123456789</v>
      </c>
    </row>
    <row r="150" spans="1:4" x14ac:dyDescent="0.45">
      <c r="A150" t="s">
        <v>283</v>
      </c>
      <c r="B150" s="21">
        <f>spliced_quartely_pmi_long!D150</f>
        <v>57.595030000000001</v>
      </c>
      <c r="C150" s="2">
        <v>123456789</v>
      </c>
      <c r="D150" s="2">
        <v>123456789</v>
      </c>
    </row>
    <row r="151" spans="1:4" x14ac:dyDescent="0.45">
      <c r="A151" t="s">
        <v>284</v>
      </c>
      <c r="B151" s="21">
        <f>spliced_quartely_pmi_long!D151</f>
        <v>57.215159999999997</v>
      </c>
      <c r="C151" s="2">
        <v>123456789</v>
      </c>
      <c r="D151" s="2">
        <v>123456789</v>
      </c>
    </row>
    <row r="152" spans="1:4" x14ac:dyDescent="0.45">
      <c r="A152" t="s">
        <v>285</v>
      </c>
      <c r="B152" s="21">
        <f>spliced_quartely_pmi_long!D152</f>
        <v>57.23404</v>
      </c>
      <c r="C152" s="2">
        <v>123456789</v>
      </c>
      <c r="D152" s="2">
        <v>123456789</v>
      </c>
    </row>
    <row r="153" spans="1:4" x14ac:dyDescent="0.45">
      <c r="A153" t="s">
        <v>286</v>
      </c>
      <c r="B153" s="21">
        <f>spliced_quartely_pmi_long!D153</f>
        <v>53.491050000000001</v>
      </c>
      <c r="C153" s="2">
        <v>123456789</v>
      </c>
      <c r="D153" s="2">
        <v>123456789</v>
      </c>
    </row>
    <row r="154" spans="1:4" x14ac:dyDescent="0.45">
      <c r="A154" t="s">
        <v>287</v>
      </c>
      <c r="B154" s="21">
        <f>spliced_quartely_pmi_long!D154</f>
        <v>52.954219999999999</v>
      </c>
      <c r="C154" s="2">
        <v>123456789</v>
      </c>
      <c r="D154" s="2">
        <v>123456789</v>
      </c>
    </row>
    <row r="155" spans="1:4" x14ac:dyDescent="0.45">
      <c r="A155" t="s">
        <v>288</v>
      </c>
      <c r="B155" s="21">
        <f>spliced_quartely_pmi_long!D155</f>
        <v>48.573279999999997</v>
      </c>
      <c r="C155" s="2">
        <v>123456789</v>
      </c>
      <c r="D155" s="2">
        <v>123456789</v>
      </c>
    </row>
    <row r="156" spans="1:4" x14ac:dyDescent="0.45">
      <c r="A156" t="s">
        <v>289</v>
      </c>
      <c r="B156" s="21">
        <f>spliced_quartely_pmi_long!D156</f>
        <v>46.54495</v>
      </c>
      <c r="C156" s="2">
        <v>123456789</v>
      </c>
      <c r="D156" s="2">
        <v>123456789</v>
      </c>
    </row>
    <row r="157" spans="1:4" x14ac:dyDescent="0.45">
      <c r="A157" t="s">
        <v>290</v>
      </c>
      <c r="B157" s="21">
        <f>spliced_quartely_pmi_long!D157</f>
        <v>39.703960000000002</v>
      </c>
      <c r="C157" s="2">
        <v>123456789</v>
      </c>
      <c r="D157" s="2">
        <v>123456789</v>
      </c>
    </row>
    <row r="158" spans="1:4" x14ac:dyDescent="0.45">
      <c r="A158" t="s">
        <v>291</v>
      </c>
      <c r="B158" s="21">
        <f>spliced_quartely_pmi_long!D158</f>
        <v>41.831670000000003</v>
      </c>
      <c r="C158" s="2">
        <v>123456789</v>
      </c>
      <c r="D158" s="2">
        <v>123456789</v>
      </c>
    </row>
    <row r="159" spans="1:4" x14ac:dyDescent="0.45">
      <c r="A159" t="s">
        <v>292</v>
      </c>
      <c r="B159" s="21">
        <f>spliced_quartely_pmi_long!D159</f>
        <v>50.09646</v>
      </c>
      <c r="C159" s="2">
        <v>123456789</v>
      </c>
      <c r="D159" s="2">
        <v>123456789</v>
      </c>
    </row>
    <row r="160" spans="1:4" x14ac:dyDescent="0.45">
      <c r="A160" t="s">
        <v>293</v>
      </c>
      <c r="B160" s="21">
        <f>spliced_quartely_pmi_long!D160</f>
        <v>54.286459999999998</v>
      </c>
      <c r="C160" s="2">
        <v>123456789</v>
      </c>
      <c r="D160" s="2">
        <v>123456789</v>
      </c>
    </row>
    <row r="161" spans="1:4" x14ac:dyDescent="0.45">
      <c r="A161" t="s">
        <v>294</v>
      </c>
      <c r="B161" s="21">
        <f>spliced_quartely_pmi_long!D161</f>
        <v>57.08099</v>
      </c>
      <c r="C161" s="2">
        <v>123456789</v>
      </c>
      <c r="D161" s="2">
        <v>123456789</v>
      </c>
    </row>
    <row r="162" spans="1:4" x14ac:dyDescent="0.45">
      <c r="A162" t="s">
        <v>295</v>
      </c>
      <c r="B162" s="21">
        <f>spliced_quartely_pmi_long!D162</f>
        <v>56.945740000000001</v>
      </c>
      <c r="C162" s="2">
        <v>123456789</v>
      </c>
      <c r="D162" s="2">
        <v>123456789</v>
      </c>
    </row>
    <row r="163" spans="1:4" x14ac:dyDescent="0.45">
      <c r="A163" t="s">
        <v>296</v>
      </c>
      <c r="B163" s="21">
        <f>spliced_quartely_pmi_long!D163</f>
        <v>56.076610000000002</v>
      </c>
      <c r="C163" s="2">
        <v>123456789</v>
      </c>
      <c r="D163" s="2">
        <v>123456789</v>
      </c>
    </row>
    <row r="164" spans="1:4" x14ac:dyDescent="0.45">
      <c r="A164" t="s">
        <v>297</v>
      </c>
      <c r="B164" s="21">
        <f>spliced_quartely_pmi_long!D164</f>
        <v>53.340200000000003</v>
      </c>
      <c r="C164" s="2">
        <v>123456789</v>
      </c>
      <c r="D164" s="2">
        <v>123456789</v>
      </c>
    </row>
    <row r="165" spans="1:4" x14ac:dyDescent="0.45">
      <c r="A165" t="s">
        <v>298</v>
      </c>
      <c r="B165" s="21">
        <f>spliced_quartely_pmi_long!D165</f>
        <v>53.498339999999999</v>
      </c>
      <c r="C165" s="2">
        <v>123456789</v>
      </c>
      <c r="D165" s="2">
        <v>123456789</v>
      </c>
    </row>
    <row r="166" spans="1:4" x14ac:dyDescent="0.45">
      <c r="A166" t="s">
        <v>299</v>
      </c>
      <c r="B166" s="21">
        <f>spliced_quartely_pmi_long!D166</f>
        <v>55.747169999999997</v>
      </c>
      <c r="C166" s="2">
        <v>123456789</v>
      </c>
      <c r="D166" s="2">
        <v>123456789</v>
      </c>
    </row>
    <row r="167" spans="1:4" x14ac:dyDescent="0.45">
      <c r="A167" t="s">
        <v>300</v>
      </c>
      <c r="B167" s="21">
        <f>spliced_quartely_pmi_long!D167</f>
        <v>53.829990000000002</v>
      </c>
      <c r="C167" s="2">
        <v>123456789</v>
      </c>
      <c r="D167" s="2">
        <v>123456789</v>
      </c>
    </row>
    <row r="168" spans="1:4" x14ac:dyDescent="0.45">
      <c r="A168" t="s">
        <v>301</v>
      </c>
      <c r="B168" s="21">
        <f>spliced_quartely_pmi_long!D168</f>
        <v>52.815040000000003</v>
      </c>
      <c r="C168" s="2">
        <v>123456789</v>
      </c>
      <c r="D168" s="2">
        <v>123456789</v>
      </c>
    </row>
    <row r="169" spans="1:4" x14ac:dyDescent="0.45">
      <c r="A169" t="s">
        <v>302</v>
      </c>
      <c r="B169" s="21">
        <f>spliced_quartely_pmi_long!D169</f>
        <v>51.693390000000001</v>
      </c>
      <c r="C169" s="2">
        <v>123456789</v>
      </c>
      <c r="D169" s="2">
        <v>123456789</v>
      </c>
    </row>
    <row r="170" spans="1:4" x14ac:dyDescent="0.45">
      <c r="A170" t="s">
        <v>303</v>
      </c>
      <c r="B170" s="21">
        <f>spliced_quartely_pmi_long!D170</f>
        <v>54.727200000000003</v>
      </c>
      <c r="C170" s="2">
        <v>123456789</v>
      </c>
      <c r="D170" s="2">
        <v>123456789</v>
      </c>
    </row>
    <row r="171" spans="1:4" x14ac:dyDescent="0.45">
      <c r="A171" t="s">
        <v>304</v>
      </c>
      <c r="B171" s="21">
        <f>spliced_quartely_pmi_long!D171</f>
        <v>52.123539999999998</v>
      </c>
      <c r="C171" s="2">
        <v>123456789</v>
      </c>
      <c r="D171" s="2">
        <v>123456789</v>
      </c>
    </row>
    <row r="172" spans="1:4" x14ac:dyDescent="0.45">
      <c r="A172" t="s">
        <v>305</v>
      </c>
      <c r="B172" s="21">
        <f>spliced_quartely_pmi_long!D172</f>
        <v>51.213940000000001</v>
      </c>
      <c r="C172" s="2">
        <v>123456789</v>
      </c>
      <c r="D172" s="2">
        <v>123456789</v>
      </c>
    </row>
    <row r="173" spans="1:4" x14ac:dyDescent="0.45">
      <c r="A173" t="s">
        <v>306</v>
      </c>
      <c r="B173" s="21">
        <f>spliced_quartely_pmi_long!D173</f>
        <v>49.858580000000003</v>
      </c>
      <c r="C173" s="2">
        <v>123456789</v>
      </c>
      <c r="D173" s="2">
        <v>123456789</v>
      </c>
    </row>
    <row r="174" spans="1:4" x14ac:dyDescent="0.45">
      <c r="A174" t="s">
        <v>307</v>
      </c>
      <c r="B174" s="21">
        <f>spliced_quartely_pmi_long!D174</f>
        <v>51.678040000000003</v>
      </c>
      <c r="C174" s="2">
        <v>123456789</v>
      </c>
      <c r="D174" s="2">
        <v>123456789</v>
      </c>
    </row>
    <row r="175" spans="1:4" x14ac:dyDescent="0.45">
      <c r="A175" t="s">
        <v>308</v>
      </c>
      <c r="B175" s="21">
        <f>spliced_quartely_pmi_long!D175</f>
        <v>54.664319999999996</v>
      </c>
      <c r="C175" s="2">
        <v>123456789</v>
      </c>
      <c r="D175" s="2">
        <v>123456789</v>
      </c>
    </row>
    <row r="176" spans="1:4" x14ac:dyDescent="0.45">
      <c r="A176" t="s">
        <v>309</v>
      </c>
      <c r="B176" s="21">
        <f>spliced_quartely_pmi_long!D176</f>
        <v>60.50338</v>
      </c>
      <c r="C176" s="2">
        <v>123456789</v>
      </c>
      <c r="D176" s="2">
        <v>123456789</v>
      </c>
    </row>
    <row r="177" spans="1:4" x14ac:dyDescent="0.45">
      <c r="A177" t="s">
        <v>310</v>
      </c>
      <c r="B177" s="21">
        <f>spliced_quartely_pmi_long!D177</f>
        <v>60.301740000000002</v>
      </c>
      <c r="C177" s="2">
        <v>123456789</v>
      </c>
      <c r="D177" s="2">
        <v>123456789</v>
      </c>
    </row>
    <row r="178" spans="1:4" x14ac:dyDescent="0.45">
      <c r="A178" t="s">
        <v>311</v>
      </c>
      <c r="B178" s="21">
        <f>spliced_quartely_pmi_long!D178</f>
        <v>57.894370000000002</v>
      </c>
      <c r="C178" s="2">
        <v>123456789</v>
      </c>
      <c r="D178" s="2">
        <v>123456789</v>
      </c>
    </row>
    <row r="179" spans="1:4" x14ac:dyDescent="0.45">
      <c r="A179" t="s">
        <v>312</v>
      </c>
      <c r="B179" s="21">
        <f>spliced_quartely_pmi_long!D179</f>
        <v>58.766849999999998</v>
      </c>
      <c r="C179" s="2">
        <v>123456789</v>
      </c>
      <c r="D179" s="2">
        <v>123456789</v>
      </c>
    </row>
    <row r="180" spans="1:4" x14ac:dyDescent="0.45">
      <c r="A180" t="s">
        <v>313</v>
      </c>
      <c r="B180" s="21">
        <f>spliced_quartely_pmi_long!D180</f>
        <v>58.584609999999998</v>
      </c>
      <c r="C180" s="2">
        <v>123456789</v>
      </c>
      <c r="D180" s="2">
        <v>123456789</v>
      </c>
    </row>
    <row r="181" spans="1:4" x14ac:dyDescent="0.45">
      <c r="A181" t="s">
        <v>314</v>
      </c>
      <c r="B181" s="21">
        <f>spliced_quartely_pmi_long!D181</f>
        <v>56.177810000000001</v>
      </c>
      <c r="C181" s="2">
        <v>123456789</v>
      </c>
      <c r="D181" s="2">
        <v>123456789</v>
      </c>
    </row>
    <row r="182" spans="1:4" x14ac:dyDescent="0.45">
      <c r="A182" t="s">
        <v>315</v>
      </c>
      <c r="B182" s="21">
        <f>spliced_quartely_pmi_long!D182</f>
        <v>57.160649999999997</v>
      </c>
      <c r="C182" s="2">
        <v>123456789</v>
      </c>
      <c r="D182" s="2">
        <v>123456789</v>
      </c>
    </row>
    <row r="183" spans="1:4" x14ac:dyDescent="0.45">
      <c r="A183" t="s">
        <v>316</v>
      </c>
      <c r="B183" s="21">
        <f>spliced_quartely_pmi_long!D183</f>
        <v>57.356699999999996</v>
      </c>
      <c r="C183" s="2">
        <v>123456789</v>
      </c>
      <c r="D183" s="2">
        <v>123456789</v>
      </c>
    </row>
    <row r="184" spans="1:4" x14ac:dyDescent="0.45">
      <c r="A184" t="s">
        <v>317</v>
      </c>
      <c r="B184" s="21">
        <f>spliced_quartely_pmi_long!D184</f>
        <v>55.148820000000001</v>
      </c>
      <c r="C184" s="2">
        <v>123456789</v>
      </c>
      <c r="D184" s="2">
        <v>123456789</v>
      </c>
    </row>
    <row r="185" spans="1:4" x14ac:dyDescent="0.45">
      <c r="A185" t="s">
        <v>318</v>
      </c>
      <c r="B185" s="21">
        <f>spliced_quartely_pmi_long!D185</f>
        <v>55.316270000000003</v>
      </c>
      <c r="C185" s="2">
        <v>123456789</v>
      </c>
      <c r="D185" s="2">
        <v>123456789</v>
      </c>
    </row>
    <row r="186" spans="1:4" x14ac:dyDescent="0.45">
      <c r="A186" t="s">
        <v>319</v>
      </c>
      <c r="B186" s="21">
        <f>spliced_quartely_pmi_long!D186</f>
        <v>54.002249999999997</v>
      </c>
      <c r="C186" s="2">
        <v>123456789</v>
      </c>
      <c r="D186" s="2">
        <v>123456789</v>
      </c>
    </row>
    <row r="187" spans="1:4" x14ac:dyDescent="0.45">
      <c r="A187" t="s">
        <v>320</v>
      </c>
      <c r="B187" s="21">
        <f>spliced_quartely_pmi_long!D187</f>
        <v>52.648560000000003</v>
      </c>
      <c r="C187" s="2">
        <v>123456789</v>
      </c>
      <c r="D187" s="2">
        <v>123456789</v>
      </c>
    </row>
    <row r="188" spans="1:4" x14ac:dyDescent="0.45">
      <c r="A188" t="s">
        <v>321</v>
      </c>
      <c r="B188" s="21">
        <f>spliced_quartely_pmi_long!D188</f>
        <v>51.626139999999999</v>
      </c>
      <c r="C188" s="2">
        <v>123456789</v>
      </c>
      <c r="D188" s="2">
        <v>123456789</v>
      </c>
    </row>
    <row r="189" spans="1:4" x14ac:dyDescent="0.45">
      <c r="A189" t="s">
        <v>322</v>
      </c>
      <c r="B189" s="21">
        <f>spliced_quartely_pmi_long!D189</f>
        <v>55.478169999999999</v>
      </c>
      <c r="C189" s="2">
        <v>123456789</v>
      </c>
      <c r="D189" s="2">
        <v>123456789</v>
      </c>
    </row>
    <row r="190" spans="1:4" x14ac:dyDescent="0.45">
      <c r="A190" t="s">
        <v>323</v>
      </c>
      <c r="B190" s="21">
        <f>spliced_quartely_pmi_long!D190</f>
        <v>54.583109999999998</v>
      </c>
      <c r="C190" s="2">
        <v>123456789</v>
      </c>
      <c r="D190" s="2">
        <v>123456789</v>
      </c>
    </row>
    <row r="191" spans="1:4" x14ac:dyDescent="0.45">
      <c r="A191" t="s">
        <v>324</v>
      </c>
      <c r="B191" s="21">
        <f>spliced_quartely_pmi_long!D191</f>
        <v>54.834470000000003</v>
      </c>
      <c r="C191" s="2">
        <v>123456789</v>
      </c>
      <c r="D191" s="2">
        <v>123456789</v>
      </c>
    </row>
    <row r="192" spans="1:4" x14ac:dyDescent="0.45">
      <c r="A192" t="s">
        <v>325</v>
      </c>
      <c r="B192" s="21">
        <f>spliced_quartely_pmi_long!D192</f>
        <v>54.061199999999999</v>
      </c>
      <c r="C192" s="2">
        <v>123456789</v>
      </c>
      <c r="D192" s="2">
        <v>123456789</v>
      </c>
    </row>
    <row r="193" spans="1:4" x14ac:dyDescent="0.45">
      <c r="A193" t="s">
        <v>326</v>
      </c>
      <c r="B193" s="21">
        <f>spliced_quartely_pmi_long!D193</f>
        <v>55.174149999999997</v>
      </c>
      <c r="C193" s="2">
        <v>123456789</v>
      </c>
      <c r="D193" s="2">
        <v>123456789</v>
      </c>
    </row>
    <row r="194" spans="1:4" x14ac:dyDescent="0.45">
      <c r="A194" t="s">
        <v>327</v>
      </c>
      <c r="B194" s="21">
        <f>spliced_quartely_pmi_long!D194</f>
        <v>53.456270000000004</v>
      </c>
      <c r="C194" s="2">
        <v>123456789</v>
      </c>
      <c r="D194" s="2">
        <v>123456789</v>
      </c>
    </row>
    <row r="195" spans="1:4" x14ac:dyDescent="0.45">
      <c r="A195" t="s">
        <v>328</v>
      </c>
      <c r="B195" s="21">
        <f>spliced_quartely_pmi_long!D195</f>
        <v>54.276260000000001</v>
      </c>
      <c r="C195" s="2">
        <v>123456789</v>
      </c>
      <c r="D195" s="2">
        <v>123456789</v>
      </c>
    </row>
    <row r="196" spans="1:4" x14ac:dyDescent="0.45">
      <c r="A196" t="s">
        <v>329</v>
      </c>
      <c r="B196" s="21">
        <f>spliced_quartely_pmi_long!D196</f>
        <v>53.929180000000002</v>
      </c>
      <c r="C196" s="2">
        <v>123456789</v>
      </c>
      <c r="D196" s="2">
        <v>123456789</v>
      </c>
    </row>
    <row r="197" spans="1:4" x14ac:dyDescent="0.45">
      <c r="A197" t="s">
        <v>330</v>
      </c>
      <c r="B197" s="21">
        <f>spliced_quartely_pmi_long!D197</f>
        <v>51.440289999999997</v>
      </c>
      <c r="C197" s="2">
        <v>123456789</v>
      </c>
      <c r="D197" s="2">
        <v>123456789</v>
      </c>
    </row>
    <row r="198" spans="1:4" x14ac:dyDescent="0.45">
      <c r="A198" t="s">
        <v>331</v>
      </c>
      <c r="B198" s="21">
        <f>spliced_quartely_pmi_long!D198</f>
        <v>50.607050000000001</v>
      </c>
      <c r="C198" s="2">
        <v>123456789</v>
      </c>
      <c r="D198" s="2">
        <v>123456789</v>
      </c>
    </row>
    <row r="199" spans="1:4" x14ac:dyDescent="0.45">
      <c r="A199" t="s">
        <v>332</v>
      </c>
      <c r="B199" s="21">
        <f>spliced_quartely_pmi_long!D199</f>
        <v>50.51155</v>
      </c>
      <c r="C199" s="2">
        <v>123456789</v>
      </c>
      <c r="D199" s="2">
        <v>123456789</v>
      </c>
    </row>
    <row r="200" spans="1:4" x14ac:dyDescent="0.45">
      <c r="A200" t="s">
        <v>333</v>
      </c>
      <c r="B200" s="21">
        <f>spliced_quartely_pmi_long!D200</f>
        <v>50.060169999999999</v>
      </c>
      <c r="C200" s="2">
        <v>123456789</v>
      </c>
      <c r="D200" s="2">
        <v>123456789</v>
      </c>
    </row>
    <row r="201" spans="1:4" x14ac:dyDescent="0.45">
      <c r="A201" t="s">
        <v>334</v>
      </c>
      <c r="B201" s="21">
        <f>spliced_quartely_pmi_long!D201</f>
        <v>49.507800000000003</v>
      </c>
      <c r="C201" s="2">
        <v>123456789</v>
      </c>
      <c r="D201" s="2">
        <v>123456789</v>
      </c>
    </row>
    <row r="202" spans="1:4" x14ac:dyDescent="0.45">
      <c r="A202" t="s">
        <v>335</v>
      </c>
      <c r="B202" s="21">
        <f>spliced_quartely_pmi_long!D202</f>
        <v>47.433959999999999</v>
      </c>
      <c r="C202" s="2">
        <v>123456789</v>
      </c>
      <c r="D202" s="2">
        <v>123456789</v>
      </c>
    </row>
    <row r="203" spans="1:4" x14ac:dyDescent="0.45">
      <c r="A203" t="s">
        <v>336</v>
      </c>
      <c r="B203" s="21">
        <f>spliced_quartely_pmi_long!D203</f>
        <v>30.49887</v>
      </c>
      <c r="C203" s="2">
        <v>123456789</v>
      </c>
      <c r="D203" s="2">
        <v>123456789</v>
      </c>
    </row>
    <row r="204" spans="1:4" x14ac:dyDescent="0.45">
      <c r="A204" t="s">
        <v>337</v>
      </c>
      <c r="B204" s="21">
        <f>spliced_quartely_pmi_long!D204</f>
        <v>57.540100000000002</v>
      </c>
      <c r="C204" s="2">
        <v>123456789</v>
      </c>
      <c r="D204" s="2">
        <v>123456789</v>
      </c>
    </row>
    <row r="205" spans="1:4" x14ac:dyDescent="0.45">
      <c r="A205" t="s">
        <v>338</v>
      </c>
      <c r="B205" s="21">
        <f>spliced_quartely_pmi_long!D205</f>
        <v>50.522309999999997</v>
      </c>
      <c r="C205" s="2">
        <v>123456789</v>
      </c>
      <c r="D205" s="2">
        <v>123456789</v>
      </c>
    </row>
    <row r="206" spans="1:4" x14ac:dyDescent="0.45">
      <c r="A206" t="s">
        <v>339</v>
      </c>
      <c r="B206" s="21">
        <f>spliced_quartely_pmi_long!D206</f>
        <v>49.084299999999999</v>
      </c>
      <c r="C206" s="2">
        <v>123456789</v>
      </c>
      <c r="D206" s="2">
        <v>123456789</v>
      </c>
    </row>
    <row r="207" spans="1:4" x14ac:dyDescent="0.45">
      <c r="A207" t="s">
        <v>340</v>
      </c>
      <c r="B207" s="21">
        <f>spliced_quartely_pmi_long!D207</f>
        <v>61.931150000000002</v>
      </c>
      <c r="C207" s="2">
        <v>123456789</v>
      </c>
      <c r="D207" s="2">
        <v>123456789</v>
      </c>
    </row>
    <row r="208" spans="1:4" x14ac:dyDescent="0.45">
      <c r="A208" t="s">
        <v>341</v>
      </c>
      <c r="B208" s="21">
        <f>spliced_quartely_pmi_long!D208</f>
        <v>56.33379</v>
      </c>
      <c r="C208" s="2">
        <v>123456789</v>
      </c>
      <c r="D208" s="2">
        <v>123456789</v>
      </c>
    </row>
    <row r="209" spans="1:4" x14ac:dyDescent="0.45">
      <c r="A209" t="s">
        <v>342</v>
      </c>
      <c r="B209" s="21">
        <f>spliced_quartely_pmi_long!D209</f>
        <v>56.316299999999998</v>
      </c>
      <c r="C209" s="2">
        <v>123456789</v>
      </c>
      <c r="D209" s="2">
        <v>123456789</v>
      </c>
    </row>
    <row r="210" spans="1:4" x14ac:dyDescent="0.45">
      <c r="A210" t="s">
        <v>343</v>
      </c>
      <c r="B210" s="21">
        <f>spliced_quartely_pmi_long!D210</f>
        <v>58.32978</v>
      </c>
      <c r="C210" s="2">
        <v>123456789</v>
      </c>
      <c r="D210" s="2">
        <v>123456789</v>
      </c>
    </row>
    <row r="211" spans="1:4" x14ac:dyDescent="0.45">
      <c r="A211" t="s">
        <v>344</v>
      </c>
      <c r="B211" s="21">
        <f>spliced_quartely_pmi_long!D211</f>
        <v>55.012259999999998</v>
      </c>
      <c r="C211" s="2">
        <v>123456789</v>
      </c>
      <c r="D211" s="2">
        <v>123456789</v>
      </c>
    </row>
    <row r="212" spans="1:4" x14ac:dyDescent="0.45">
      <c r="A212" t="s">
        <v>345</v>
      </c>
      <c r="B212" s="21">
        <f>spliced_quartely_pmi_long!D212</f>
        <v>50.271349999999998</v>
      </c>
      <c r="C212" s="2">
        <v>123456789</v>
      </c>
      <c r="D212" s="2">
        <v>123456789</v>
      </c>
    </row>
    <row r="213" spans="1:4" x14ac:dyDescent="0.45">
      <c r="A213" t="s">
        <v>346</v>
      </c>
      <c r="B213" s="21">
        <f>spliced_quartely_pmi_long!D213</f>
        <v>48.46857</v>
      </c>
      <c r="C213" s="2">
        <v>123456789</v>
      </c>
      <c r="D213" s="2">
        <v>123456789</v>
      </c>
    </row>
    <row r="214" spans="1:4" x14ac:dyDescent="0.45">
      <c r="A214" t="s">
        <v>347</v>
      </c>
      <c r="B214" s="21">
        <f>spliced_quartely_pmi_long!D214</f>
        <v>51.257800000000003</v>
      </c>
      <c r="C214" s="2">
        <v>123456789</v>
      </c>
      <c r="D214" s="2">
        <v>123456789</v>
      </c>
    </row>
    <row r="215" spans="1:4" x14ac:dyDescent="0.45">
      <c r="A215" t="s">
        <v>348</v>
      </c>
      <c r="B215" s="21">
        <f>spliced_quartely_pmi_long!D215</f>
        <v>53.902209999999997</v>
      </c>
      <c r="C215" s="2">
        <v>123456789</v>
      </c>
      <c r="D215" s="2">
        <v>123456789</v>
      </c>
    </row>
    <row r="216" spans="1:4" x14ac:dyDescent="0.45">
      <c r="A216" t="s">
        <v>349</v>
      </c>
      <c r="B216" s="21">
        <f>spliced_quartely_pmi_long!D216</f>
        <v>49.315809999999999</v>
      </c>
      <c r="C216" s="2">
        <v>123456789</v>
      </c>
      <c r="D216" s="2">
        <v>123456789</v>
      </c>
    </row>
    <row r="217" spans="1:4" x14ac:dyDescent="0.45">
      <c r="A217" t="s">
        <v>350</v>
      </c>
      <c r="B217" s="21">
        <f>spliced_quartely_pmi_long!D217</f>
        <v>50.494790000000002</v>
      </c>
      <c r="C217" s="2">
        <v>123456789</v>
      </c>
      <c r="D217" s="2">
        <v>123456789</v>
      </c>
    </row>
    <row r="218" spans="1:4" x14ac:dyDescent="0.45">
      <c r="A218" t="s">
        <v>351</v>
      </c>
      <c r="B218" s="21">
        <f>spliced_quartely_pmi_long!D218</f>
        <v>52.902200000000001</v>
      </c>
      <c r="C218" s="2">
        <v>123456789</v>
      </c>
      <c r="D218" s="2">
        <v>123456789</v>
      </c>
    </row>
    <row r="219" spans="1:4" x14ac:dyDescent="0.45">
      <c r="A219" t="s">
        <v>352</v>
      </c>
      <c r="B219" s="21">
        <f>spliced_quartely_pmi_long!D219</f>
        <v>53.126550000000002</v>
      </c>
      <c r="C219" s="2">
        <v>123456789</v>
      </c>
      <c r="D219" s="2">
        <v>123456789</v>
      </c>
    </row>
    <row r="220" spans="1:4" x14ac:dyDescent="0.45">
      <c r="A220" t="s">
        <v>353</v>
      </c>
      <c r="B220" s="21">
        <f>spliced_quartely_pmi_long!D220</f>
        <v>53.076039999999999</v>
      </c>
      <c r="C220" s="2">
        <v>123456789</v>
      </c>
      <c r="D220" s="2">
        <v>123456789</v>
      </c>
    </row>
    <row r="221" spans="1:4" x14ac:dyDescent="0.45">
      <c r="A221" t="s">
        <v>354</v>
      </c>
      <c r="B221" s="21">
        <f>spliced_quartely_pmi_long!D221</f>
        <v>50.866320000000002</v>
      </c>
      <c r="C221" s="2">
        <v>123456789</v>
      </c>
      <c r="D221" s="2">
        <v>123456789</v>
      </c>
    </row>
    <row r="222" spans="1:4" x14ac:dyDescent="0.45">
      <c r="A222" t="s">
        <v>355</v>
      </c>
      <c r="B222" s="21">
        <f>spliced_quartely_pmi_long!D222</f>
        <v>50.849550000000001</v>
      </c>
      <c r="C222" s="2">
        <v>123456789</v>
      </c>
      <c r="D222" s="2">
        <v>123456789</v>
      </c>
    </row>
    <row r="223" spans="1:4" x14ac:dyDescent="0.45">
      <c r="A223" t="s">
        <v>356</v>
      </c>
      <c r="B223" s="21">
        <f>spliced_quartely_pmi_long!D223</f>
        <v>50.253450000000001</v>
      </c>
      <c r="C223" s="2">
        <v>123456789</v>
      </c>
      <c r="D223" s="2">
        <v>123456789</v>
      </c>
    </row>
    <row r="224" spans="1:4" x14ac:dyDescent="0.45">
      <c r="A224" t="s">
        <v>357</v>
      </c>
      <c r="B224" s="21">
        <f>spliced_quartely_pmi_long!D224</f>
        <v>51.67</v>
      </c>
      <c r="C224" s="2">
        <v>123456789</v>
      </c>
      <c r="D224" s="2">
        <v>123456789</v>
      </c>
    </row>
    <row r="225" spans="1:4" x14ac:dyDescent="0.45">
      <c r="A225" t="s">
        <v>438</v>
      </c>
      <c r="B225" s="21">
        <v>51.67</v>
      </c>
      <c r="C225" s="2">
        <v>123456789</v>
      </c>
      <c r="D225" s="2">
        <v>123456789</v>
      </c>
    </row>
    <row r="226" spans="1:4" x14ac:dyDescent="0.45">
      <c r="A226" t="s">
        <v>441</v>
      </c>
      <c r="B226" s="21">
        <v>51.67</v>
      </c>
      <c r="C226" s="2">
        <v>123456789</v>
      </c>
      <c r="D226" s="2">
        <v>123456789</v>
      </c>
    </row>
  </sheetData>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CBD1-13C1-4A90-A05F-FC89955528D2}">
  <sheetPr>
    <tabColor theme="9" tint="0.79998168889431442"/>
  </sheetPr>
  <dimension ref="A1:D226"/>
  <sheetViews>
    <sheetView topLeftCell="A217" workbookViewId="0">
      <selection activeCell="D231" sqref="D231"/>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1">
        <f>spliced_quartely_pmi_long!G6</f>
        <v>70.100758477585927</v>
      </c>
      <c r="C6" s="2">
        <v>123456789</v>
      </c>
      <c r="D6" s="2">
        <v>123456789</v>
      </c>
    </row>
    <row r="7" spans="1:4" x14ac:dyDescent="0.45">
      <c r="A7" t="s">
        <v>140</v>
      </c>
      <c r="B7" s="21">
        <f>spliced_quartely_pmi_long!G7</f>
        <v>69.323792286471786</v>
      </c>
      <c r="C7" s="2">
        <v>123456789</v>
      </c>
      <c r="D7" s="2">
        <v>123456789</v>
      </c>
    </row>
    <row r="8" spans="1:4" x14ac:dyDescent="0.45">
      <c r="A8" t="s">
        <v>141</v>
      </c>
      <c r="B8" s="21">
        <f>spliced_quartely_pmi_long!G8</f>
        <v>70.302178473053218</v>
      </c>
      <c r="C8" s="2">
        <v>123456789</v>
      </c>
      <c r="D8" s="2">
        <v>123456789</v>
      </c>
    </row>
    <row r="9" spans="1:4" x14ac:dyDescent="0.45">
      <c r="A9" t="s">
        <v>142</v>
      </c>
      <c r="B9" s="21">
        <f>spliced_quartely_pmi_long!G9</f>
        <v>69.591007605741595</v>
      </c>
      <c r="C9" s="2">
        <v>123456789</v>
      </c>
      <c r="D9" s="2">
        <v>123456789</v>
      </c>
    </row>
    <row r="10" spans="1:4" x14ac:dyDescent="0.45">
      <c r="A10" t="s">
        <v>143</v>
      </c>
      <c r="B10" s="21">
        <f>spliced_quartely_pmi_long!G10</f>
        <v>70.507521727158107</v>
      </c>
      <c r="C10" s="2">
        <v>123456789</v>
      </c>
      <c r="D10" s="2">
        <v>123456789</v>
      </c>
    </row>
    <row r="11" spans="1:4" x14ac:dyDescent="0.45">
      <c r="A11" t="s">
        <v>144</v>
      </c>
      <c r="B11" s="21">
        <f>spliced_quartely_pmi_long!G11</f>
        <v>71.606003799500769</v>
      </c>
      <c r="C11" s="2">
        <v>123456789</v>
      </c>
      <c r="D11" s="2">
        <v>123456789</v>
      </c>
    </row>
    <row r="12" spans="1:4" x14ac:dyDescent="0.45">
      <c r="A12" t="s">
        <v>145</v>
      </c>
      <c r="B12" s="21">
        <f>spliced_quartely_pmi_long!G12</f>
        <v>69.726183944108087</v>
      </c>
      <c r="C12" s="2">
        <v>123456789</v>
      </c>
      <c r="D12" s="2">
        <v>123456789</v>
      </c>
    </row>
    <row r="13" spans="1:4" x14ac:dyDescent="0.45">
      <c r="A13" t="s">
        <v>146</v>
      </c>
      <c r="B13" s="21">
        <f>spliced_quartely_pmi_long!G13</f>
        <v>71.257598658956923</v>
      </c>
      <c r="C13" s="2">
        <v>123456789</v>
      </c>
      <c r="D13" s="2">
        <v>123456789</v>
      </c>
    </row>
    <row r="14" spans="1:4" x14ac:dyDescent="0.45">
      <c r="A14" t="s">
        <v>147</v>
      </c>
      <c r="B14" s="21">
        <f>spliced_quartely_pmi_long!G14</f>
        <v>77.311668664210288</v>
      </c>
      <c r="C14" s="2">
        <v>123456789</v>
      </c>
      <c r="D14" s="2">
        <v>123456789</v>
      </c>
    </row>
    <row r="15" spans="1:4" x14ac:dyDescent="0.45">
      <c r="A15" t="s">
        <v>148</v>
      </c>
      <c r="B15" s="21">
        <f>spliced_quartely_pmi_long!G15</f>
        <v>74.114241829921852</v>
      </c>
      <c r="C15" s="2">
        <v>123456789</v>
      </c>
      <c r="D15" s="2">
        <v>123456789</v>
      </c>
    </row>
    <row r="16" spans="1:4" x14ac:dyDescent="0.45">
      <c r="A16" t="s">
        <v>149</v>
      </c>
      <c r="B16" s="21">
        <f>spliced_quartely_pmi_long!G16</f>
        <v>72.520363872055853</v>
      </c>
      <c r="C16" s="2">
        <v>123456789</v>
      </c>
      <c r="D16" s="2">
        <v>123456789</v>
      </c>
    </row>
    <row r="17" spans="1:4" x14ac:dyDescent="0.45">
      <c r="A17" t="s">
        <v>150</v>
      </c>
      <c r="B17" s="21">
        <f>spliced_quartely_pmi_long!G17</f>
        <v>69.962189370229524</v>
      </c>
      <c r="C17" s="2">
        <v>123456789</v>
      </c>
      <c r="D17" s="2">
        <v>123456789</v>
      </c>
    </row>
    <row r="18" spans="1:4" x14ac:dyDescent="0.45">
      <c r="A18" t="s">
        <v>151</v>
      </c>
      <c r="B18" s="21">
        <f>spliced_quartely_pmi_long!G18</f>
        <v>59.896660202973678</v>
      </c>
      <c r="C18" s="2">
        <v>123456789</v>
      </c>
      <c r="D18" s="2">
        <v>123456789</v>
      </c>
    </row>
    <row r="19" spans="1:4" x14ac:dyDescent="0.45">
      <c r="A19" t="s">
        <v>152</v>
      </c>
      <c r="B19" s="21">
        <f>spliced_quartely_pmi_long!G19</f>
        <v>61.529223778405495</v>
      </c>
      <c r="C19" s="2">
        <v>123456789</v>
      </c>
      <c r="D19" s="2">
        <v>123456789</v>
      </c>
    </row>
    <row r="20" spans="1:4" x14ac:dyDescent="0.45">
      <c r="A20" t="s">
        <v>153</v>
      </c>
      <c r="B20" s="21">
        <f>spliced_quartely_pmi_long!G20</f>
        <v>63.552647689409561</v>
      </c>
      <c r="C20" s="2">
        <v>123456789</v>
      </c>
      <c r="D20" s="2">
        <v>123456789</v>
      </c>
    </row>
    <row r="21" spans="1:4" x14ac:dyDescent="0.45">
      <c r="A21" t="s">
        <v>154</v>
      </c>
      <c r="B21" s="21">
        <f>spliced_quartely_pmi_long!G21</f>
        <v>62.123766848532554</v>
      </c>
      <c r="C21" s="2">
        <v>123456789</v>
      </c>
      <c r="D21" s="2">
        <v>123456789</v>
      </c>
    </row>
    <row r="22" spans="1:4" x14ac:dyDescent="0.45">
      <c r="A22" t="s">
        <v>155</v>
      </c>
      <c r="B22" s="21">
        <f>spliced_quartely_pmi_long!G22</f>
        <v>65.871891634056055</v>
      </c>
      <c r="C22" s="2">
        <v>123456789</v>
      </c>
      <c r="D22" s="2">
        <v>123456789</v>
      </c>
    </row>
    <row r="23" spans="1:4" x14ac:dyDescent="0.45">
      <c r="A23" t="s">
        <v>156</v>
      </c>
      <c r="B23" s="21">
        <f>spliced_quartely_pmi_long!G23</f>
        <v>61.826543314676364</v>
      </c>
      <c r="C23" s="2">
        <v>123456789</v>
      </c>
      <c r="D23" s="2">
        <v>123456789</v>
      </c>
    </row>
    <row r="24" spans="1:4" x14ac:dyDescent="0.45">
      <c r="A24" t="s">
        <v>157</v>
      </c>
      <c r="B24" s="21">
        <f>spliced_quartely_pmi_long!G24</f>
        <v>60.643685520601935</v>
      </c>
      <c r="C24" s="2">
        <v>123456789</v>
      </c>
      <c r="D24" s="2">
        <v>123456789</v>
      </c>
    </row>
    <row r="25" spans="1:4" x14ac:dyDescent="0.45">
      <c r="A25" t="s">
        <v>158</v>
      </c>
      <c r="B25" s="21">
        <f>spliced_quartely_pmi_long!G25</f>
        <v>64.056159745061805</v>
      </c>
      <c r="C25" s="2">
        <v>123456789</v>
      </c>
      <c r="D25" s="2">
        <v>123456789</v>
      </c>
    </row>
    <row r="26" spans="1:4" x14ac:dyDescent="0.45">
      <c r="A26" t="s">
        <v>159</v>
      </c>
      <c r="B26" s="21">
        <f>spliced_quartely_pmi_long!G26</f>
        <v>66.227360347921419</v>
      </c>
      <c r="C26" s="2">
        <v>123456789</v>
      </c>
      <c r="D26" s="2">
        <v>123456789</v>
      </c>
    </row>
    <row r="27" spans="1:4" x14ac:dyDescent="0.45">
      <c r="A27" t="s">
        <v>160</v>
      </c>
      <c r="B27" s="21">
        <f>spliced_quartely_pmi_long!G27</f>
        <v>68.20776143759457</v>
      </c>
      <c r="C27" s="2">
        <v>123456789</v>
      </c>
      <c r="D27" s="2">
        <v>123456789</v>
      </c>
    </row>
    <row r="28" spans="1:4" x14ac:dyDescent="0.45">
      <c r="A28" t="s">
        <v>161</v>
      </c>
      <c r="B28" s="21">
        <f>spliced_quartely_pmi_long!G28</f>
        <v>70.238924295014399</v>
      </c>
      <c r="C28" s="2">
        <v>123456789</v>
      </c>
      <c r="D28" s="2">
        <v>123456789</v>
      </c>
    </row>
    <row r="29" spans="1:4" x14ac:dyDescent="0.45">
      <c r="A29" t="s">
        <v>162</v>
      </c>
      <c r="B29" s="21">
        <f>spliced_quartely_pmi_long!G29</f>
        <v>71.527498589740503</v>
      </c>
      <c r="C29" s="2">
        <v>123456789</v>
      </c>
      <c r="D29" s="2">
        <v>123456789</v>
      </c>
    </row>
    <row r="30" spans="1:4" x14ac:dyDescent="0.45">
      <c r="A30" t="s">
        <v>163</v>
      </c>
      <c r="B30" s="21">
        <f>spliced_quartely_pmi_long!G30</f>
        <v>69.414890488905414</v>
      </c>
      <c r="C30" s="2">
        <v>123456789</v>
      </c>
      <c r="D30" s="2">
        <v>123456789</v>
      </c>
    </row>
    <row r="31" spans="1:4" x14ac:dyDescent="0.45">
      <c r="A31" t="s">
        <v>164</v>
      </c>
      <c r="B31" s="21">
        <f>spliced_quartely_pmi_long!G31</f>
        <v>68.684356278672539</v>
      </c>
      <c r="C31" s="2">
        <v>123456789</v>
      </c>
      <c r="D31" s="2">
        <v>123456789</v>
      </c>
    </row>
    <row r="32" spans="1:4" x14ac:dyDescent="0.45">
      <c r="A32" t="s">
        <v>165</v>
      </c>
      <c r="B32" s="21">
        <f>spliced_quartely_pmi_long!G32</f>
        <v>67.908816254536205</v>
      </c>
      <c r="C32" s="2">
        <v>123456789</v>
      </c>
      <c r="D32" s="2">
        <v>123456789</v>
      </c>
    </row>
    <row r="33" spans="1:4" x14ac:dyDescent="0.45">
      <c r="A33" t="s">
        <v>166</v>
      </c>
      <c r="B33" s="21">
        <f>spliced_quartely_pmi_long!G33</f>
        <v>67.384024098766005</v>
      </c>
      <c r="C33" s="2">
        <v>123456789</v>
      </c>
      <c r="D33" s="2">
        <v>123456789</v>
      </c>
    </row>
    <row r="34" spans="1:4" x14ac:dyDescent="0.45">
      <c r="A34" t="s">
        <v>167</v>
      </c>
      <c r="B34" s="21">
        <f>spliced_quartely_pmi_long!G34</f>
        <v>68.535217526142617</v>
      </c>
      <c r="C34" s="2">
        <v>123456789</v>
      </c>
      <c r="D34" s="2">
        <v>123456789</v>
      </c>
    </row>
    <row r="35" spans="1:4" x14ac:dyDescent="0.45">
      <c r="A35" t="s">
        <v>168</v>
      </c>
      <c r="B35" s="21">
        <f>spliced_quartely_pmi_long!G35</f>
        <v>70.955569407481022</v>
      </c>
      <c r="C35" s="2">
        <v>123456789</v>
      </c>
      <c r="D35" s="2">
        <v>123456789</v>
      </c>
    </row>
    <row r="36" spans="1:4" x14ac:dyDescent="0.45">
      <c r="A36" t="s">
        <v>169</v>
      </c>
      <c r="B36" s="21">
        <f>spliced_quartely_pmi_long!G36</f>
        <v>71.889642669663374</v>
      </c>
      <c r="C36" s="2">
        <v>123456789</v>
      </c>
      <c r="D36" s="2">
        <v>123456789</v>
      </c>
    </row>
    <row r="37" spans="1:4" x14ac:dyDescent="0.45">
      <c r="A37" t="s">
        <v>170</v>
      </c>
      <c r="B37" s="21">
        <f>spliced_quartely_pmi_long!G37</f>
        <v>70.83398735185898</v>
      </c>
      <c r="C37" s="2">
        <v>123456789</v>
      </c>
      <c r="D37" s="2">
        <v>123456789</v>
      </c>
    </row>
    <row r="38" spans="1:4" x14ac:dyDescent="0.45">
      <c r="A38" t="s">
        <v>171</v>
      </c>
      <c r="B38" s="21">
        <f>spliced_quartely_pmi_long!G38</f>
        <v>69.200274891236774</v>
      </c>
      <c r="C38" s="2">
        <v>123456789</v>
      </c>
      <c r="D38" s="2">
        <v>123456789</v>
      </c>
    </row>
    <row r="39" spans="1:4" x14ac:dyDescent="0.45">
      <c r="A39" t="s">
        <v>172</v>
      </c>
      <c r="B39" s="21">
        <f>spliced_quartely_pmi_long!G39</f>
        <v>73.334179967411941</v>
      </c>
      <c r="C39" s="2">
        <v>123456789</v>
      </c>
      <c r="D39" s="2">
        <v>123456789</v>
      </c>
    </row>
    <row r="40" spans="1:4" x14ac:dyDescent="0.45">
      <c r="A40" t="s">
        <v>173</v>
      </c>
      <c r="B40" s="21">
        <f>spliced_quartely_pmi_long!G40</f>
        <v>68.593599836062339</v>
      </c>
      <c r="C40" s="2">
        <v>123456789</v>
      </c>
      <c r="D40" s="2">
        <v>123456789</v>
      </c>
    </row>
    <row r="41" spans="1:4" x14ac:dyDescent="0.45">
      <c r="A41" t="s">
        <v>174</v>
      </c>
      <c r="B41" s="21">
        <f>spliced_quartely_pmi_long!G41</f>
        <v>68.76718396403173</v>
      </c>
      <c r="C41" s="2">
        <v>123456789</v>
      </c>
      <c r="D41" s="2">
        <v>123456789</v>
      </c>
    </row>
    <row r="42" spans="1:4" x14ac:dyDescent="0.45">
      <c r="A42" t="s">
        <v>175</v>
      </c>
      <c r="B42" s="21">
        <f>spliced_quartely_pmi_long!G42</f>
        <v>67.855652493560726</v>
      </c>
      <c r="C42" s="2">
        <v>123456789</v>
      </c>
      <c r="D42" s="2">
        <v>123456789</v>
      </c>
    </row>
    <row r="43" spans="1:4" x14ac:dyDescent="0.45">
      <c r="A43" t="s">
        <v>176</v>
      </c>
      <c r="B43" s="21">
        <f>spliced_quartely_pmi_long!G43</f>
        <v>59.605208513016663</v>
      </c>
      <c r="C43" s="2">
        <v>123456789</v>
      </c>
      <c r="D43" s="2">
        <v>123456789</v>
      </c>
    </row>
    <row r="44" spans="1:4" x14ac:dyDescent="0.45">
      <c r="A44" t="s">
        <v>177</v>
      </c>
      <c r="B44" s="21">
        <f>spliced_quartely_pmi_long!G44</f>
        <v>62.411895369639666</v>
      </c>
      <c r="C44" s="2">
        <v>123456789</v>
      </c>
      <c r="D44" s="2">
        <v>123456789</v>
      </c>
    </row>
    <row r="45" spans="1:4" x14ac:dyDescent="0.45">
      <c r="A45" t="s">
        <v>178</v>
      </c>
      <c r="B45" s="21">
        <f>spliced_quartely_pmi_long!G45</f>
        <v>59.70537765835337</v>
      </c>
      <c r="C45" s="2">
        <v>123456789</v>
      </c>
      <c r="D45" s="2">
        <v>123456789</v>
      </c>
    </row>
    <row r="46" spans="1:4" x14ac:dyDescent="0.45">
      <c r="A46" t="s">
        <v>179</v>
      </c>
      <c r="B46" s="21">
        <f>spliced_quartely_pmi_long!G46</f>
        <v>60.902729951269137</v>
      </c>
      <c r="C46" s="2">
        <v>123456789</v>
      </c>
      <c r="D46" s="2">
        <v>123456789</v>
      </c>
    </row>
    <row r="47" spans="1:4" x14ac:dyDescent="0.45">
      <c r="A47" t="s">
        <v>180</v>
      </c>
      <c r="B47" s="21">
        <f>spliced_quartely_pmi_long!G47</f>
        <v>63.933220402107253</v>
      </c>
      <c r="C47" s="2">
        <v>123456789</v>
      </c>
      <c r="D47" s="2">
        <v>123456789</v>
      </c>
    </row>
    <row r="48" spans="1:4" x14ac:dyDescent="0.45">
      <c r="A48" t="s">
        <v>181</v>
      </c>
      <c r="B48" s="21">
        <f>spliced_quartely_pmi_long!G48</f>
        <v>65.609049253143468</v>
      </c>
      <c r="C48" s="2">
        <v>123456789</v>
      </c>
      <c r="D48" s="2">
        <v>123456789</v>
      </c>
    </row>
    <row r="49" spans="1:4" x14ac:dyDescent="0.45">
      <c r="A49" t="s">
        <v>182</v>
      </c>
      <c r="B49" s="21">
        <f>spliced_quartely_pmi_long!G49</f>
        <v>67.143572333661851</v>
      </c>
      <c r="C49" s="2">
        <v>123456789</v>
      </c>
      <c r="D49" s="2">
        <v>123456789</v>
      </c>
    </row>
    <row r="50" spans="1:4" x14ac:dyDescent="0.45">
      <c r="A50" t="s">
        <v>183</v>
      </c>
      <c r="B50" s="21">
        <f>spliced_quartely_pmi_long!G50</f>
        <v>67.46940334932124</v>
      </c>
      <c r="C50" s="2">
        <v>123456789</v>
      </c>
      <c r="D50" s="2">
        <v>123456789</v>
      </c>
    </row>
    <row r="51" spans="1:4" x14ac:dyDescent="0.45">
      <c r="A51" t="s">
        <v>184</v>
      </c>
      <c r="B51" s="21">
        <f>spliced_quartely_pmi_long!G51</f>
        <v>68.40789560807498</v>
      </c>
      <c r="C51" s="2">
        <v>123456789</v>
      </c>
      <c r="D51" s="2">
        <v>123456789</v>
      </c>
    </row>
    <row r="52" spans="1:4" x14ac:dyDescent="0.45">
      <c r="A52" t="s">
        <v>185</v>
      </c>
      <c r="B52" s="21">
        <f>spliced_quartely_pmi_long!G52</f>
        <v>67.160267063186282</v>
      </c>
      <c r="C52" s="2">
        <v>123456789</v>
      </c>
      <c r="D52" s="2">
        <v>123456789</v>
      </c>
    </row>
    <row r="53" spans="1:4" x14ac:dyDescent="0.45">
      <c r="A53" t="s">
        <v>186</v>
      </c>
      <c r="B53" s="21">
        <f>spliced_quartely_pmi_long!G53</f>
        <v>67.886847894729001</v>
      </c>
      <c r="C53" s="2">
        <v>123456789</v>
      </c>
      <c r="D53" s="2">
        <v>123456789</v>
      </c>
    </row>
    <row r="54" spans="1:4" x14ac:dyDescent="0.45">
      <c r="A54" t="s">
        <v>187</v>
      </c>
      <c r="B54" s="21">
        <f>spliced_quartely_pmi_long!G54</f>
        <v>70.248267817976554</v>
      </c>
      <c r="C54" s="2">
        <v>123456789</v>
      </c>
      <c r="D54" s="2">
        <v>123456789</v>
      </c>
    </row>
    <row r="55" spans="1:4" x14ac:dyDescent="0.45">
      <c r="A55" t="s">
        <v>188</v>
      </c>
      <c r="B55" s="21">
        <f>spliced_quartely_pmi_long!G55</f>
        <v>69.801140476736279</v>
      </c>
      <c r="C55" s="2">
        <v>123456789</v>
      </c>
      <c r="D55" s="2">
        <v>123456789</v>
      </c>
    </row>
    <row r="56" spans="1:4" x14ac:dyDescent="0.45">
      <c r="A56" t="s">
        <v>189</v>
      </c>
      <c r="B56" s="21">
        <f>spliced_quartely_pmi_long!G56</f>
        <v>71.038641068593634</v>
      </c>
      <c r="C56" s="2">
        <v>123456789</v>
      </c>
      <c r="D56" s="2">
        <v>123456789</v>
      </c>
    </row>
    <row r="57" spans="1:4" x14ac:dyDescent="0.45">
      <c r="A57" t="s">
        <v>190</v>
      </c>
      <c r="B57" s="21">
        <f>spliced_quartely_pmi_long!G57</f>
        <v>71.127815433192779</v>
      </c>
      <c r="C57" s="2">
        <v>123456789</v>
      </c>
      <c r="D57" s="2">
        <v>123456789</v>
      </c>
    </row>
    <row r="58" spans="1:4" x14ac:dyDescent="0.45">
      <c r="A58" t="s">
        <v>191</v>
      </c>
      <c r="B58" s="21">
        <f>spliced_quartely_pmi_long!G58</f>
        <v>69.676826218353</v>
      </c>
      <c r="C58" s="2">
        <v>123456789</v>
      </c>
      <c r="D58" s="2">
        <v>123456789</v>
      </c>
    </row>
    <row r="59" spans="1:4" x14ac:dyDescent="0.45">
      <c r="A59" t="s">
        <v>192</v>
      </c>
      <c r="B59" s="21">
        <f>spliced_quartely_pmi_long!G59</f>
        <v>67.436112718778517</v>
      </c>
      <c r="C59" s="2">
        <v>123456789</v>
      </c>
      <c r="D59" s="2">
        <v>123456789</v>
      </c>
    </row>
    <row r="60" spans="1:4" x14ac:dyDescent="0.45">
      <c r="A60" t="s">
        <v>193</v>
      </c>
      <c r="B60" s="21">
        <f>spliced_quartely_pmi_long!G60</f>
        <v>66.879939684500016</v>
      </c>
      <c r="C60" s="2">
        <v>123456789</v>
      </c>
      <c r="D60" s="2">
        <v>123456789</v>
      </c>
    </row>
    <row r="61" spans="1:4" x14ac:dyDescent="0.45">
      <c r="A61" t="s">
        <v>194</v>
      </c>
      <c r="B61" s="21">
        <f>spliced_quartely_pmi_long!G61</f>
        <v>68.271185923562655</v>
      </c>
      <c r="C61" s="2">
        <v>123456789</v>
      </c>
      <c r="D61" s="2">
        <v>123456789</v>
      </c>
    </row>
    <row r="62" spans="1:4" x14ac:dyDescent="0.45">
      <c r="A62" t="s">
        <v>195</v>
      </c>
      <c r="B62" s="21">
        <f>spliced_quartely_pmi_long!G62</f>
        <v>68.435010369785374</v>
      </c>
      <c r="C62" s="2">
        <v>123456789</v>
      </c>
      <c r="D62" s="2">
        <v>123456789</v>
      </c>
    </row>
    <row r="63" spans="1:4" x14ac:dyDescent="0.45">
      <c r="A63" t="s">
        <v>196</v>
      </c>
      <c r="B63" s="21">
        <f>spliced_quartely_pmi_long!G63</f>
        <v>72.541431752670476</v>
      </c>
      <c r="C63" s="2">
        <v>123456789</v>
      </c>
      <c r="D63" s="2">
        <v>123456789</v>
      </c>
    </row>
    <row r="64" spans="1:4" x14ac:dyDescent="0.45">
      <c r="A64" t="s">
        <v>197</v>
      </c>
      <c r="B64" s="21">
        <f>spliced_quartely_pmi_long!G64</f>
        <v>71.552375627636451</v>
      </c>
      <c r="C64" s="2">
        <v>123456789</v>
      </c>
      <c r="D64" s="2">
        <v>123456789</v>
      </c>
    </row>
    <row r="65" spans="1:4" x14ac:dyDescent="0.45">
      <c r="A65" t="s">
        <v>198</v>
      </c>
      <c r="B65" s="21">
        <f>spliced_quartely_pmi_long!G65</f>
        <v>69.257656286440792</v>
      </c>
      <c r="C65" s="2">
        <v>123456789</v>
      </c>
      <c r="D65" s="2">
        <v>123456789</v>
      </c>
    </row>
    <row r="66" spans="1:4" x14ac:dyDescent="0.45">
      <c r="A66" t="s">
        <v>199</v>
      </c>
      <c r="B66" s="21">
        <f>spliced_quartely_pmi_long!G66</f>
        <v>69.343456891892956</v>
      </c>
      <c r="C66" s="2">
        <v>123456789</v>
      </c>
      <c r="D66" s="2">
        <v>123456789</v>
      </c>
    </row>
    <row r="67" spans="1:4" x14ac:dyDescent="0.45">
      <c r="A67" t="s">
        <v>200</v>
      </c>
      <c r="B67" s="21">
        <f>spliced_quartely_pmi_long!G67</f>
        <v>67.738615464526092</v>
      </c>
      <c r="C67" s="2">
        <v>123456789</v>
      </c>
      <c r="D67" s="2">
        <v>123456789</v>
      </c>
    </row>
    <row r="68" spans="1:4" x14ac:dyDescent="0.45">
      <c r="A68" t="s">
        <v>201</v>
      </c>
      <c r="B68" s="21">
        <f>spliced_quartely_pmi_long!G68</f>
        <v>68.603164595382466</v>
      </c>
      <c r="C68" s="2">
        <v>123456789</v>
      </c>
      <c r="D68" s="2">
        <v>123456789</v>
      </c>
    </row>
    <row r="69" spans="1:4" x14ac:dyDescent="0.45">
      <c r="A69" t="s">
        <v>202</v>
      </c>
      <c r="B69" s="21">
        <f>spliced_quartely_pmi_long!G69</f>
        <v>71.052270888588737</v>
      </c>
      <c r="C69" s="2">
        <v>123456789</v>
      </c>
      <c r="D69" s="2">
        <v>123456789</v>
      </c>
    </row>
    <row r="70" spans="1:4" x14ac:dyDescent="0.45">
      <c r="A70" t="s">
        <v>203</v>
      </c>
      <c r="B70" s="21">
        <f>spliced_quartely_pmi_long!G70</f>
        <v>70.612294529721865</v>
      </c>
      <c r="C70" s="2">
        <v>123456789</v>
      </c>
      <c r="D70" s="2">
        <v>123456789</v>
      </c>
    </row>
    <row r="71" spans="1:4" x14ac:dyDescent="0.45">
      <c r="A71" t="s">
        <v>204</v>
      </c>
      <c r="B71" s="21">
        <f>spliced_quartely_pmi_long!G71</f>
        <v>71.387977722929023</v>
      </c>
      <c r="C71" s="2">
        <v>123456789</v>
      </c>
      <c r="D71" s="2">
        <v>123456789</v>
      </c>
    </row>
    <row r="72" spans="1:4" x14ac:dyDescent="0.45">
      <c r="A72" t="s">
        <v>205</v>
      </c>
      <c r="B72" s="21">
        <f>spliced_quartely_pmi_long!G72</f>
        <v>73.798173718592295</v>
      </c>
      <c r="C72" s="2">
        <v>123456789</v>
      </c>
      <c r="D72" s="2">
        <v>123456789</v>
      </c>
    </row>
    <row r="73" spans="1:4" x14ac:dyDescent="0.45">
      <c r="A73" t="s">
        <v>206</v>
      </c>
      <c r="B73" s="21">
        <f>spliced_quartely_pmi_long!G73</f>
        <v>72.779716565263925</v>
      </c>
      <c r="C73" s="2">
        <v>123456789</v>
      </c>
      <c r="D73" s="2">
        <v>123456789</v>
      </c>
    </row>
    <row r="74" spans="1:4" x14ac:dyDescent="0.45">
      <c r="A74" t="s">
        <v>207</v>
      </c>
      <c r="B74" s="21">
        <f>spliced_quartely_pmi_long!G74</f>
        <v>73.98755413178381</v>
      </c>
      <c r="C74" s="2">
        <v>123456789</v>
      </c>
      <c r="D74" s="2">
        <v>123456789</v>
      </c>
    </row>
    <row r="75" spans="1:4" x14ac:dyDescent="0.45">
      <c r="A75" t="s">
        <v>208</v>
      </c>
      <c r="B75" s="21">
        <f>spliced_quartely_pmi_long!G75</f>
        <v>72.743492393177959</v>
      </c>
      <c r="C75" s="2">
        <v>123456789</v>
      </c>
      <c r="D75" s="2">
        <v>123456789</v>
      </c>
    </row>
    <row r="76" spans="1:4" x14ac:dyDescent="0.45">
      <c r="A76" t="s">
        <v>209</v>
      </c>
      <c r="B76" s="21">
        <f>spliced_quartely_pmi_long!G76</f>
        <v>71.137626257943552</v>
      </c>
      <c r="C76" s="2">
        <v>123456789</v>
      </c>
      <c r="D76" s="2">
        <v>123456789</v>
      </c>
    </row>
    <row r="77" spans="1:4" x14ac:dyDescent="0.45">
      <c r="A77" t="s">
        <v>210</v>
      </c>
      <c r="B77" s="21">
        <f>spliced_quartely_pmi_long!G77</f>
        <v>70.681933728030756</v>
      </c>
      <c r="C77" s="2">
        <v>123456789</v>
      </c>
      <c r="D77" s="2">
        <v>123456789</v>
      </c>
    </row>
    <row r="78" spans="1:4" x14ac:dyDescent="0.45">
      <c r="A78" t="s">
        <v>211</v>
      </c>
      <c r="B78" s="21">
        <f>spliced_quartely_pmi_long!G78</f>
        <v>69.199644098020073</v>
      </c>
      <c r="C78" s="2">
        <v>123456789</v>
      </c>
      <c r="D78" s="2">
        <v>123456789</v>
      </c>
    </row>
    <row r="79" spans="1:4" x14ac:dyDescent="0.45">
      <c r="A79" t="s">
        <v>212</v>
      </c>
      <c r="B79" s="21">
        <f>spliced_quartely_pmi_long!G79</f>
        <v>69.317832757726549</v>
      </c>
      <c r="C79" s="2">
        <v>123456789</v>
      </c>
      <c r="D79" s="2">
        <v>123456789</v>
      </c>
    </row>
    <row r="80" spans="1:4" x14ac:dyDescent="0.45">
      <c r="A80" t="s">
        <v>213</v>
      </c>
      <c r="B80" s="21">
        <f>spliced_quartely_pmi_long!G80</f>
        <v>67.891465158180054</v>
      </c>
      <c r="C80" s="2">
        <v>123456789</v>
      </c>
      <c r="D80" s="2">
        <v>123456789</v>
      </c>
    </row>
    <row r="81" spans="1:4" x14ac:dyDescent="0.45">
      <c r="A81" t="s">
        <v>214</v>
      </c>
      <c r="B81" s="21">
        <f>spliced_quartely_pmi_long!G81</f>
        <v>66.806681370467842</v>
      </c>
      <c r="C81" s="2">
        <v>123456789</v>
      </c>
      <c r="D81" s="2">
        <v>123456789</v>
      </c>
    </row>
    <row r="82" spans="1:4" x14ac:dyDescent="0.45">
      <c r="A82" t="s">
        <v>215</v>
      </c>
      <c r="B82" s="21">
        <f>spliced_quartely_pmi_long!G82</f>
        <v>66.829804829806122</v>
      </c>
      <c r="C82" s="2">
        <v>123456789</v>
      </c>
      <c r="D82" s="2">
        <v>123456789</v>
      </c>
    </row>
    <row r="83" spans="1:4" x14ac:dyDescent="0.45">
      <c r="A83" t="s">
        <v>216</v>
      </c>
      <c r="B83" s="21">
        <f>spliced_quartely_pmi_long!G83</f>
        <v>66.888648837634761</v>
      </c>
      <c r="C83" s="2">
        <v>123456789</v>
      </c>
      <c r="D83" s="2">
        <v>123456789</v>
      </c>
    </row>
    <row r="84" spans="1:4" x14ac:dyDescent="0.45">
      <c r="A84" t="s">
        <v>217</v>
      </c>
      <c r="B84" s="21">
        <f>spliced_quartely_pmi_long!G84</f>
        <v>65.218543145848699</v>
      </c>
      <c r="C84" s="2">
        <v>123456789</v>
      </c>
      <c r="D84" s="2">
        <v>123456789</v>
      </c>
    </row>
    <row r="85" spans="1:4" x14ac:dyDescent="0.45">
      <c r="A85" t="s">
        <v>218</v>
      </c>
      <c r="B85" s="21">
        <f>spliced_quartely_pmi_long!G85</f>
        <v>64.568594638657302</v>
      </c>
      <c r="C85" s="2">
        <v>123456789</v>
      </c>
      <c r="D85" s="2">
        <v>123456789</v>
      </c>
    </row>
    <row r="86" spans="1:4" x14ac:dyDescent="0.45">
      <c r="A86" t="s">
        <v>219</v>
      </c>
      <c r="B86" s="21">
        <f>spliced_quartely_pmi_long!G86</f>
        <v>63.231175144575957</v>
      </c>
      <c r="C86" s="2">
        <v>123456789</v>
      </c>
      <c r="D86" s="2">
        <v>123456789</v>
      </c>
    </row>
    <row r="87" spans="1:4" x14ac:dyDescent="0.45">
      <c r="A87" t="s">
        <v>220</v>
      </c>
      <c r="B87" s="21">
        <f>spliced_quartely_pmi_long!G87</f>
        <v>62.18816872719708</v>
      </c>
      <c r="C87" s="2">
        <v>123456789</v>
      </c>
      <c r="D87" s="2">
        <v>123456789</v>
      </c>
    </row>
    <row r="88" spans="1:4" x14ac:dyDescent="0.45">
      <c r="A88" t="s">
        <v>221</v>
      </c>
      <c r="B88" s="21">
        <f>spliced_quartely_pmi_long!G88</f>
        <v>63.381045987462635</v>
      </c>
      <c r="C88" s="2">
        <v>123456789</v>
      </c>
      <c r="D88" s="2">
        <v>123456789</v>
      </c>
    </row>
    <row r="89" spans="1:4" x14ac:dyDescent="0.45">
      <c r="A89" t="s">
        <v>222</v>
      </c>
      <c r="B89" s="21">
        <f>spliced_quartely_pmi_long!G89</f>
        <v>64.223755808800121</v>
      </c>
      <c r="C89" s="2">
        <v>123456789</v>
      </c>
      <c r="D89" s="2">
        <v>123456789</v>
      </c>
    </row>
    <row r="90" spans="1:4" x14ac:dyDescent="0.45">
      <c r="A90" t="s">
        <v>223</v>
      </c>
      <c r="B90" s="21">
        <f>spliced_quartely_pmi_long!G90</f>
        <v>64.864864956515206</v>
      </c>
      <c r="C90" s="2">
        <v>123456789</v>
      </c>
      <c r="D90" s="2">
        <v>123456789</v>
      </c>
    </row>
    <row r="91" spans="1:4" x14ac:dyDescent="0.45">
      <c r="A91" t="s">
        <v>224</v>
      </c>
      <c r="B91" s="21">
        <f>spliced_quartely_pmi_long!G91</f>
        <v>64.824061127499547</v>
      </c>
      <c r="C91" s="2">
        <v>123456789</v>
      </c>
      <c r="D91" s="2">
        <v>123456789</v>
      </c>
    </row>
    <row r="92" spans="1:4" x14ac:dyDescent="0.45">
      <c r="A92" t="s">
        <v>225</v>
      </c>
      <c r="B92" s="21">
        <f>spliced_quartely_pmi_long!G92</f>
        <v>65.715852993974849</v>
      </c>
      <c r="C92" s="2">
        <v>123456789</v>
      </c>
      <c r="D92" s="2">
        <v>123456789</v>
      </c>
    </row>
    <row r="93" spans="1:4" x14ac:dyDescent="0.45">
      <c r="A93" t="s">
        <v>226</v>
      </c>
      <c r="B93" s="21">
        <f>spliced_quartely_pmi_long!G93</f>
        <v>66.560400790286195</v>
      </c>
      <c r="C93" s="2">
        <v>123456789</v>
      </c>
      <c r="D93" s="2">
        <v>123456789</v>
      </c>
    </row>
    <row r="94" spans="1:4" x14ac:dyDescent="0.45">
      <c r="A94" t="s">
        <v>227</v>
      </c>
      <c r="B94" s="21">
        <f>spliced_quartely_pmi_long!G94</f>
        <v>67.257571359574484</v>
      </c>
      <c r="C94" s="2">
        <v>123456789</v>
      </c>
      <c r="D94" s="2">
        <v>123456789</v>
      </c>
    </row>
    <row r="95" spans="1:4" x14ac:dyDescent="0.45">
      <c r="A95" t="s">
        <v>228</v>
      </c>
      <c r="B95" s="21">
        <f>spliced_quartely_pmi_long!G95</f>
        <v>68.041724397641431</v>
      </c>
      <c r="C95" s="2">
        <v>123456789</v>
      </c>
      <c r="D95" s="2">
        <v>123456789</v>
      </c>
    </row>
    <row r="96" spans="1:4" x14ac:dyDescent="0.45">
      <c r="A96" t="s">
        <v>229</v>
      </c>
      <c r="B96" s="21">
        <f>spliced_quartely_pmi_long!G96</f>
        <v>68.612187993766995</v>
      </c>
      <c r="C96" s="2">
        <v>123456789</v>
      </c>
      <c r="D96" s="2">
        <v>123456789</v>
      </c>
    </row>
    <row r="97" spans="1:4" x14ac:dyDescent="0.45">
      <c r="A97" t="s">
        <v>230</v>
      </c>
      <c r="B97" s="21">
        <f>spliced_quartely_pmi_long!G97</f>
        <v>68.496367701999006</v>
      </c>
      <c r="C97" s="2">
        <v>123456789</v>
      </c>
      <c r="D97" s="2">
        <v>123456789</v>
      </c>
    </row>
    <row r="98" spans="1:4" x14ac:dyDescent="0.45">
      <c r="A98" t="s">
        <v>231</v>
      </c>
      <c r="B98" s="21">
        <f>spliced_quartely_pmi_long!G98</f>
        <v>69.134683889055736</v>
      </c>
      <c r="C98" s="2">
        <v>123456789</v>
      </c>
      <c r="D98" s="2">
        <v>123456789</v>
      </c>
    </row>
    <row r="99" spans="1:4" x14ac:dyDescent="0.45">
      <c r="A99" t="s">
        <v>232</v>
      </c>
      <c r="B99" s="21">
        <f>spliced_quartely_pmi_long!G99</f>
        <v>69.751997819016864</v>
      </c>
      <c r="C99" s="2">
        <v>123456789</v>
      </c>
      <c r="D99" s="2">
        <v>123456789</v>
      </c>
    </row>
    <row r="100" spans="1:4" x14ac:dyDescent="0.45">
      <c r="A100" t="s">
        <v>233</v>
      </c>
      <c r="B100" s="21">
        <f>spliced_quartely_pmi_long!G100</f>
        <v>69.876740767789229</v>
      </c>
      <c r="C100" s="2">
        <v>123456789</v>
      </c>
      <c r="D100" s="2">
        <v>123456789</v>
      </c>
    </row>
    <row r="101" spans="1:4" x14ac:dyDescent="0.45">
      <c r="A101" t="s">
        <v>234</v>
      </c>
      <c r="B101" s="21">
        <f>spliced_quartely_pmi_long!G101</f>
        <v>69.545852722605815</v>
      </c>
      <c r="C101" s="2">
        <v>123456789</v>
      </c>
      <c r="D101" s="2">
        <v>123456789</v>
      </c>
    </row>
    <row r="102" spans="1:4" x14ac:dyDescent="0.45">
      <c r="A102" t="s">
        <v>235</v>
      </c>
      <c r="B102" s="21">
        <f>spliced_quartely_pmi_long!G102</f>
        <v>68.920949311857441</v>
      </c>
      <c r="C102" s="2">
        <v>123456789</v>
      </c>
      <c r="D102" s="2">
        <v>123456789</v>
      </c>
    </row>
    <row r="103" spans="1:4" x14ac:dyDescent="0.45">
      <c r="A103" t="s">
        <v>236</v>
      </c>
      <c r="B103" s="21">
        <f>spliced_quartely_pmi_long!G103</f>
        <v>68.005978911214953</v>
      </c>
      <c r="C103" s="2">
        <v>123456789</v>
      </c>
      <c r="D103" s="2">
        <v>123456789</v>
      </c>
    </row>
    <row r="104" spans="1:4" x14ac:dyDescent="0.45">
      <c r="A104" t="s">
        <v>237</v>
      </c>
      <c r="B104" s="21">
        <f>spliced_quartely_pmi_long!G104</f>
        <v>68.158848471872062</v>
      </c>
      <c r="C104" s="2">
        <v>123456789</v>
      </c>
      <c r="D104" s="2">
        <v>123456789</v>
      </c>
    </row>
    <row r="105" spans="1:4" x14ac:dyDescent="0.45">
      <c r="A105" t="s">
        <v>238</v>
      </c>
      <c r="B105" s="21">
        <f>spliced_quartely_pmi_long!G105</f>
        <v>68.024406523951512</v>
      </c>
      <c r="C105" s="2">
        <v>123456789</v>
      </c>
      <c r="D105" s="2">
        <v>123456789</v>
      </c>
    </row>
    <row r="106" spans="1:4" x14ac:dyDescent="0.45">
      <c r="A106" t="s">
        <v>239</v>
      </c>
      <c r="B106" s="21">
        <f>spliced_quartely_pmi_long!G106</f>
        <v>68.259931083941893</v>
      </c>
      <c r="C106" s="2">
        <v>123456789</v>
      </c>
      <c r="D106" s="2">
        <v>123456789</v>
      </c>
    </row>
    <row r="107" spans="1:4" x14ac:dyDescent="0.45">
      <c r="A107" t="s">
        <v>240</v>
      </c>
      <c r="B107" s="21">
        <f>spliced_quartely_pmi_long!G107</f>
        <v>68.392352861414153</v>
      </c>
      <c r="C107" s="2">
        <v>123456789</v>
      </c>
      <c r="D107" s="2">
        <v>123456789</v>
      </c>
    </row>
    <row r="108" spans="1:4" x14ac:dyDescent="0.45">
      <c r="A108" t="s">
        <v>241</v>
      </c>
      <c r="B108" s="21">
        <f>spliced_quartely_pmi_long!G108</f>
        <v>68.089432660965727</v>
      </c>
      <c r="C108" s="2">
        <v>123456789</v>
      </c>
      <c r="D108" s="2">
        <v>123456789</v>
      </c>
    </row>
    <row r="109" spans="1:4" x14ac:dyDescent="0.45">
      <c r="A109" t="s">
        <v>242</v>
      </c>
      <c r="B109" s="21">
        <f>spliced_quartely_pmi_long!G109</f>
        <v>69.428400814749864</v>
      </c>
      <c r="C109" s="2">
        <v>123456789</v>
      </c>
      <c r="D109" s="2">
        <v>123456789</v>
      </c>
    </row>
    <row r="110" spans="1:4" x14ac:dyDescent="0.45">
      <c r="A110" t="s">
        <v>243</v>
      </c>
      <c r="B110" s="21">
        <f>spliced_quartely_pmi_long!G110</f>
        <v>70.603218552230928</v>
      </c>
      <c r="C110" s="2">
        <v>123456789</v>
      </c>
      <c r="D110" s="2">
        <v>123456789</v>
      </c>
    </row>
    <row r="111" spans="1:4" x14ac:dyDescent="0.45">
      <c r="A111" t="s">
        <v>244</v>
      </c>
      <c r="B111" s="21">
        <f>spliced_quartely_pmi_long!G111</f>
        <v>75.512889999999999</v>
      </c>
      <c r="C111" s="2">
        <v>123456789</v>
      </c>
      <c r="D111" s="2">
        <v>123456789</v>
      </c>
    </row>
    <row r="112" spans="1:4" x14ac:dyDescent="0.45">
      <c r="A112" t="s">
        <v>245</v>
      </c>
      <c r="B112" s="21">
        <f>spliced_quartely_pmi_long!G112</f>
        <v>71.993510000000001</v>
      </c>
      <c r="C112" s="2">
        <v>123456789</v>
      </c>
      <c r="D112" s="2">
        <v>123456789</v>
      </c>
    </row>
    <row r="113" spans="1:4" x14ac:dyDescent="0.45">
      <c r="A113" t="s">
        <v>246</v>
      </c>
      <c r="B113" s="21">
        <f>spliced_quartely_pmi_long!G113</f>
        <v>72.645489999999995</v>
      </c>
      <c r="C113" s="2">
        <v>123456789</v>
      </c>
      <c r="D113" s="2">
        <v>123456789</v>
      </c>
    </row>
    <row r="114" spans="1:4" x14ac:dyDescent="0.45">
      <c r="A114" t="s">
        <v>247</v>
      </c>
      <c r="B114" s="21">
        <f>spliced_quartely_pmi_long!G114</f>
        <v>70.328220000000002</v>
      </c>
      <c r="C114" s="2">
        <v>123456789</v>
      </c>
      <c r="D114" s="2">
        <v>123456789</v>
      </c>
    </row>
    <row r="115" spans="1:4" x14ac:dyDescent="0.45">
      <c r="A115" t="s">
        <v>248</v>
      </c>
      <c r="B115" s="21">
        <f>spliced_quartely_pmi_long!G115</f>
        <v>67.178780000000003</v>
      </c>
      <c r="C115" s="2">
        <v>123456789</v>
      </c>
      <c r="D115" s="2">
        <v>123456789</v>
      </c>
    </row>
    <row r="116" spans="1:4" x14ac:dyDescent="0.45">
      <c r="A116" t="s">
        <v>249</v>
      </c>
      <c r="B116" s="21">
        <f>spliced_quartely_pmi_long!G116</f>
        <v>61.114199999999997</v>
      </c>
      <c r="C116" s="2">
        <v>123456789</v>
      </c>
      <c r="D116" s="2">
        <v>123456789</v>
      </c>
    </row>
    <row r="117" spans="1:4" x14ac:dyDescent="0.45">
      <c r="A117" t="s">
        <v>250</v>
      </c>
      <c r="B117" s="21">
        <f>spliced_quartely_pmi_long!G117</f>
        <v>59.2697</v>
      </c>
      <c r="C117" s="2">
        <v>123456789</v>
      </c>
      <c r="D117" s="2">
        <v>123456789</v>
      </c>
    </row>
    <row r="118" spans="1:4" x14ac:dyDescent="0.45">
      <c r="A118" t="s">
        <v>251</v>
      </c>
      <c r="B118" s="21">
        <f>spliced_quartely_pmi_long!G118</f>
        <v>66.675030000000007</v>
      </c>
      <c r="C118" s="2">
        <v>123456789</v>
      </c>
      <c r="D118" s="2">
        <v>123456789</v>
      </c>
    </row>
    <row r="119" spans="1:4" x14ac:dyDescent="0.45">
      <c r="A119" t="s">
        <v>252</v>
      </c>
      <c r="B119" s="21">
        <f>spliced_quartely_pmi_long!G119</f>
        <v>73.121250000000003</v>
      </c>
      <c r="C119" s="2">
        <v>123456789</v>
      </c>
      <c r="D119" s="2">
        <v>123456789</v>
      </c>
    </row>
    <row r="120" spans="1:4" x14ac:dyDescent="0.45">
      <c r="A120" t="s">
        <v>253</v>
      </c>
      <c r="B120" s="21">
        <f>spliced_quartely_pmi_long!G120</f>
        <v>73.942689999999999</v>
      </c>
      <c r="C120" s="2">
        <v>123456789</v>
      </c>
      <c r="D120" s="2">
        <v>123456789</v>
      </c>
    </row>
    <row r="121" spans="1:4" x14ac:dyDescent="0.45">
      <c r="A121" t="s">
        <v>254</v>
      </c>
      <c r="B121" s="21">
        <f>spliced_quartely_pmi_long!G121</f>
        <v>72.455119999999994</v>
      </c>
      <c r="C121" s="2">
        <v>123456789</v>
      </c>
      <c r="D121" s="2">
        <v>123456789</v>
      </c>
    </row>
    <row r="122" spans="1:4" x14ac:dyDescent="0.45">
      <c r="A122" t="s">
        <v>255</v>
      </c>
      <c r="B122" s="21">
        <f>spliced_quartely_pmi_long!G122</f>
        <v>71.2149</v>
      </c>
      <c r="C122" s="2">
        <v>123456789</v>
      </c>
      <c r="D122" s="2">
        <v>123456789</v>
      </c>
    </row>
    <row r="123" spans="1:4" x14ac:dyDescent="0.45">
      <c r="A123" t="s">
        <v>256</v>
      </c>
      <c r="B123" s="21">
        <f>spliced_quartely_pmi_long!G123</f>
        <v>69.528239999999997</v>
      </c>
      <c r="C123" s="2">
        <v>123456789</v>
      </c>
      <c r="D123" s="2">
        <v>123456789</v>
      </c>
    </row>
    <row r="124" spans="1:4" x14ac:dyDescent="0.45">
      <c r="A124" t="s">
        <v>257</v>
      </c>
      <c r="B124" s="21">
        <f>spliced_quartely_pmi_long!G124</f>
        <v>69.061989999999994</v>
      </c>
      <c r="C124" s="2">
        <v>123456789</v>
      </c>
      <c r="D124" s="2">
        <v>123456789</v>
      </c>
    </row>
    <row r="125" spans="1:4" x14ac:dyDescent="0.45">
      <c r="A125" t="s">
        <v>258</v>
      </c>
      <c r="B125" s="21">
        <f>spliced_quartely_pmi_long!G125</f>
        <v>69.545429999999996</v>
      </c>
      <c r="C125" s="2">
        <v>123456789</v>
      </c>
      <c r="D125" s="2">
        <v>123456789</v>
      </c>
    </row>
    <row r="126" spans="1:4" x14ac:dyDescent="0.45">
      <c r="A126" t="s">
        <v>259</v>
      </c>
      <c r="B126" s="21">
        <f>spliced_quartely_pmi_long!G126</f>
        <v>69.690479999999994</v>
      </c>
      <c r="C126" s="2">
        <v>123456789</v>
      </c>
      <c r="D126" s="2">
        <v>123456789</v>
      </c>
    </row>
    <row r="127" spans="1:4" x14ac:dyDescent="0.45">
      <c r="A127" t="s">
        <v>260</v>
      </c>
      <c r="B127" s="21">
        <f>spliced_quartely_pmi_long!G127</f>
        <v>66.86739</v>
      </c>
      <c r="C127" s="2">
        <v>123456789</v>
      </c>
      <c r="D127" s="2">
        <v>123456789</v>
      </c>
    </row>
    <row r="128" spans="1:4" x14ac:dyDescent="0.45">
      <c r="A128" t="s">
        <v>261</v>
      </c>
      <c r="B128" s="21">
        <f>spliced_quartely_pmi_long!G128</f>
        <v>62.861080000000001</v>
      </c>
      <c r="C128" s="2">
        <v>123456789</v>
      </c>
      <c r="D128" s="2">
        <v>123456789</v>
      </c>
    </row>
    <row r="129" spans="1:4" x14ac:dyDescent="0.45">
      <c r="A129" t="s">
        <v>262</v>
      </c>
      <c r="B129" s="21">
        <f>spliced_quartely_pmi_long!G129</f>
        <v>61.591299999999997</v>
      </c>
      <c r="C129" s="2">
        <v>123456789</v>
      </c>
      <c r="D129" s="2">
        <v>123456789</v>
      </c>
    </row>
    <row r="130" spans="1:4" x14ac:dyDescent="0.45">
      <c r="A130" t="s">
        <v>263</v>
      </c>
      <c r="B130" s="21">
        <f>spliced_quartely_pmi_long!G130</f>
        <v>69.256649999999993</v>
      </c>
      <c r="C130" s="2">
        <v>123456789</v>
      </c>
      <c r="D130" s="2">
        <v>123456789</v>
      </c>
    </row>
    <row r="131" spans="1:4" x14ac:dyDescent="0.45">
      <c r="A131" t="s">
        <v>264</v>
      </c>
      <c r="B131" s="21">
        <f>spliced_quartely_pmi_long!G131</f>
        <v>71.119</v>
      </c>
      <c r="C131" s="2">
        <v>123456789</v>
      </c>
      <c r="D131" s="2">
        <v>123456789</v>
      </c>
    </row>
    <row r="132" spans="1:4" x14ac:dyDescent="0.45">
      <c r="A132" t="s">
        <v>265</v>
      </c>
      <c r="B132" s="21">
        <f>spliced_quartely_pmi_long!G132</f>
        <v>68.260670000000005</v>
      </c>
      <c r="C132" s="2">
        <v>123456789</v>
      </c>
      <c r="D132" s="2">
        <v>123456789</v>
      </c>
    </row>
    <row r="133" spans="1:4" x14ac:dyDescent="0.45">
      <c r="A133" t="s">
        <v>266</v>
      </c>
      <c r="B133" s="21">
        <f>spliced_quartely_pmi_long!G133</f>
        <v>66.764510000000001</v>
      </c>
      <c r="C133" s="2">
        <v>123456789</v>
      </c>
      <c r="D133" s="2">
        <v>123456789</v>
      </c>
    </row>
    <row r="134" spans="1:4" x14ac:dyDescent="0.45">
      <c r="A134" t="s">
        <v>267</v>
      </c>
      <c r="B134" s="21">
        <f>spliced_quartely_pmi_long!G134</f>
        <v>65.406199999999998</v>
      </c>
      <c r="C134" s="2">
        <v>123456789</v>
      </c>
      <c r="D134" s="2">
        <v>123456789</v>
      </c>
    </row>
    <row r="135" spans="1:4" x14ac:dyDescent="0.45">
      <c r="A135" t="s">
        <v>268</v>
      </c>
      <c r="B135" s="21">
        <f>spliced_quartely_pmi_long!G135</f>
        <v>67.943759999999997</v>
      </c>
      <c r="C135" s="2">
        <v>123456789</v>
      </c>
      <c r="D135" s="2">
        <v>123456789</v>
      </c>
    </row>
    <row r="136" spans="1:4" x14ac:dyDescent="0.45">
      <c r="A136" t="s">
        <v>269</v>
      </c>
      <c r="B136" s="21">
        <f>spliced_quartely_pmi_long!G136</f>
        <v>70.631569999999996</v>
      </c>
      <c r="C136" s="2">
        <v>123456789</v>
      </c>
      <c r="D136" s="2">
        <v>123456789</v>
      </c>
    </row>
    <row r="137" spans="1:4" x14ac:dyDescent="0.45">
      <c r="A137" t="s">
        <v>270</v>
      </c>
      <c r="B137" s="21">
        <f>spliced_quartely_pmi_long!G137</f>
        <v>73.752750000000006</v>
      </c>
      <c r="C137" s="2">
        <v>123456789</v>
      </c>
      <c r="D137" s="2">
        <v>123456789</v>
      </c>
    </row>
    <row r="138" spans="1:4" x14ac:dyDescent="0.45">
      <c r="A138" t="s">
        <v>271</v>
      </c>
      <c r="B138" s="21">
        <f>spliced_quartely_pmi_long!G138</f>
        <v>74.298199999999994</v>
      </c>
      <c r="C138" s="2">
        <v>123456789</v>
      </c>
      <c r="D138" s="2">
        <v>123456789</v>
      </c>
    </row>
    <row r="139" spans="1:4" x14ac:dyDescent="0.45">
      <c r="A139" t="s">
        <v>272</v>
      </c>
      <c r="B139" s="21">
        <f>spliced_quartely_pmi_long!G139</f>
        <v>72.741029999999995</v>
      </c>
      <c r="C139" s="2">
        <v>123456789</v>
      </c>
      <c r="D139" s="2">
        <v>123456789</v>
      </c>
    </row>
    <row r="140" spans="1:4" x14ac:dyDescent="0.45">
      <c r="A140" t="s">
        <v>273</v>
      </c>
      <c r="B140" s="21">
        <f>spliced_quartely_pmi_long!G140</f>
        <v>70.569659999999999</v>
      </c>
      <c r="C140" s="2">
        <v>123456789</v>
      </c>
      <c r="D140" s="2">
        <v>123456789</v>
      </c>
    </row>
    <row r="141" spans="1:4" x14ac:dyDescent="0.45">
      <c r="A141" t="s">
        <v>274</v>
      </c>
      <c r="B141" s="21">
        <f>spliced_quartely_pmi_long!G141</f>
        <v>69.936390000000003</v>
      </c>
      <c r="C141" s="2">
        <v>123456789</v>
      </c>
      <c r="D141" s="2">
        <v>123456789</v>
      </c>
    </row>
    <row r="142" spans="1:4" x14ac:dyDescent="0.45">
      <c r="A142" t="s">
        <v>275</v>
      </c>
      <c r="B142" s="21">
        <f>spliced_quartely_pmi_long!G142</f>
        <v>70.904899999999998</v>
      </c>
      <c r="C142" s="2">
        <v>123456789</v>
      </c>
      <c r="D142" s="2">
        <v>123456789</v>
      </c>
    </row>
    <row r="143" spans="1:4" x14ac:dyDescent="0.45">
      <c r="A143" t="s">
        <v>276</v>
      </c>
      <c r="B143" s="21">
        <f>spliced_quartely_pmi_long!G143</f>
        <v>67.291219999999996</v>
      </c>
      <c r="C143" s="2">
        <v>123456789</v>
      </c>
      <c r="D143" s="2">
        <v>123456789</v>
      </c>
    </row>
    <row r="144" spans="1:4" x14ac:dyDescent="0.45">
      <c r="A144" t="s">
        <v>277</v>
      </c>
      <c r="B144" s="21">
        <f>spliced_quartely_pmi_long!G144</f>
        <v>68.835080000000005</v>
      </c>
      <c r="C144" s="2">
        <v>123456789</v>
      </c>
      <c r="D144" s="2">
        <v>123456789</v>
      </c>
    </row>
    <row r="145" spans="1:4" x14ac:dyDescent="0.45">
      <c r="A145" t="s">
        <v>278</v>
      </c>
      <c r="B145" s="21">
        <f>spliced_quartely_pmi_long!G145</f>
        <v>68.99973</v>
      </c>
      <c r="C145" s="2">
        <v>123456789</v>
      </c>
      <c r="D145" s="2">
        <v>123456789</v>
      </c>
    </row>
    <row r="146" spans="1:4" x14ac:dyDescent="0.45">
      <c r="A146" t="s">
        <v>279</v>
      </c>
      <c r="B146" s="21">
        <f>spliced_quartely_pmi_long!G146</f>
        <v>70.082149999999999</v>
      </c>
      <c r="C146" s="2">
        <v>123456789</v>
      </c>
      <c r="D146" s="2">
        <v>123456789</v>
      </c>
    </row>
    <row r="147" spans="1:4" x14ac:dyDescent="0.45">
      <c r="A147" t="s">
        <v>280</v>
      </c>
      <c r="B147" s="21">
        <f>spliced_quartely_pmi_long!G147</f>
        <v>70.454030000000003</v>
      </c>
      <c r="C147" s="2">
        <v>123456789</v>
      </c>
      <c r="D147" s="2">
        <v>123456789</v>
      </c>
    </row>
    <row r="148" spans="1:4" x14ac:dyDescent="0.45">
      <c r="A148" t="s">
        <v>281</v>
      </c>
      <c r="B148" s="21">
        <f>spliced_quartely_pmi_long!G148</f>
        <v>68.515010000000004</v>
      </c>
      <c r="C148" s="2">
        <v>123456789</v>
      </c>
      <c r="D148" s="2">
        <v>123456789</v>
      </c>
    </row>
    <row r="149" spans="1:4" x14ac:dyDescent="0.45">
      <c r="A149" t="s">
        <v>282</v>
      </c>
      <c r="B149" s="21">
        <f>spliced_quartely_pmi_long!G149</f>
        <v>72.271230000000003</v>
      </c>
      <c r="C149" s="2">
        <v>123456789</v>
      </c>
      <c r="D149" s="2">
        <v>123456789</v>
      </c>
    </row>
    <row r="150" spans="1:4" x14ac:dyDescent="0.45">
      <c r="A150" t="s">
        <v>283</v>
      </c>
      <c r="B150" s="21">
        <f>spliced_quartely_pmi_long!G150</f>
        <v>71.583280000000002</v>
      </c>
      <c r="C150" s="2">
        <v>123456789</v>
      </c>
      <c r="D150" s="2">
        <v>123456789</v>
      </c>
    </row>
    <row r="151" spans="1:4" x14ac:dyDescent="0.45">
      <c r="A151" t="s">
        <v>284</v>
      </c>
      <c r="B151" s="21">
        <f>spliced_quartely_pmi_long!G151</f>
        <v>70.073719999999994</v>
      </c>
      <c r="C151" s="2">
        <v>123456789</v>
      </c>
      <c r="D151" s="2">
        <v>123456789</v>
      </c>
    </row>
    <row r="152" spans="1:4" x14ac:dyDescent="0.45">
      <c r="A152" t="s">
        <v>285</v>
      </c>
      <c r="B152" s="21">
        <f>spliced_quartely_pmi_long!G152</f>
        <v>70.176119999999997</v>
      </c>
      <c r="C152" s="2">
        <v>123456789</v>
      </c>
      <c r="D152" s="2">
        <v>123456789</v>
      </c>
    </row>
    <row r="153" spans="1:4" x14ac:dyDescent="0.45">
      <c r="A153" t="s">
        <v>286</v>
      </c>
      <c r="B153" s="21">
        <f>spliced_quartely_pmi_long!G153</f>
        <v>66.935280000000006</v>
      </c>
      <c r="C153" s="2">
        <v>123456789</v>
      </c>
      <c r="D153" s="2">
        <v>123456789</v>
      </c>
    </row>
    <row r="154" spans="1:4" x14ac:dyDescent="0.45">
      <c r="A154" t="s">
        <v>287</v>
      </c>
      <c r="B154" s="21">
        <f>spliced_quartely_pmi_long!G154</f>
        <v>63.757910000000003</v>
      </c>
      <c r="C154" s="2">
        <v>123456789</v>
      </c>
      <c r="D154" s="2">
        <v>123456789</v>
      </c>
    </row>
    <row r="155" spans="1:4" x14ac:dyDescent="0.45">
      <c r="A155" t="s">
        <v>288</v>
      </c>
      <c r="B155" s="21">
        <f>spliced_quartely_pmi_long!G155</f>
        <v>59.90325</v>
      </c>
      <c r="C155" s="2">
        <v>123456789</v>
      </c>
      <c r="D155" s="2">
        <v>123456789</v>
      </c>
    </row>
    <row r="156" spans="1:4" x14ac:dyDescent="0.45">
      <c r="A156" t="s">
        <v>289</v>
      </c>
      <c r="B156" s="21">
        <f>spliced_quartely_pmi_long!G156</f>
        <v>54.915280000000003</v>
      </c>
      <c r="C156" s="2">
        <v>123456789</v>
      </c>
      <c r="D156" s="2">
        <v>123456789</v>
      </c>
    </row>
    <row r="157" spans="1:4" x14ac:dyDescent="0.45">
      <c r="A157" t="s">
        <v>290</v>
      </c>
      <c r="B157" s="21">
        <f>spliced_quartely_pmi_long!G157</f>
        <v>47.144919999999999</v>
      </c>
      <c r="C157" s="2">
        <v>123456789</v>
      </c>
      <c r="D157" s="2">
        <v>123456789</v>
      </c>
    </row>
    <row r="158" spans="1:4" x14ac:dyDescent="0.45">
      <c r="A158" t="s">
        <v>291</v>
      </c>
      <c r="B158" s="21">
        <f>spliced_quartely_pmi_long!G158</f>
        <v>53.139110000000002</v>
      </c>
      <c r="C158" s="2">
        <v>123456789</v>
      </c>
      <c r="D158" s="2">
        <v>123456789</v>
      </c>
    </row>
    <row r="159" spans="1:4" x14ac:dyDescent="0.45">
      <c r="A159" t="s">
        <v>292</v>
      </c>
      <c r="B159" s="21">
        <f>spliced_quartely_pmi_long!G159</f>
        <v>64.617750000000001</v>
      </c>
      <c r="C159" s="2">
        <v>123456789</v>
      </c>
      <c r="D159" s="2">
        <v>123456789</v>
      </c>
    </row>
    <row r="160" spans="1:4" x14ac:dyDescent="0.45">
      <c r="A160" t="s">
        <v>293</v>
      </c>
      <c r="B160" s="21">
        <f>spliced_quartely_pmi_long!G160</f>
        <v>69.048370000000006</v>
      </c>
      <c r="C160" s="2">
        <v>123456789</v>
      </c>
      <c r="D160" s="2">
        <v>123456789</v>
      </c>
    </row>
    <row r="161" spans="1:4" x14ac:dyDescent="0.45">
      <c r="A161" t="s">
        <v>294</v>
      </c>
      <c r="B161" s="21">
        <f>spliced_quartely_pmi_long!G161</f>
        <v>69.79598</v>
      </c>
      <c r="C161" s="2">
        <v>123456789</v>
      </c>
      <c r="D161" s="2">
        <v>123456789</v>
      </c>
    </row>
    <row r="162" spans="1:4" x14ac:dyDescent="0.45">
      <c r="A162" t="s">
        <v>295</v>
      </c>
      <c r="B162" s="21">
        <f>spliced_quartely_pmi_long!G162</f>
        <v>70.96499</v>
      </c>
      <c r="C162" s="2">
        <v>123456789</v>
      </c>
      <c r="D162" s="2">
        <v>123456789</v>
      </c>
    </row>
    <row r="163" spans="1:4" x14ac:dyDescent="0.45">
      <c r="A163" t="s">
        <v>296</v>
      </c>
      <c r="B163" s="21">
        <f>spliced_quartely_pmi_long!G163</f>
        <v>66.988590000000002</v>
      </c>
      <c r="C163" s="2">
        <v>123456789</v>
      </c>
      <c r="D163" s="2">
        <v>123456789</v>
      </c>
    </row>
    <row r="164" spans="1:4" x14ac:dyDescent="0.45">
      <c r="A164" t="s">
        <v>297</v>
      </c>
      <c r="B164" s="21">
        <f>spliced_quartely_pmi_long!G164</f>
        <v>63.35313</v>
      </c>
      <c r="C164" s="2">
        <v>123456789</v>
      </c>
      <c r="D164" s="2">
        <v>123456789</v>
      </c>
    </row>
    <row r="165" spans="1:4" x14ac:dyDescent="0.45">
      <c r="A165" t="s">
        <v>298</v>
      </c>
      <c r="B165" s="21">
        <f>spliced_quartely_pmi_long!G165</f>
        <v>64.512150000000005</v>
      </c>
      <c r="C165" s="2">
        <v>123456789</v>
      </c>
      <c r="D165" s="2">
        <v>123456789</v>
      </c>
    </row>
    <row r="166" spans="1:4" x14ac:dyDescent="0.45">
      <c r="A166" t="s">
        <v>299</v>
      </c>
      <c r="B166" s="21">
        <f>spliced_quartely_pmi_long!G166</f>
        <v>67.717889999999997</v>
      </c>
      <c r="C166" s="2">
        <v>123456789</v>
      </c>
      <c r="D166" s="2">
        <v>123456789</v>
      </c>
    </row>
    <row r="167" spans="1:4" x14ac:dyDescent="0.45">
      <c r="A167" t="s">
        <v>300</v>
      </c>
      <c r="B167" s="21">
        <f>spliced_quartely_pmi_long!G167</f>
        <v>64.848320000000001</v>
      </c>
      <c r="C167" s="2">
        <v>123456789</v>
      </c>
      <c r="D167" s="2">
        <v>123456789</v>
      </c>
    </row>
    <row r="168" spans="1:4" x14ac:dyDescent="0.45">
      <c r="A168" t="s">
        <v>301</v>
      </c>
      <c r="B168" s="21">
        <f>spliced_quartely_pmi_long!G168</f>
        <v>62.307949999999998</v>
      </c>
      <c r="C168" s="2">
        <v>123456789</v>
      </c>
      <c r="D168" s="2">
        <v>123456789</v>
      </c>
    </row>
    <row r="169" spans="1:4" x14ac:dyDescent="0.45">
      <c r="A169" t="s">
        <v>302</v>
      </c>
      <c r="B169" s="21">
        <f>spliced_quartely_pmi_long!G169</f>
        <v>62.938740000000003</v>
      </c>
      <c r="C169" s="2">
        <v>123456789</v>
      </c>
      <c r="D169" s="2">
        <v>123456789</v>
      </c>
    </row>
    <row r="170" spans="1:4" x14ac:dyDescent="0.45">
      <c r="A170" t="s">
        <v>303</v>
      </c>
      <c r="B170" s="21">
        <f>spliced_quartely_pmi_long!G170</f>
        <v>67.446389999999994</v>
      </c>
      <c r="C170" s="2">
        <v>123456789</v>
      </c>
      <c r="D170" s="2">
        <v>123456789</v>
      </c>
    </row>
    <row r="171" spans="1:4" x14ac:dyDescent="0.45">
      <c r="A171" t="s">
        <v>304</v>
      </c>
      <c r="B171" s="21">
        <f>spliced_quartely_pmi_long!G171</f>
        <v>64.797719999999998</v>
      </c>
      <c r="C171" s="2">
        <v>123456789</v>
      </c>
      <c r="D171" s="2">
        <v>123456789</v>
      </c>
    </row>
    <row r="172" spans="1:4" x14ac:dyDescent="0.45">
      <c r="A172" t="s">
        <v>305</v>
      </c>
      <c r="B172" s="21">
        <f>spliced_quartely_pmi_long!G172</f>
        <v>66.530940000000001</v>
      </c>
      <c r="C172" s="2">
        <v>123456789</v>
      </c>
      <c r="D172" s="2">
        <v>123456789</v>
      </c>
    </row>
    <row r="173" spans="1:4" x14ac:dyDescent="0.45">
      <c r="A173" t="s">
        <v>306</v>
      </c>
      <c r="B173" s="21">
        <f>spliced_quartely_pmi_long!G173</f>
        <v>65.056190000000001</v>
      </c>
      <c r="C173" s="2">
        <v>123456789</v>
      </c>
      <c r="D173" s="2">
        <v>123456789</v>
      </c>
    </row>
    <row r="174" spans="1:4" x14ac:dyDescent="0.45">
      <c r="A174" t="s">
        <v>307</v>
      </c>
      <c r="B174" s="21">
        <f>spliced_quartely_pmi_long!G174</f>
        <v>68.316630000000004</v>
      </c>
      <c r="C174" s="2">
        <v>123456789</v>
      </c>
      <c r="D174" s="2">
        <v>123456789</v>
      </c>
    </row>
    <row r="175" spans="1:4" x14ac:dyDescent="0.45">
      <c r="A175" t="s">
        <v>308</v>
      </c>
      <c r="B175" s="21">
        <f>spliced_quartely_pmi_long!G175</f>
        <v>69.363720000000001</v>
      </c>
      <c r="C175" s="2">
        <v>123456789</v>
      </c>
      <c r="D175" s="2">
        <v>123456789</v>
      </c>
    </row>
    <row r="176" spans="1:4" x14ac:dyDescent="0.45">
      <c r="A176" t="s">
        <v>309</v>
      </c>
      <c r="B176" s="21">
        <f>spliced_quartely_pmi_long!G176</f>
        <v>72.179389999999998</v>
      </c>
      <c r="C176" s="2">
        <v>123456789</v>
      </c>
      <c r="D176" s="2">
        <v>123456789</v>
      </c>
    </row>
    <row r="177" spans="1:4" x14ac:dyDescent="0.45">
      <c r="A177" t="s">
        <v>310</v>
      </c>
      <c r="B177" s="21">
        <f>spliced_quartely_pmi_long!G177</f>
        <v>72.596770000000006</v>
      </c>
      <c r="C177" s="2">
        <v>123456789</v>
      </c>
      <c r="D177" s="2">
        <v>123456789</v>
      </c>
    </row>
    <row r="178" spans="1:4" x14ac:dyDescent="0.45">
      <c r="A178" t="s">
        <v>311</v>
      </c>
      <c r="B178" s="21">
        <f>spliced_quartely_pmi_long!G178</f>
        <v>75.036330000000007</v>
      </c>
      <c r="C178" s="2">
        <v>123456789</v>
      </c>
      <c r="D178" s="2">
        <v>123456789</v>
      </c>
    </row>
    <row r="179" spans="1:4" x14ac:dyDescent="0.45">
      <c r="A179" t="s">
        <v>312</v>
      </c>
      <c r="B179" s="21">
        <f>spliced_quartely_pmi_long!G179</f>
        <v>74.329220000000007</v>
      </c>
      <c r="C179" s="2">
        <v>123456789</v>
      </c>
      <c r="D179" s="2">
        <v>123456789</v>
      </c>
    </row>
    <row r="180" spans="1:4" x14ac:dyDescent="0.45">
      <c r="A180" t="s">
        <v>313</v>
      </c>
      <c r="B180" s="21">
        <f>spliced_quartely_pmi_long!G180</f>
        <v>71.651539999999997</v>
      </c>
      <c r="C180" s="2">
        <v>123456789</v>
      </c>
      <c r="D180" s="2">
        <v>123456789</v>
      </c>
    </row>
    <row r="181" spans="1:4" x14ac:dyDescent="0.45">
      <c r="A181" t="s">
        <v>314</v>
      </c>
      <c r="B181" s="21">
        <f>spliced_quartely_pmi_long!G181</f>
        <v>70.643510000000006</v>
      </c>
      <c r="C181" s="2">
        <v>123456789</v>
      </c>
      <c r="D181" s="2">
        <v>123456789</v>
      </c>
    </row>
    <row r="182" spans="1:4" x14ac:dyDescent="0.45">
      <c r="A182" t="s">
        <v>315</v>
      </c>
      <c r="B182" s="21">
        <f>spliced_quartely_pmi_long!G182</f>
        <v>71.949489999999997</v>
      </c>
      <c r="C182" s="2">
        <v>123456789</v>
      </c>
      <c r="D182" s="2">
        <v>123456789</v>
      </c>
    </row>
    <row r="183" spans="1:4" x14ac:dyDescent="0.45">
      <c r="A183" t="s">
        <v>316</v>
      </c>
      <c r="B183" s="21">
        <f>spliced_quartely_pmi_long!G183</f>
        <v>71.746589999999998</v>
      </c>
      <c r="C183" s="2">
        <v>123456789</v>
      </c>
      <c r="D183" s="2">
        <v>123456789</v>
      </c>
    </row>
    <row r="184" spans="1:4" x14ac:dyDescent="0.45">
      <c r="A184" t="s">
        <v>317</v>
      </c>
      <c r="B184" s="21">
        <f>spliced_quartely_pmi_long!G184</f>
        <v>70.62406</v>
      </c>
      <c r="C184" s="2">
        <v>123456789</v>
      </c>
      <c r="D184" s="2">
        <v>123456789</v>
      </c>
    </row>
    <row r="185" spans="1:4" x14ac:dyDescent="0.45">
      <c r="A185" t="s">
        <v>318</v>
      </c>
      <c r="B185" s="21">
        <f>spliced_quartely_pmi_long!G185</f>
        <v>68.799350000000004</v>
      </c>
      <c r="C185" s="2">
        <v>123456789</v>
      </c>
      <c r="D185" s="2">
        <v>123456789</v>
      </c>
    </row>
    <row r="186" spans="1:4" x14ac:dyDescent="0.45">
      <c r="A186" t="s">
        <v>319</v>
      </c>
      <c r="B186" s="21">
        <f>spliced_quartely_pmi_long!G186</f>
        <v>68.549930000000003</v>
      </c>
      <c r="C186" s="2">
        <v>123456789</v>
      </c>
      <c r="D186" s="2">
        <v>123456789</v>
      </c>
    </row>
    <row r="187" spans="1:4" x14ac:dyDescent="0.45">
      <c r="A187" t="s">
        <v>320</v>
      </c>
      <c r="B187" s="21">
        <f>spliced_quartely_pmi_long!G187</f>
        <v>68.922139999999999</v>
      </c>
      <c r="C187" s="2">
        <v>123456789</v>
      </c>
      <c r="D187" s="2">
        <v>123456789</v>
      </c>
    </row>
    <row r="188" spans="1:4" x14ac:dyDescent="0.45">
      <c r="A188" t="s">
        <v>321</v>
      </c>
      <c r="B188" s="21">
        <f>spliced_quartely_pmi_long!G188</f>
        <v>64.146889999999999</v>
      </c>
      <c r="C188" s="2">
        <v>123456789</v>
      </c>
      <c r="D188" s="2">
        <v>123456789</v>
      </c>
    </row>
    <row r="189" spans="1:4" x14ac:dyDescent="0.45">
      <c r="A189" t="s">
        <v>322</v>
      </c>
      <c r="B189" s="21">
        <f>spliced_quartely_pmi_long!G189</f>
        <v>68.094380000000001</v>
      </c>
      <c r="C189" s="2">
        <v>123456789</v>
      </c>
      <c r="D189" s="2">
        <v>123456789</v>
      </c>
    </row>
    <row r="190" spans="1:4" x14ac:dyDescent="0.45">
      <c r="A190" t="s">
        <v>323</v>
      </c>
      <c r="B190" s="21">
        <f>spliced_quartely_pmi_long!G190</f>
        <v>70.791110000000003</v>
      </c>
      <c r="C190" s="2">
        <v>123456789</v>
      </c>
      <c r="D190" s="2">
        <v>123456789</v>
      </c>
    </row>
    <row r="191" spans="1:4" x14ac:dyDescent="0.45">
      <c r="A191" t="s">
        <v>324</v>
      </c>
      <c r="B191" s="21">
        <f>spliced_quartely_pmi_long!G191</f>
        <v>67.382069999999999</v>
      </c>
      <c r="C191" s="2">
        <v>123456789</v>
      </c>
      <c r="D191" s="2">
        <v>123456789</v>
      </c>
    </row>
    <row r="192" spans="1:4" x14ac:dyDescent="0.45">
      <c r="A192" t="s">
        <v>325</v>
      </c>
      <c r="B192" s="21">
        <f>spliced_quartely_pmi_long!G192</f>
        <v>65.882130000000004</v>
      </c>
      <c r="C192" s="2">
        <v>123456789</v>
      </c>
      <c r="D192" s="2">
        <v>123456789</v>
      </c>
    </row>
    <row r="193" spans="1:4" x14ac:dyDescent="0.45">
      <c r="A193" t="s">
        <v>326</v>
      </c>
      <c r="B193" s="21">
        <f>spliced_quartely_pmi_long!G193</f>
        <v>66.510999999999996</v>
      </c>
      <c r="C193" s="2">
        <v>123456789</v>
      </c>
      <c r="D193" s="2">
        <v>123456789</v>
      </c>
    </row>
    <row r="194" spans="1:4" x14ac:dyDescent="0.45">
      <c r="A194" t="s">
        <v>327</v>
      </c>
      <c r="B194" s="21">
        <f>spliced_quartely_pmi_long!G194</f>
        <v>68.213419999999999</v>
      </c>
      <c r="C194" s="2">
        <v>123456789</v>
      </c>
      <c r="D194" s="2">
        <v>123456789</v>
      </c>
    </row>
    <row r="195" spans="1:4" x14ac:dyDescent="0.45">
      <c r="A195" t="s">
        <v>328</v>
      </c>
      <c r="B195" s="21">
        <f>spliced_quartely_pmi_long!G195</f>
        <v>67.456919999999997</v>
      </c>
      <c r="C195" s="2">
        <v>123456789</v>
      </c>
      <c r="D195" s="2">
        <v>123456789</v>
      </c>
    </row>
    <row r="196" spans="1:4" x14ac:dyDescent="0.45">
      <c r="A196" t="s">
        <v>329</v>
      </c>
      <c r="B196" s="21">
        <f>spliced_quartely_pmi_long!G196</f>
        <v>66.536379999999994</v>
      </c>
      <c r="C196" s="2">
        <v>123456789</v>
      </c>
      <c r="D196" s="2">
        <v>123456789</v>
      </c>
    </row>
    <row r="197" spans="1:4" x14ac:dyDescent="0.45">
      <c r="A197" t="s">
        <v>330</v>
      </c>
      <c r="B197" s="21">
        <f>spliced_quartely_pmi_long!G197</f>
        <v>62.554499999999997</v>
      </c>
      <c r="C197" s="2">
        <v>123456789</v>
      </c>
      <c r="D197" s="2">
        <v>123456789</v>
      </c>
    </row>
    <row r="198" spans="1:4" x14ac:dyDescent="0.45">
      <c r="A198" t="s">
        <v>331</v>
      </c>
      <c r="B198" s="21">
        <f>spliced_quartely_pmi_long!G198</f>
        <v>61.865650000000002</v>
      </c>
      <c r="C198" s="2">
        <v>123456789</v>
      </c>
      <c r="D198" s="2">
        <v>123456789</v>
      </c>
    </row>
    <row r="199" spans="1:4" x14ac:dyDescent="0.45">
      <c r="A199" t="s">
        <v>332</v>
      </c>
      <c r="B199" s="21">
        <f>spliced_quartely_pmi_long!G199</f>
        <v>65.337119999999999</v>
      </c>
      <c r="C199" s="2">
        <v>123456789</v>
      </c>
      <c r="D199" s="2">
        <v>123456789</v>
      </c>
    </row>
    <row r="200" spans="1:4" x14ac:dyDescent="0.45">
      <c r="A200" t="s">
        <v>333</v>
      </c>
      <c r="B200" s="21">
        <f>spliced_quartely_pmi_long!G200</f>
        <v>61.70581</v>
      </c>
      <c r="C200" s="2">
        <v>123456789</v>
      </c>
      <c r="D200" s="2">
        <v>123456789</v>
      </c>
    </row>
    <row r="201" spans="1:4" x14ac:dyDescent="0.45">
      <c r="A201" t="s">
        <v>334</v>
      </c>
      <c r="B201" s="21">
        <f>spliced_quartely_pmi_long!G201</f>
        <v>64.184740000000005</v>
      </c>
      <c r="C201" s="2">
        <v>123456789</v>
      </c>
      <c r="D201" s="2">
        <v>123456789</v>
      </c>
    </row>
    <row r="202" spans="1:4" x14ac:dyDescent="0.45">
      <c r="A202" t="s">
        <v>335</v>
      </c>
      <c r="B202" s="21">
        <f>spliced_quartely_pmi_long!G202</f>
        <v>64.264849999999996</v>
      </c>
      <c r="C202" s="2">
        <v>123456789</v>
      </c>
      <c r="D202" s="2">
        <v>123456789</v>
      </c>
    </row>
    <row r="203" spans="1:4" x14ac:dyDescent="0.45">
      <c r="A203" t="s">
        <v>336</v>
      </c>
      <c r="B203" s="21">
        <f>spliced_quartely_pmi_long!G203</f>
        <v>60.230699999999999</v>
      </c>
      <c r="C203" s="2">
        <v>123456789</v>
      </c>
      <c r="D203" s="2">
        <v>123456789</v>
      </c>
    </row>
    <row r="204" spans="1:4" x14ac:dyDescent="0.45">
      <c r="A204" t="s">
        <v>337</v>
      </c>
      <c r="B204" s="21">
        <f>spliced_quartely_pmi_long!G204</f>
        <v>68.584990000000005</v>
      </c>
      <c r="C204" s="2">
        <v>123456789</v>
      </c>
      <c r="D204" s="2">
        <v>123456789</v>
      </c>
    </row>
    <row r="205" spans="1:4" x14ac:dyDescent="0.45">
      <c r="A205" t="s">
        <v>338</v>
      </c>
      <c r="B205" s="21">
        <f>spliced_quartely_pmi_long!G205</f>
        <v>71.022379999999998</v>
      </c>
      <c r="C205" s="2">
        <v>123456789</v>
      </c>
      <c r="D205" s="2">
        <v>123456789</v>
      </c>
    </row>
    <row r="206" spans="1:4" x14ac:dyDescent="0.45">
      <c r="A206" t="s">
        <v>339</v>
      </c>
      <c r="B206" s="21">
        <f>spliced_quartely_pmi_long!G206</f>
        <v>76.485889999999998</v>
      </c>
      <c r="C206" s="2">
        <v>123456789</v>
      </c>
      <c r="D206" s="2">
        <v>123456789</v>
      </c>
    </row>
    <row r="207" spans="1:4" x14ac:dyDescent="0.45">
      <c r="A207" t="s">
        <v>340</v>
      </c>
      <c r="B207" s="21">
        <f>spliced_quartely_pmi_long!G207</f>
        <v>78.281400000000005</v>
      </c>
      <c r="C207" s="2">
        <v>123456789</v>
      </c>
      <c r="D207" s="2">
        <v>123456789</v>
      </c>
    </row>
    <row r="208" spans="1:4" x14ac:dyDescent="0.45">
      <c r="A208" t="s">
        <v>341</v>
      </c>
      <c r="B208" s="21">
        <f>spliced_quartely_pmi_long!G208</f>
        <v>75.536469999999994</v>
      </c>
      <c r="C208" s="2">
        <v>123456789</v>
      </c>
      <c r="D208" s="2">
        <v>123456789</v>
      </c>
    </row>
    <row r="209" spans="1:4" x14ac:dyDescent="0.45">
      <c r="A209" t="s">
        <v>342</v>
      </c>
      <c r="B209" s="21">
        <f>spliced_quartely_pmi_long!G209</f>
        <v>73.914349999999999</v>
      </c>
      <c r="C209" s="2">
        <v>123456789</v>
      </c>
      <c r="D209" s="2">
        <v>123456789</v>
      </c>
    </row>
    <row r="210" spans="1:4" x14ac:dyDescent="0.45">
      <c r="A210" t="s">
        <v>343</v>
      </c>
      <c r="B210" s="21">
        <f>spliced_quartely_pmi_long!G210</f>
        <v>74.950050000000005</v>
      </c>
      <c r="C210" s="2">
        <v>123456789</v>
      </c>
      <c r="D210" s="2">
        <v>123456789</v>
      </c>
    </row>
    <row r="211" spans="1:4" x14ac:dyDescent="0.45">
      <c r="A211" t="s">
        <v>344</v>
      </c>
      <c r="B211" s="21">
        <f>spliced_quartely_pmi_long!G211</f>
        <v>66.730310000000003</v>
      </c>
      <c r="C211" s="2">
        <v>123456789</v>
      </c>
      <c r="D211" s="2">
        <v>123456789</v>
      </c>
    </row>
    <row r="212" spans="1:4" x14ac:dyDescent="0.45">
      <c r="A212" t="s">
        <v>345</v>
      </c>
      <c r="B212" s="21">
        <f>spliced_quartely_pmi_long!G212</f>
        <v>63.198309999999999</v>
      </c>
      <c r="C212" s="2">
        <v>123456789</v>
      </c>
      <c r="D212" s="2">
        <v>123456789</v>
      </c>
    </row>
    <row r="213" spans="1:4" x14ac:dyDescent="0.45">
      <c r="A213" t="s">
        <v>346</v>
      </c>
      <c r="B213" s="21">
        <f>spliced_quartely_pmi_long!G213</f>
        <v>60.173999999999999</v>
      </c>
      <c r="C213" s="2">
        <v>123456789</v>
      </c>
      <c r="D213" s="2">
        <v>123456789</v>
      </c>
    </row>
    <row r="214" spans="1:4" x14ac:dyDescent="0.45">
      <c r="A214" t="s">
        <v>347</v>
      </c>
      <c r="B214" s="21">
        <f>spliced_quartely_pmi_long!G214</f>
        <v>69.881730000000005</v>
      </c>
      <c r="C214" s="2">
        <v>123456789</v>
      </c>
      <c r="D214" s="2">
        <v>123456789</v>
      </c>
    </row>
    <row r="215" spans="1:4" x14ac:dyDescent="0.45">
      <c r="A215" t="s">
        <v>348</v>
      </c>
      <c r="B215" s="21">
        <f>spliced_quartely_pmi_long!G215</f>
        <v>70.515339999999995</v>
      </c>
      <c r="C215" s="2">
        <v>123456789</v>
      </c>
      <c r="D215" s="2">
        <v>123456789</v>
      </c>
    </row>
    <row r="216" spans="1:4" x14ac:dyDescent="0.45">
      <c r="A216" t="s">
        <v>349</v>
      </c>
      <c r="B216" s="21">
        <f>spliced_quartely_pmi_long!G216</f>
        <v>68.878299999999996</v>
      </c>
      <c r="C216" s="2">
        <v>123456789</v>
      </c>
      <c r="D216" s="2">
        <v>123456789</v>
      </c>
    </row>
    <row r="217" spans="1:4" x14ac:dyDescent="0.45">
      <c r="A217" t="s">
        <v>350</v>
      </c>
      <c r="B217" s="21">
        <f>spliced_quartely_pmi_long!G217</f>
        <v>68.286090000000002</v>
      </c>
      <c r="C217" s="2">
        <v>123456789</v>
      </c>
      <c r="D217" s="2">
        <v>123456789</v>
      </c>
    </row>
    <row r="218" spans="1:4" x14ac:dyDescent="0.45">
      <c r="A218" t="s">
        <v>351</v>
      </c>
      <c r="B218" s="21">
        <f>spliced_quartely_pmi_long!G218</f>
        <v>72.993939999999995</v>
      </c>
      <c r="C218" s="2">
        <v>123456789</v>
      </c>
      <c r="D218" s="2">
        <v>123456789</v>
      </c>
    </row>
    <row r="219" spans="1:4" x14ac:dyDescent="0.45">
      <c r="A219" t="s">
        <v>352</v>
      </c>
      <c r="B219" s="21">
        <f>spliced_quartely_pmi_long!G219</f>
        <v>71.788070000000005</v>
      </c>
      <c r="C219" s="2">
        <v>123456789</v>
      </c>
      <c r="D219" s="2">
        <v>123456789</v>
      </c>
    </row>
    <row r="220" spans="1:4" x14ac:dyDescent="0.45">
      <c r="A220" t="s">
        <v>353</v>
      </c>
      <c r="B220" s="21">
        <f>spliced_quartely_pmi_long!G220</f>
        <v>72.972369999999998</v>
      </c>
      <c r="C220" s="2">
        <v>123456789</v>
      </c>
      <c r="D220" s="2">
        <v>123456789</v>
      </c>
    </row>
    <row r="221" spans="1:4" x14ac:dyDescent="0.45">
      <c r="A221" t="s">
        <v>354</v>
      </c>
      <c r="B221" s="21">
        <f>spliced_quartely_pmi_long!G221</f>
        <v>67.640090000000001</v>
      </c>
      <c r="C221" s="2">
        <v>123456789</v>
      </c>
      <c r="D221" s="2">
        <v>123456789</v>
      </c>
    </row>
    <row r="222" spans="1:4" x14ac:dyDescent="0.45">
      <c r="A222" t="s">
        <v>355</v>
      </c>
      <c r="B222" s="21">
        <f>spliced_quartely_pmi_long!G222</f>
        <v>65.427880000000002</v>
      </c>
      <c r="C222" s="2">
        <v>123456789</v>
      </c>
      <c r="D222" s="2">
        <v>123456789</v>
      </c>
    </row>
    <row r="223" spans="1:4" x14ac:dyDescent="0.45">
      <c r="A223" t="s">
        <v>356</v>
      </c>
      <c r="B223" s="21">
        <f>spliced_quartely_pmi_long!G223</f>
        <v>63.49606</v>
      </c>
      <c r="C223" s="2">
        <v>123456789</v>
      </c>
      <c r="D223" s="2">
        <v>123456789</v>
      </c>
    </row>
    <row r="224" spans="1:4" x14ac:dyDescent="0.45">
      <c r="A224" t="s">
        <v>357</v>
      </c>
      <c r="B224" s="21">
        <f>spliced_quartely_pmi_long!G224</f>
        <v>66.791364596666668</v>
      </c>
      <c r="C224" s="2">
        <v>123456789</v>
      </c>
      <c r="D224" s="2">
        <v>123456789</v>
      </c>
    </row>
    <row r="225" spans="1:4" x14ac:dyDescent="0.45">
      <c r="A225" t="s">
        <v>438</v>
      </c>
      <c r="B225" s="21">
        <v>66.790000000000006</v>
      </c>
      <c r="C225" s="2">
        <v>123456789</v>
      </c>
      <c r="D225" s="2">
        <v>123456789</v>
      </c>
    </row>
    <row r="226" spans="1:4" x14ac:dyDescent="0.45">
      <c r="A226" t="s">
        <v>441</v>
      </c>
      <c r="B226" s="21">
        <v>66.790000000000006</v>
      </c>
      <c r="C226" s="2">
        <v>123456789</v>
      </c>
      <c r="D226" s="2">
        <v>123456789</v>
      </c>
    </row>
  </sheetData>
  <phoneticPr fontId="3"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B1B0-8EE4-4644-A7D8-2BBC8A6D7EDA}">
  <sheetPr>
    <tabColor theme="9" tint="0.79998168889431442"/>
  </sheetPr>
  <dimension ref="A1:D225"/>
  <sheetViews>
    <sheetView topLeftCell="A217" workbookViewId="0">
      <selection activeCell="C228" sqref="C228"/>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s="2">
        <v>123456789</v>
      </c>
      <c r="C76" s="2">
        <v>123456789</v>
      </c>
      <c r="D76" s="2">
        <v>123456789</v>
      </c>
    </row>
    <row r="77" spans="1:4" x14ac:dyDescent="0.45">
      <c r="A77" t="s">
        <v>210</v>
      </c>
      <c r="B77" s="2">
        <v>123456789</v>
      </c>
      <c r="C77" s="2">
        <v>123456789</v>
      </c>
      <c r="D77" s="2">
        <v>123456789</v>
      </c>
    </row>
    <row r="78" spans="1:4" x14ac:dyDescent="0.45">
      <c r="A78" t="s">
        <v>211</v>
      </c>
      <c r="B78" s="2">
        <v>123456789</v>
      </c>
      <c r="C78" s="2">
        <v>123456789</v>
      </c>
      <c r="D78" s="2">
        <v>123456789</v>
      </c>
    </row>
    <row r="79" spans="1:4" x14ac:dyDescent="0.45">
      <c r="A79" t="s">
        <v>212</v>
      </c>
      <c r="B79" s="2">
        <v>123456789</v>
      </c>
      <c r="C79" s="2">
        <v>123456789</v>
      </c>
      <c r="D79" s="2">
        <v>123456789</v>
      </c>
    </row>
    <row r="80" spans="1:4" x14ac:dyDescent="0.45">
      <c r="A80" t="s">
        <v>213</v>
      </c>
      <c r="B80" s="2">
        <v>123456789</v>
      </c>
      <c r="C80" s="2">
        <v>123456789</v>
      </c>
      <c r="D80" s="2">
        <v>123456789</v>
      </c>
    </row>
    <row r="81" spans="1:4" x14ac:dyDescent="0.45">
      <c r="A81" t="s">
        <v>214</v>
      </c>
      <c r="B81" s="21">
        <f>spliced_quartely_pmi!G81</f>
        <v>65.448228731839293</v>
      </c>
      <c r="C81" s="2">
        <v>123456789</v>
      </c>
      <c r="D81" s="2">
        <v>123456789</v>
      </c>
    </row>
    <row r="82" spans="1:4" x14ac:dyDescent="0.45">
      <c r="A82" t="s">
        <v>215</v>
      </c>
      <c r="B82" s="21">
        <f>spliced_quartely_pmi!G82</f>
        <v>67.688822086677433</v>
      </c>
      <c r="C82" s="2">
        <v>123456789</v>
      </c>
      <c r="D82" s="2">
        <v>123456789</v>
      </c>
    </row>
    <row r="83" spans="1:4" x14ac:dyDescent="0.45">
      <c r="A83" t="s">
        <v>216</v>
      </c>
      <c r="B83" s="21">
        <f>spliced_quartely_pmi!G83</f>
        <v>68.979387703899832</v>
      </c>
      <c r="C83" s="2">
        <v>123456789</v>
      </c>
      <c r="D83" s="2">
        <v>123456789</v>
      </c>
    </row>
    <row r="84" spans="1:4" x14ac:dyDescent="0.45">
      <c r="A84" t="s">
        <v>217</v>
      </c>
      <c r="B84" s="21">
        <f>spliced_quartely_pmi!G84</f>
        <v>67.867049259045459</v>
      </c>
      <c r="C84" s="2">
        <v>123456789</v>
      </c>
      <c r="D84" s="2">
        <v>123456789</v>
      </c>
    </row>
    <row r="85" spans="1:4" x14ac:dyDescent="0.45">
      <c r="A85" t="s">
        <v>218</v>
      </c>
      <c r="B85" s="21">
        <f>spliced_quartely_pmi!G85</f>
        <v>62.273530310694966</v>
      </c>
      <c r="C85" s="2">
        <v>123456789</v>
      </c>
      <c r="D85" s="2">
        <v>123456789</v>
      </c>
    </row>
    <row r="86" spans="1:4" x14ac:dyDescent="0.45">
      <c r="A86" t="s">
        <v>219</v>
      </c>
      <c r="B86" s="21">
        <f>spliced_quartely_pmi!G86</f>
        <v>68.234646084169015</v>
      </c>
      <c r="C86" s="2">
        <v>123456789</v>
      </c>
      <c r="D86" s="2">
        <v>123456789</v>
      </c>
    </row>
    <row r="87" spans="1:4" x14ac:dyDescent="0.45">
      <c r="A87" t="s">
        <v>220</v>
      </c>
      <c r="B87" s="21">
        <f>spliced_quartely_pmi!G87</f>
        <v>68.196454206234094</v>
      </c>
      <c r="C87" s="2">
        <v>123456789</v>
      </c>
      <c r="D87" s="2">
        <v>123456789</v>
      </c>
    </row>
    <row r="88" spans="1:4" x14ac:dyDescent="0.45">
      <c r="A88" t="s">
        <v>221</v>
      </c>
      <c r="B88" s="21">
        <f>spliced_quartely_pmi!G88</f>
        <v>66.543065748629999</v>
      </c>
      <c r="C88" s="2">
        <v>123456789</v>
      </c>
      <c r="D88" s="2">
        <v>123456789</v>
      </c>
    </row>
    <row r="89" spans="1:4" x14ac:dyDescent="0.45">
      <c r="A89" t="s">
        <v>222</v>
      </c>
      <c r="B89" s="21">
        <f>spliced_quartely_pmi!G89</f>
        <v>66.570115146177415</v>
      </c>
      <c r="C89" s="2">
        <v>123456789</v>
      </c>
      <c r="D89" s="2">
        <v>123456789</v>
      </c>
    </row>
    <row r="90" spans="1:4" x14ac:dyDescent="0.45">
      <c r="A90" t="s">
        <v>223</v>
      </c>
      <c r="B90" s="21">
        <f>spliced_quartely_pmi!G90</f>
        <v>69.456786178086261</v>
      </c>
      <c r="C90" s="2">
        <v>123456789</v>
      </c>
      <c r="D90" s="2">
        <v>123456789</v>
      </c>
    </row>
    <row r="91" spans="1:4" x14ac:dyDescent="0.45">
      <c r="A91" t="s">
        <v>224</v>
      </c>
      <c r="B91" s="21">
        <f>spliced_quartely_pmi!G91</f>
        <v>69.163983371913503</v>
      </c>
      <c r="C91" s="2">
        <v>123456789</v>
      </c>
      <c r="D91" s="2">
        <v>123456789</v>
      </c>
    </row>
    <row r="92" spans="1:4" x14ac:dyDescent="0.45">
      <c r="A92" t="s">
        <v>225</v>
      </c>
      <c r="B92" s="21">
        <f>spliced_quartely_pmi!G92</f>
        <v>66.130908549925891</v>
      </c>
      <c r="C92" s="2">
        <v>123456789</v>
      </c>
      <c r="D92" s="2">
        <v>123456789</v>
      </c>
    </row>
    <row r="93" spans="1:4" x14ac:dyDescent="0.45">
      <c r="A93" t="s">
        <v>226</v>
      </c>
      <c r="B93" s="21">
        <f>spliced_quartely_pmi!G93</f>
        <v>63.756648396300299</v>
      </c>
      <c r="C93" s="2">
        <v>123456789</v>
      </c>
      <c r="D93" s="2">
        <v>123456789</v>
      </c>
    </row>
    <row r="94" spans="1:4" x14ac:dyDescent="0.45">
      <c r="A94" t="s">
        <v>227</v>
      </c>
      <c r="B94" s="21">
        <f>spliced_quartely_pmi!G94</f>
        <v>69.561813842407275</v>
      </c>
      <c r="C94" s="2">
        <v>123456789</v>
      </c>
      <c r="D94" s="2">
        <v>123456789</v>
      </c>
    </row>
    <row r="95" spans="1:4" x14ac:dyDescent="0.45">
      <c r="A95" t="s">
        <v>228</v>
      </c>
      <c r="B95" s="21">
        <f>spliced_quartely_pmi!G95</f>
        <v>70.028074610190941</v>
      </c>
      <c r="C95" s="2">
        <v>123456789</v>
      </c>
      <c r="D95" s="2">
        <v>123456789</v>
      </c>
    </row>
    <row r="96" spans="1:4" x14ac:dyDescent="0.45">
      <c r="A96" t="s">
        <v>229</v>
      </c>
      <c r="B96" s="21">
        <f>spliced_quartely_pmi!G96</f>
        <v>70.41954135902381</v>
      </c>
      <c r="C96" s="2">
        <v>123456789</v>
      </c>
      <c r="D96" s="2">
        <v>123456789</v>
      </c>
    </row>
    <row r="97" spans="1:4" x14ac:dyDescent="0.45">
      <c r="A97" t="s">
        <v>230</v>
      </c>
      <c r="B97" s="21">
        <f>spliced_quartely_pmi!G97</f>
        <v>70.354295309556761</v>
      </c>
      <c r="C97" s="2">
        <v>123456789</v>
      </c>
      <c r="D97" s="2">
        <v>123456789</v>
      </c>
    </row>
    <row r="98" spans="1:4" x14ac:dyDescent="0.45">
      <c r="A98" t="s">
        <v>231</v>
      </c>
      <c r="B98" s="21">
        <f>spliced_quartely_pmi!G98</f>
        <v>70.389302939668852</v>
      </c>
      <c r="C98" s="2">
        <v>123456789</v>
      </c>
      <c r="D98" s="2">
        <v>123456789</v>
      </c>
    </row>
    <row r="99" spans="1:4" x14ac:dyDescent="0.45">
      <c r="A99" t="s">
        <v>232</v>
      </c>
      <c r="B99" s="21">
        <f>spliced_quartely_pmi!G99</f>
        <v>71.008331219192158</v>
      </c>
      <c r="C99" s="2">
        <v>123456789</v>
      </c>
      <c r="D99" s="2">
        <v>123456789</v>
      </c>
    </row>
    <row r="100" spans="1:4" x14ac:dyDescent="0.45">
      <c r="A100" t="s">
        <v>233</v>
      </c>
      <c r="B100" s="21">
        <f>spliced_quartely_pmi!G100</f>
        <v>71.681463067795022</v>
      </c>
      <c r="C100" s="2">
        <v>123456789</v>
      </c>
      <c r="D100" s="2">
        <v>123456789</v>
      </c>
    </row>
    <row r="101" spans="1:4" x14ac:dyDescent="0.45">
      <c r="A101" t="s">
        <v>234</v>
      </c>
      <c r="B101" s="21">
        <f>spliced_quartely_pmi!G101</f>
        <v>72.485082241347271</v>
      </c>
      <c r="C101" s="2">
        <v>123456789</v>
      </c>
      <c r="D101" s="2">
        <v>123456789</v>
      </c>
    </row>
    <row r="102" spans="1:4" x14ac:dyDescent="0.45">
      <c r="A102" t="s">
        <v>235</v>
      </c>
      <c r="B102" s="21">
        <f>spliced_quartely_pmi!G102</f>
        <v>71.227934517317919</v>
      </c>
      <c r="C102" s="2">
        <v>123456789</v>
      </c>
      <c r="D102" s="2">
        <v>123456789</v>
      </c>
    </row>
    <row r="103" spans="1:4" x14ac:dyDescent="0.45">
      <c r="A103" t="s">
        <v>236</v>
      </c>
      <c r="B103" s="21">
        <f>spliced_quartely_pmi!G103</f>
        <v>71.468223491330178</v>
      </c>
      <c r="C103" s="2">
        <v>123456789</v>
      </c>
      <c r="D103" s="2">
        <v>123456789</v>
      </c>
    </row>
    <row r="104" spans="1:4" x14ac:dyDescent="0.45">
      <c r="A104" t="s">
        <v>237</v>
      </c>
      <c r="B104" s="21">
        <f>spliced_quartely_pmi!G104</f>
        <v>71.21520230001137</v>
      </c>
      <c r="C104" s="2">
        <v>123456789</v>
      </c>
      <c r="D104" s="2">
        <v>123456789</v>
      </c>
    </row>
    <row r="105" spans="1:4" x14ac:dyDescent="0.45">
      <c r="A105" t="s">
        <v>238</v>
      </c>
      <c r="B105" s="21">
        <f>spliced_quartely_pmi!G105</f>
        <v>70.400445420056357</v>
      </c>
      <c r="C105" s="2">
        <v>123456789</v>
      </c>
      <c r="D105" s="2">
        <v>123456789</v>
      </c>
    </row>
    <row r="106" spans="1:4" x14ac:dyDescent="0.45">
      <c r="A106" t="s">
        <v>239</v>
      </c>
      <c r="B106" s="21">
        <f>spliced_quartely_pmi!G106</f>
        <v>72.146129324674902</v>
      </c>
      <c r="C106" s="2">
        <v>123456789</v>
      </c>
      <c r="D106" s="2">
        <v>123456789</v>
      </c>
    </row>
    <row r="107" spans="1:4" x14ac:dyDescent="0.45">
      <c r="A107" t="s">
        <v>240</v>
      </c>
      <c r="B107" s="21">
        <f>spliced_quartely_pmi!G107</f>
        <v>72.719007493698626</v>
      </c>
      <c r="C107" s="2">
        <v>123456789</v>
      </c>
      <c r="D107" s="2">
        <v>123456789</v>
      </c>
    </row>
    <row r="108" spans="1:4" x14ac:dyDescent="0.45">
      <c r="A108" t="s">
        <v>241</v>
      </c>
      <c r="B108" s="21">
        <f>spliced_quartely_pmi!G108</f>
        <v>73.50035125444532</v>
      </c>
      <c r="C108" s="2">
        <v>123456789</v>
      </c>
      <c r="D108" s="2">
        <v>123456789</v>
      </c>
    </row>
    <row r="109" spans="1:4" x14ac:dyDescent="0.45">
      <c r="A109" t="s">
        <v>242</v>
      </c>
      <c r="B109" s="21">
        <f>spliced_quartely_pmi!G109</f>
        <v>74.111421301403951</v>
      </c>
      <c r="C109" s="2">
        <v>123456789</v>
      </c>
      <c r="D109" s="2">
        <v>123456789</v>
      </c>
    </row>
    <row r="110" spans="1:4" x14ac:dyDescent="0.45">
      <c r="A110" t="s">
        <v>243</v>
      </c>
      <c r="B110" s="21">
        <f>spliced_quartely_pmi!G110</f>
        <v>70.64709811572952</v>
      </c>
      <c r="C110" s="2">
        <v>123456789</v>
      </c>
      <c r="D110" s="2">
        <v>123456789</v>
      </c>
    </row>
    <row r="111" spans="1:4" x14ac:dyDescent="0.45">
      <c r="A111" t="s">
        <v>244</v>
      </c>
      <c r="B111" s="21">
        <f>spliced_quartely_pmi!G111</f>
        <v>70.628002176762067</v>
      </c>
      <c r="C111" s="2">
        <v>123456789</v>
      </c>
      <c r="D111" s="2">
        <v>123456789</v>
      </c>
    </row>
    <row r="112" spans="1:4" x14ac:dyDescent="0.45">
      <c r="A112" t="s">
        <v>245</v>
      </c>
      <c r="B112" s="21">
        <f>spliced_quartely_pmi!G112</f>
        <v>70.236535427929184</v>
      </c>
      <c r="C112" s="2">
        <v>123456789</v>
      </c>
      <c r="D112" s="2">
        <v>123456789</v>
      </c>
    </row>
    <row r="113" spans="1:4" x14ac:dyDescent="0.45">
      <c r="A113" t="s">
        <v>246</v>
      </c>
      <c r="B113" s="21">
        <f>spliced_quartely_pmi!G113</f>
        <v>70.226987458445464</v>
      </c>
      <c r="C113" s="2">
        <v>123456789</v>
      </c>
      <c r="D113" s="2">
        <v>123456789</v>
      </c>
    </row>
    <row r="114" spans="1:4" x14ac:dyDescent="0.45">
      <c r="A114" t="s">
        <v>247</v>
      </c>
      <c r="B114" s="21">
        <f>spliced_quartely_pmi!G114</f>
        <v>70.328220000000002</v>
      </c>
      <c r="C114" s="2">
        <v>123456789</v>
      </c>
      <c r="D114" s="2">
        <v>123456789</v>
      </c>
    </row>
    <row r="115" spans="1:4" x14ac:dyDescent="0.45">
      <c r="A115" t="s">
        <v>248</v>
      </c>
      <c r="B115" s="21">
        <f>spliced_quartely_pmi!G115</f>
        <v>67.178780000000003</v>
      </c>
      <c r="C115" s="2">
        <v>123456789</v>
      </c>
      <c r="D115" s="2">
        <v>123456789</v>
      </c>
    </row>
    <row r="116" spans="1:4" x14ac:dyDescent="0.45">
      <c r="A116" t="s">
        <v>249</v>
      </c>
      <c r="B116" s="21">
        <f>spliced_quartely_pmi!G116</f>
        <v>61.114199999999997</v>
      </c>
      <c r="C116" s="2">
        <v>123456789</v>
      </c>
      <c r="D116" s="2">
        <v>123456789</v>
      </c>
    </row>
    <row r="117" spans="1:4" x14ac:dyDescent="0.45">
      <c r="A117" t="s">
        <v>250</v>
      </c>
      <c r="B117" s="21">
        <f>spliced_quartely_pmi!G117</f>
        <v>59.2697</v>
      </c>
      <c r="C117" s="2">
        <v>123456789</v>
      </c>
      <c r="D117" s="2">
        <v>123456789</v>
      </c>
    </row>
    <row r="118" spans="1:4" x14ac:dyDescent="0.45">
      <c r="A118" t="s">
        <v>251</v>
      </c>
      <c r="B118" s="21">
        <f>spliced_quartely_pmi!G118</f>
        <v>66.675030000000007</v>
      </c>
      <c r="C118" s="2">
        <v>123456789</v>
      </c>
      <c r="D118" s="2">
        <v>123456789</v>
      </c>
    </row>
    <row r="119" spans="1:4" x14ac:dyDescent="0.45">
      <c r="A119" t="s">
        <v>252</v>
      </c>
      <c r="B119" s="21">
        <f>spliced_quartely_pmi!G119</f>
        <v>73.121250000000003</v>
      </c>
      <c r="C119" s="2">
        <v>123456789</v>
      </c>
      <c r="D119" s="2">
        <v>123456789</v>
      </c>
    </row>
    <row r="120" spans="1:4" x14ac:dyDescent="0.45">
      <c r="A120" t="s">
        <v>253</v>
      </c>
      <c r="B120" s="21">
        <f>spliced_quartely_pmi!G120</f>
        <v>73.942689999999999</v>
      </c>
      <c r="C120" s="2">
        <v>123456789</v>
      </c>
      <c r="D120" s="2">
        <v>123456789</v>
      </c>
    </row>
    <row r="121" spans="1:4" x14ac:dyDescent="0.45">
      <c r="A121" t="s">
        <v>254</v>
      </c>
      <c r="B121" s="21">
        <f>spliced_quartely_pmi!G121</f>
        <v>72.455119999999994</v>
      </c>
      <c r="C121" s="2">
        <v>123456789</v>
      </c>
      <c r="D121" s="2">
        <v>123456789</v>
      </c>
    </row>
    <row r="122" spans="1:4" x14ac:dyDescent="0.45">
      <c r="A122" t="s">
        <v>255</v>
      </c>
      <c r="B122" s="21">
        <f>spliced_quartely_pmi!G122</f>
        <v>71.2149</v>
      </c>
      <c r="C122" s="2">
        <v>123456789</v>
      </c>
      <c r="D122" s="2">
        <v>123456789</v>
      </c>
    </row>
    <row r="123" spans="1:4" x14ac:dyDescent="0.45">
      <c r="A123" t="s">
        <v>256</v>
      </c>
      <c r="B123" s="21">
        <f>spliced_quartely_pmi!G123</f>
        <v>69.528239999999997</v>
      </c>
      <c r="C123" s="2">
        <v>123456789</v>
      </c>
      <c r="D123" s="2">
        <v>123456789</v>
      </c>
    </row>
    <row r="124" spans="1:4" x14ac:dyDescent="0.45">
      <c r="A124" t="s">
        <v>257</v>
      </c>
      <c r="B124" s="21">
        <f>spliced_quartely_pmi!G124</f>
        <v>69.061989999999994</v>
      </c>
      <c r="C124" s="2">
        <v>123456789</v>
      </c>
      <c r="D124" s="2">
        <v>123456789</v>
      </c>
    </row>
    <row r="125" spans="1:4" x14ac:dyDescent="0.45">
      <c r="A125" t="s">
        <v>258</v>
      </c>
      <c r="B125" s="21">
        <f>spliced_quartely_pmi!G125</f>
        <v>69.545429999999996</v>
      </c>
      <c r="C125" s="2">
        <v>123456789</v>
      </c>
      <c r="D125" s="2">
        <v>123456789</v>
      </c>
    </row>
    <row r="126" spans="1:4" x14ac:dyDescent="0.45">
      <c r="A126" t="s">
        <v>259</v>
      </c>
      <c r="B126" s="21">
        <f>spliced_quartely_pmi!G126</f>
        <v>69.690479999999994</v>
      </c>
      <c r="C126" s="2">
        <v>123456789</v>
      </c>
      <c r="D126" s="2">
        <v>123456789</v>
      </c>
    </row>
    <row r="127" spans="1:4" x14ac:dyDescent="0.45">
      <c r="A127" t="s">
        <v>260</v>
      </c>
      <c r="B127" s="21">
        <f>spliced_quartely_pmi!G127</f>
        <v>66.86739</v>
      </c>
      <c r="C127" s="2">
        <v>123456789</v>
      </c>
      <c r="D127" s="2">
        <v>123456789</v>
      </c>
    </row>
    <row r="128" spans="1:4" x14ac:dyDescent="0.45">
      <c r="A128" t="s">
        <v>261</v>
      </c>
      <c r="B128" s="21">
        <f>spliced_quartely_pmi!G128</f>
        <v>62.861080000000001</v>
      </c>
      <c r="C128" s="2">
        <v>123456789</v>
      </c>
      <c r="D128" s="2">
        <v>123456789</v>
      </c>
    </row>
    <row r="129" spans="1:4" x14ac:dyDescent="0.45">
      <c r="A129" t="s">
        <v>262</v>
      </c>
      <c r="B129" s="21">
        <f>spliced_quartely_pmi!G129</f>
        <v>61.591299999999997</v>
      </c>
      <c r="C129" s="2">
        <v>123456789</v>
      </c>
      <c r="D129" s="2">
        <v>123456789</v>
      </c>
    </row>
    <row r="130" spans="1:4" x14ac:dyDescent="0.45">
      <c r="A130" t="s">
        <v>263</v>
      </c>
      <c r="B130" s="21">
        <f>spliced_quartely_pmi!G130</f>
        <v>69.256649999999993</v>
      </c>
      <c r="C130" s="2">
        <v>123456789</v>
      </c>
      <c r="D130" s="2">
        <v>123456789</v>
      </c>
    </row>
    <row r="131" spans="1:4" x14ac:dyDescent="0.45">
      <c r="A131" t="s">
        <v>264</v>
      </c>
      <c r="B131" s="21">
        <f>spliced_quartely_pmi!G131</f>
        <v>71.119</v>
      </c>
      <c r="C131" s="2">
        <v>123456789</v>
      </c>
      <c r="D131" s="2">
        <v>123456789</v>
      </c>
    </row>
    <row r="132" spans="1:4" x14ac:dyDescent="0.45">
      <c r="A132" t="s">
        <v>265</v>
      </c>
      <c r="B132" s="21">
        <f>spliced_quartely_pmi!G132</f>
        <v>68.260670000000005</v>
      </c>
      <c r="C132" s="2">
        <v>123456789</v>
      </c>
      <c r="D132" s="2">
        <v>123456789</v>
      </c>
    </row>
    <row r="133" spans="1:4" x14ac:dyDescent="0.45">
      <c r="A133" t="s">
        <v>266</v>
      </c>
      <c r="B133" s="21">
        <f>spliced_quartely_pmi!G133</f>
        <v>66.764510000000001</v>
      </c>
      <c r="C133" s="2">
        <v>123456789</v>
      </c>
      <c r="D133" s="2">
        <v>123456789</v>
      </c>
    </row>
    <row r="134" spans="1:4" x14ac:dyDescent="0.45">
      <c r="A134" t="s">
        <v>267</v>
      </c>
      <c r="B134" s="21">
        <f>spliced_quartely_pmi!G134</f>
        <v>65.406199999999998</v>
      </c>
      <c r="C134" s="2">
        <v>123456789</v>
      </c>
      <c r="D134" s="2">
        <v>123456789</v>
      </c>
    </row>
    <row r="135" spans="1:4" x14ac:dyDescent="0.45">
      <c r="A135" t="s">
        <v>268</v>
      </c>
      <c r="B135" s="21">
        <f>spliced_quartely_pmi!G135</f>
        <v>67.943759999999997</v>
      </c>
      <c r="C135" s="2">
        <v>123456789</v>
      </c>
      <c r="D135" s="2">
        <v>123456789</v>
      </c>
    </row>
    <row r="136" spans="1:4" x14ac:dyDescent="0.45">
      <c r="A136" t="s">
        <v>269</v>
      </c>
      <c r="B136" s="21">
        <f>spliced_quartely_pmi!G136</f>
        <v>70.631569999999996</v>
      </c>
      <c r="C136" s="2">
        <v>123456789</v>
      </c>
      <c r="D136" s="2">
        <v>123456789</v>
      </c>
    </row>
    <row r="137" spans="1:4" x14ac:dyDescent="0.45">
      <c r="A137" t="s">
        <v>270</v>
      </c>
      <c r="B137" s="21">
        <f>spliced_quartely_pmi!G137</f>
        <v>73.752750000000006</v>
      </c>
      <c r="C137" s="2">
        <v>123456789</v>
      </c>
      <c r="D137" s="2">
        <v>123456789</v>
      </c>
    </row>
    <row r="138" spans="1:4" x14ac:dyDescent="0.45">
      <c r="A138" t="s">
        <v>271</v>
      </c>
      <c r="B138" s="21">
        <f>spliced_quartely_pmi!G138</f>
        <v>74.298199999999994</v>
      </c>
      <c r="C138" s="2">
        <v>123456789</v>
      </c>
      <c r="D138" s="2">
        <v>123456789</v>
      </c>
    </row>
    <row r="139" spans="1:4" x14ac:dyDescent="0.45">
      <c r="A139" t="s">
        <v>272</v>
      </c>
      <c r="B139" s="21">
        <f>spliced_quartely_pmi!G139</f>
        <v>72.741029999999995</v>
      </c>
      <c r="C139" s="2">
        <v>123456789</v>
      </c>
      <c r="D139" s="2">
        <v>123456789</v>
      </c>
    </row>
    <row r="140" spans="1:4" x14ac:dyDescent="0.45">
      <c r="A140" t="s">
        <v>273</v>
      </c>
      <c r="B140" s="21">
        <f>spliced_quartely_pmi!G140</f>
        <v>70.569659999999999</v>
      </c>
      <c r="C140" s="2">
        <v>123456789</v>
      </c>
      <c r="D140" s="2">
        <v>123456789</v>
      </c>
    </row>
    <row r="141" spans="1:4" x14ac:dyDescent="0.45">
      <c r="A141" t="s">
        <v>274</v>
      </c>
      <c r="B141" s="21">
        <f>spliced_quartely_pmi!G141</f>
        <v>69.936390000000003</v>
      </c>
      <c r="C141" s="2">
        <v>123456789</v>
      </c>
      <c r="D141" s="2">
        <v>123456789</v>
      </c>
    </row>
    <row r="142" spans="1:4" x14ac:dyDescent="0.45">
      <c r="A142" t="s">
        <v>275</v>
      </c>
      <c r="B142" s="21">
        <f>spliced_quartely_pmi!G142</f>
        <v>70.904899999999998</v>
      </c>
      <c r="C142" s="2">
        <v>123456789</v>
      </c>
      <c r="D142" s="2">
        <v>123456789</v>
      </c>
    </row>
    <row r="143" spans="1:4" x14ac:dyDescent="0.45">
      <c r="A143" t="s">
        <v>276</v>
      </c>
      <c r="B143" s="21">
        <f>spliced_quartely_pmi!G143</f>
        <v>67.291219999999996</v>
      </c>
      <c r="C143" s="2">
        <v>123456789</v>
      </c>
      <c r="D143" s="2">
        <v>123456789</v>
      </c>
    </row>
    <row r="144" spans="1:4" x14ac:dyDescent="0.45">
      <c r="A144" t="s">
        <v>277</v>
      </c>
      <c r="B144" s="21">
        <f>spliced_quartely_pmi!G144</f>
        <v>68.835080000000005</v>
      </c>
      <c r="C144" s="2">
        <v>123456789</v>
      </c>
      <c r="D144" s="2">
        <v>123456789</v>
      </c>
    </row>
    <row r="145" spans="1:4" x14ac:dyDescent="0.45">
      <c r="A145" t="s">
        <v>278</v>
      </c>
      <c r="B145" s="21">
        <f>spliced_quartely_pmi!G145</f>
        <v>68.99973</v>
      </c>
      <c r="C145" s="2">
        <v>123456789</v>
      </c>
      <c r="D145" s="2">
        <v>123456789</v>
      </c>
    </row>
    <row r="146" spans="1:4" x14ac:dyDescent="0.45">
      <c r="A146" t="s">
        <v>279</v>
      </c>
      <c r="B146" s="21">
        <f>spliced_quartely_pmi!G146</f>
        <v>70.082149999999999</v>
      </c>
      <c r="C146" s="2">
        <v>123456789</v>
      </c>
      <c r="D146" s="2">
        <v>123456789</v>
      </c>
    </row>
    <row r="147" spans="1:4" x14ac:dyDescent="0.45">
      <c r="A147" t="s">
        <v>280</v>
      </c>
      <c r="B147" s="21">
        <f>spliced_quartely_pmi!G147</f>
        <v>70.454030000000003</v>
      </c>
      <c r="C147" s="2">
        <v>123456789</v>
      </c>
      <c r="D147" s="2">
        <v>123456789</v>
      </c>
    </row>
    <row r="148" spans="1:4" x14ac:dyDescent="0.45">
      <c r="A148" t="s">
        <v>281</v>
      </c>
      <c r="B148" s="21">
        <f>spliced_quartely_pmi!G148</f>
        <v>68.515010000000004</v>
      </c>
      <c r="C148" s="2">
        <v>123456789</v>
      </c>
      <c r="D148" s="2">
        <v>123456789</v>
      </c>
    </row>
    <row r="149" spans="1:4" x14ac:dyDescent="0.45">
      <c r="A149" t="s">
        <v>282</v>
      </c>
      <c r="B149" s="21">
        <f>spliced_quartely_pmi!G149</f>
        <v>72.271230000000003</v>
      </c>
      <c r="C149" s="2">
        <v>123456789</v>
      </c>
      <c r="D149" s="2">
        <v>123456789</v>
      </c>
    </row>
    <row r="150" spans="1:4" x14ac:dyDescent="0.45">
      <c r="A150" t="s">
        <v>283</v>
      </c>
      <c r="B150" s="21">
        <f>spliced_quartely_pmi!G150</f>
        <v>71.583280000000002</v>
      </c>
      <c r="C150" s="2">
        <v>123456789</v>
      </c>
      <c r="D150" s="2">
        <v>123456789</v>
      </c>
    </row>
    <row r="151" spans="1:4" x14ac:dyDescent="0.45">
      <c r="A151" t="s">
        <v>284</v>
      </c>
      <c r="B151" s="21">
        <f>spliced_quartely_pmi!G151</f>
        <v>70.073719999999994</v>
      </c>
      <c r="C151" s="2">
        <v>123456789</v>
      </c>
      <c r="D151" s="2">
        <v>123456789</v>
      </c>
    </row>
    <row r="152" spans="1:4" x14ac:dyDescent="0.45">
      <c r="A152" t="s">
        <v>285</v>
      </c>
      <c r="B152" s="21">
        <f>spliced_quartely_pmi!G152</f>
        <v>70.176119999999997</v>
      </c>
      <c r="C152" s="2">
        <v>123456789</v>
      </c>
      <c r="D152" s="2">
        <v>123456789</v>
      </c>
    </row>
    <row r="153" spans="1:4" x14ac:dyDescent="0.45">
      <c r="A153" t="s">
        <v>286</v>
      </c>
      <c r="B153" s="21">
        <f>spliced_quartely_pmi!G153</f>
        <v>66.935280000000006</v>
      </c>
      <c r="C153" s="2">
        <v>123456789</v>
      </c>
      <c r="D153" s="2">
        <v>123456789</v>
      </c>
    </row>
    <row r="154" spans="1:4" x14ac:dyDescent="0.45">
      <c r="A154" t="s">
        <v>287</v>
      </c>
      <c r="B154" s="21">
        <f>spliced_quartely_pmi!G154</f>
        <v>63.757910000000003</v>
      </c>
      <c r="C154" s="2">
        <v>123456789</v>
      </c>
      <c r="D154" s="2">
        <v>123456789</v>
      </c>
    </row>
    <row r="155" spans="1:4" x14ac:dyDescent="0.45">
      <c r="A155" t="s">
        <v>288</v>
      </c>
      <c r="B155" s="21">
        <f>spliced_quartely_pmi!G155</f>
        <v>59.90325</v>
      </c>
      <c r="C155" s="2">
        <v>123456789</v>
      </c>
      <c r="D155" s="2">
        <v>123456789</v>
      </c>
    </row>
    <row r="156" spans="1:4" x14ac:dyDescent="0.45">
      <c r="A156" t="s">
        <v>289</v>
      </c>
      <c r="B156" s="21">
        <f>spliced_quartely_pmi!G156</f>
        <v>54.915280000000003</v>
      </c>
      <c r="C156" s="2">
        <v>123456789</v>
      </c>
      <c r="D156" s="2">
        <v>123456789</v>
      </c>
    </row>
    <row r="157" spans="1:4" x14ac:dyDescent="0.45">
      <c r="A157" t="s">
        <v>290</v>
      </c>
      <c r="B157" s="21">
        <f>spliced_quartely_pmi!G157</f>
        <v>47.144919999999999</v>
      </c>
      <c r="C157" s="2">
        <v>123456789</v>
      </c>
      <c r="D157" s="2">
        <v>123456789</v>
      </c>
    </row>
    <row r="158" spans="1:4" x14ac:dyDescent="0.45">
      <c r="A158" t="s">
        <v>291</v>
      </c>
      <c r="B158" s="21">
        <f>spliced_quartely_pmi!G158</f>
        <v>53.139110000000002</v>
      </c>
      <c r="C158" s="2">
        <v>123456789</v>
      </c>
      <c r="D158" s="2">
        <v>123456789</v>
      </c>
    </row>
    <row r="159" spans="1:4" x14ac:dyDescent="0.45">
      <c r="A159" t="s">
        <v>292</v>
      </c>
      <c r="B159" s="21">
        <f>spliced_quartely_pmi!G159</f>
        <v>64.617750000000001</v>
      </c>
      <c r="C159" s="2">
        <v>123456789</v>
      </c>
      <c r="D159" s="2">
        <v>123456789</v>
      </c>
    </row>
    <row r="160" spans="1:4" x14ac:dyDescent="0.45">
      <c r="A160" t="s">
        <v>293</v>
      </c>
      <c r="B160" s="21">
        <f>spliced_quartely_pmi!G160</f>
        <v>69.048370000000006</v>
      </c>
      <c r="C160" s="2">
        <v>123456789</v>
      </c>
      <c r="D160" s="2">
        <v>123456789</v>
      </c>
    </row>
    <row r="161" spans="1:4" x14ac:dyDescent="0.45">
      <c r="A161" t="s">
        <v>294</v>
      </c>
      <c r="B161" s="21">
        <f>spliced_quartely_pmi!G161</f>
        <v>69.79598</v>
      </c>
      <c r="C161" s="2">
        <v>123456789</v>
      </c>
      <c r="D161" s="2">
        <v>123456789</v>
      </c>
    </row>
    <row r="162" spans="1:4" x14ac:dyDescent="0.45">
      <c r="A162" t="s">
        <v>295</v>
      </c>
      <c r="B162" s="21">
        <f>spliced_quartely_pmi!G162</f>
        <v>70.96499</v>
      </c>
      <c r="C162" s="2">
        <v>123456789</v>
      </c>
      <c r="D162" s="2">
        <v>123456789</v>
      </c>
    </row>
    <row r="163" spans="1:4" x14ac:dyDescent="0.45">
      <c r="A163" t="s">
        <v>296</v>
      </c>
      <c r="B163" s="21">
        <f>spliced_quartely_pmi!G163</f>
        <v>66.988590000000002</v>
      </c>
      <c r="C163" s="2">
        <v>123456789</v>
      </c>
      <c r="D163" s="2">
        <v>123456789</v>
      </c>
    </row>
    <row r="164" spans="1:4" x14ac:dyDescent="0.45">
      <c r="A164" t="s">
        <v>297</v>
      </c>
      <c r="B164" s="21">
        <f>spliced_quartely_pmi!G164</f>
        <v>63.35313</v>
      </c>
      <c r="C164" s="2">
        <v>123456789</v>
      </c>
      <c r="D164" s="2">
        <v>123456789</v>
      </c>
    </row>
    <row r="165" spans="1:4" x14ac:dyDescent="0.45">
      <c r="A165" t="s">
        <v>298</v>
      </c>
      <c r="B165" s="21">
        <f>spliced_quartely_pmi!G165</f>
        <v>64.512150000000005</v>
      </c>
      <c r="C165" s="2">
        <v>123456789</v>
      </c>
      <c r="D165" s="2">
        <v>123456789</v>
      </c>
    </row>
    <row r="166" spans="1:4" x14ac:dyDescent="0.45">
      <c r="A166" t="s">
        <v>299</v>
      </c>
      <c r="B166" s="21">
        <f>spliced_quartely_pmi!G166</f>
        <v>67.717889999999997</v>
      </c>
      <c r="C166" s="2">
        <v>123456789</v>
      </c>
      <c r="D166" s="2">
        <v>123456789</v>
      </c>
    </row>
    <row r="167" spans="1:4" x14ac:dyDescent="0.45">
      <c r="A167" t="s">
        <v>300</v>
      </c>
      <c r="B167" s="21">
        <f>spliced_quartely_pmi!G167</f>
        <v>64.848320000000001</v>
      </c>
      <c r="C167" s="2">
        <v>123456789</v>
      </c>
      <c r="D167" s="2">
        <v>123456789</v>
      </c>
    </row>
    <row r="168" spans="1:4" x14ac:dyDescent="0.45">
      <c r="A168" t="s">
        <v>301</v>
      </c>
      <c r="B168" s="21">
        <f>spliced_quartely_pmi!G168</f>
        <v>62.307949999999998</v>
      </c>
      <c r="C168" s="2">
        <v>123456789</v>
      </c>
      <c r="D168" s="2">
        <v>123456789</v>
      </c>
    </row>
    <row r="169" spans="1:4" x14ac:dyDescent="0.45">
      <c r="A169" t="s">
        <v>302</v>
      </c>
      <c r="B169" s="21">
        <f>spliced_quartely_pmi!G169</f>
        <v>62.938740000000003</v>
      </c>
      <c r="C169" s="2">
        <v>123456789</v>
      </c>
      <c r="D169" s="2">
        <v>123456789</v>
      </c>
    </row>
    <row r="170" spans="1:4" x14ac:dyDescent="0.45">
      <c r="A170" t="s">
        <v>303</v>
      </c>
      <c r="B170" s="21">
        <f>spliced_quartely_pmi!G170</f>
        <v>67.446389999999994</v>
      </c>
      <c r="C170" s="2">
        <v>123456789</v>
      </c>
      <c r="D170" s="2">
        <v>123456789</v>
      </c>
    </row>
    <row r="171" spans="1:4" x14ac:dyDescent="0.45">
      <c r="A171" t="s">
        <v>304</v>
      </c>
      <c r="B171" s="21">
        <f>spliced_quartely_pmi!G171</f>
        <v>64.797719999999998</v>
      </c>
      <c r="C171" s="2">
        <v>123456789</v>
      </c>
      <c r="D171" s="2">
        <v>123456789</v>
      </c>
    </row>
    <row r="172" spans="1:4" x14ac:dyDescent="0.45">
      <c r="A172" t="s">
        <v>305</v>
      </c>
      <c r="B172" s="21">
        <f>spliced_quartely_pmi!G172</f>
        <v>66.530940000000001</v>
      </c>
      <c r="C172" s="2">
        <v>123456789</v>
      </c>
      <c r="D172" s="2">
        <v>123456789</v>
      </c>
    </row>
    <row r="173" spans="1:4" x14ac:dyDescent="0.45">
      <c r="A173" t="s">
        <v>306</v>
      </c>
      <c r="B173" s="21">
        <f>spliced_quartely_pmi!G173</f>
        <v>65.056190000000001</v>
      </c>
      <c r="C173" s="2">
        <v>123456789</v>
      </c>
      <c r="D173" s="2">
        <v>123456789</v>
      </c>
    </row>
    <row r="174" spans="1:4" x14ac:dyDescent="0.45">
      <c r="A174" t="s">
        <v>307</v>
      </c>
      <c r="B174" s="21">
        <f>spliced_quartely_pmi!G174</f>
        <v>68.316630000000004</v>
      </c>
      <c r="C174" s="2">
        <v>123456789</v>
      </c>
      <c r="D174" s="2">
        <v>123456789</v>
      </c>
    </row>
    <row r="175" spans="1:4" x14ac:dyDescent="0.45">
      <c r="A175" t="s">
        <v>308</v>
      </c>
      <c r="B175" s="21">
        <f>spliced_quartely_pmi!G175</f>
        <v>69.363720000000001</v>
      </c>
      <c r="C175" s="2">
        <v>123456789</v>
      </c>
      <c r="D175" s="2">
        <v>123456789</v>
      </c>
    </row>
    <row r="176" spans="1:4" x14ac:dyDescent="0.45">
      <c r="A176" t="s">
        <v>309</v>
      </c>
      <c r="B176" s="21">
        <f>spliced_quartely_pmi!G176</f>
        <v>72.179389999999998</v>
      </c>
      <c r="C176" s="2">
        <v>123456789</v>
      </c>
      <c r="D176" s="2">
        <v>123456789</v>
      </c>
    </row>
    <row r="177" spans="1:4" x14ac:dyDescent="0.45">
      <c r="A177" t="s">
        <v>310</v>
      </c>
      <c r="B177" s="21">
        <f>spliced_quartely_pmi!G177</f>
        <v>72.596770000000006</v>
      </c>
      <c r="C177" s="2">
        <v>123456789</v>
      </c>
      <c r="D177" s="2">
        <v>123456789</v>
      </c>
    </row>
    <row r="178" spans="1:4" x14ac:dyDescent="0.45">
      <c r="A178" t="s">
        <v>311</v>
      </c>
      <c r="B178" s="21">
        <f>spliced_quartely_pmi!G178</f>
        <v>75.036330000000007</v>
      </c>
      <c r="C178" s="2">
        <v>123456789</v>
      </c>
      <c r="D178" s="2">
        <v>123456789</v>
      </c>
    </row>
    <row r="179" spans="1:4" x14ac:dyDescent="0.45">
      <c r="A179" t="s">
        <v>312</v>
      </c>
      <c r="B179" s="21">
        <f>spliced_quartely_pmi!G179</f>
        <v>74.329220000000007</v>
      </c>
      <c r="C179" s="2">
        <v>123456789</v>
      </c>
      <c r="D179" s="2">
        <v>123456789</v>
      </c>
    </row>
    <row r="180" spans="1:4" x14ac:dyDescent="0.45">
      <c r="A180" t="s">
        <v>313</v>
      </c>
      <c r="B180" s="21">
        <f>spliced_quartely_pmi!G180</f>
        <v>71.651539999999997</v>
      </c>
      <c r="C180" s="2">
        <v>123456789</v>
      </c>
      <c r="D180" s="2">
        <v>123456789</v>
      </c>
    </row>
    <row r="181" spans="1:4" x14ac:dyDescent="0.45">
      <c r="A181" t="s">
        <v>314</v>
      </c>
      <c r="B181" s="21">
        <f>spliced_quartely_pmi!G181</f>
        <v>70.643510000000006</v>
      </c>
      <c r="C181" s="2">
        <v>123456789</v>
      </c>
      <c r="D181" s="2">
        <v>123456789</v>
      </c>
    </row>
    <row r="182" spans="1:4" x14ac:dyDescent="0.45">
      <c r="A182" t="s">
        <v>315</v>
      </c>
      <c r="B182" s="21">
        <f>spliced_quartely_pmi!G182</f>
        <v>71.949489999999997</v>
      </c>
      <c r="C182" s="2">
        <v>123456789</v>
      </c>
      <c r="D182" s="2">
        <v>123456789</v>
      </c>
    </row>
    <row r="183" spans="1:4" x14ac:dyDescent="0.45">
      <c r="A183" t="s">
        <v>316</v>
      </c>
      <c r="B183" s="21">
        <f>spliced_quartely_pmi!G183</f>
        <v>71.746589999999998</v>
      </c>
      <c r="C183" s="2">
        <v>123456789</v>
      </c>
      <c r="D183" s="2">
        <v>123456789</v>
      </c>
    </row>
    <row r="184" spans="1:4" x14ac:dyDescent="0.45">
      <c r="A184" t="s">
        <v>317</v>
      </c>
      <c r="B184" s="21">
        <f>spliced_quartely_pmi!G184</f>
        <v>70.62406</v>
      </c>
      <c r="C184" s="2">
        <v>123456789</v>
      </c>
      <c r="D184" s="2">
        <v>123456789</v>
      </c>
    </row>
    <row r="185" spans="1:4" x14ac:dyDescent="0.45">
      <c r="A185" t="s">
        <v>318</v>
      </c>
      <c r="B185" s="21">
        <f>spliced_quartely_pmi!G185</f>
        <v>68.799350000000004</v>
      </c>
      <c r="C185" s="2">
        <v>123456789</v>
      </c>
      <c r="D185" s="2">
        <v>123456789</v>
      </c>
    </row>
    <row r="186" spans="1:4" x14ac:dyDescent="0.45">
      <c r="A186" t="s">
        <v>319</v>
      </c>
      <c r="B186" s="21">
        <f>spliced_quartely_pmi!G186</f>
        <v>68.549930000000003</v>
      </c>
      <c r="C186" s="2">
        <v>123456789</v>
      </c>
      <c r="D186" s="2">
        <v>123456789</v>
      </c>
    </row>
    <row r="187" spans="1:4" x14ac:dyDescent="0.45">
      <c r="A187" t="s">
        <v>320</v>
      </c>
      <c r="B187" s="21">
        <f>spliced_quartely_pmi!G187</f>
        <v>68.922139999999999</v>
      </c>
      <c r="C187" s="2">
        <v>123456789</v>
      </c>
      <c r="D187" s="2">
        <v>123456789</v>
      </c>
    </row>
    <row r="188" spans="1:4" x14ac:dyDescent="0.45">
      <c r="A188" t="s">
        <v>321</v>
      </c>
      <c r="B188" s="21">
        <f>spliced_quartely_pmi!G188</f>
        <v>64.146889999999999</v>
      </c>
      <c r="C188" s="2">
        <v>123456789</v>
      </c>
      <c r="D188" s="2">
        <v>123456789</v>
      </c>
    </row>
    <row r="189" spans="1:4" x14ac:dyDescent="0.45">
      <c r="A189" t="s">
        <v>322</v>
      </c>
      <c r="B189" s="21">
        <f>spliced_quartely_pmi!G189</f>
        <v>68.094380000000001</v>
      </c>
      <c r="C189" s="2">
        <v>123456789</v>
      </c>
      <c r="D189" s="2">
        <v>123456789</v>
      </c>
    </row>
    <row r="190" spans="1:4" x14ac:dyDescent="0.45">
      <c r="A190" t="s">
        <v>323</v>
      </c>
      <c r="B190" s="21">
        <f>spliced_quartely_pmi!G190</f>
        <v>70.791110000000003</v>
      </c>
      <c r="C190" s="2">
        <v>123456789</v>
      </c>
      <c r="D190" s="2">
        <v>123456789</v>
      </c>
    </row>
    <row r="191" spans="1:4" x14ac:dyDescent="0.45">
      <c r="A191" t="s">
        <v>324</v>
      </c>
      <c r="B191" s="21">
        <f>spliced_quartely_pmi!G191</f>
        <v>67.382069999999999</v>
      </c>
      <c r="C191" s="2">
        <v>123456789</v>
      </c>
      <c r="D191" s="2">
        <v>123456789</v>
      </c>
    </row>
    <row r="192" spans="1:4" x14ac:dyDescent="0.45">
      <c r="A192" t="s">
        <v>325</v>
      </c>
      <c r="B192" s="21">
        <f>spliced_quartely_pmi!G192</f>
        <v>65.882130000000004</v>
      </c>
      <c r="C192" s="2">
        <v>123456789</v>
      </c>
      <c r="D192" s="2">
        <v>123456789</v>
      </c>
    </row>
    <row r="193" spans="1:4" x14ac:dyDescent="0.45">
      <c r="A193" t="s">
        <v>326</v>
      </c>
      <c r="B193" s="21">
        <f>spliced_quartely_pmi!G193</f>
        <v>66.510999999999996</v>
      </c>
      <c r="C193" s="2">
        <v>123456789</v>
      </c>
      <c r="D193" s="2">
        <v>123456789</v>
      </c>
    </row>
    <row r="194" spans="1:4" x14ac:dyDescent="0.45">
      <c r="A194" t="s">
        <v>327</v>
      </c>
      <c r="B194" s="21">
        <f>spliced_quartely_pmi!G194</f>
        <v>68.213419999999999</v>
      </c>
      <c r="C194" s="2">
        <v>123456789</v>
      </c>
      <c r="D194" s="2">
        <v>123456789</v>
      </c>
    </row>
    <row r="195" spans="1:4" x14ac:dyDescent="0.45">
      <c r="A195" t="s">
        <v>328</v>
      </c>
      <c r="B195" s="21">
        <f>spliced_quartely_pmi!G195</f>
        <v>67.456919999999997</v>
      </c>
      <c r="C195" s="2">
        <v>123456789</v>
      </c>
      <c r="D195" s="2">
        <v>123456789</v>
      </c>
    </row>
    <row r="196" spans="1:4" x14ac:dyDescent="0.45">
      <c r="A196" t="s">
        <v>329</v>
      </c>
      <c r="B196" s="21">
        <f>spliced_quartely_pmi!G196</f>
        <v>66.536379999999994</v>
      </c>
      <c r="C196" s="2">
        <v>123456789</v>
      </c>
      <c r="D196" s="2">
        <v>123456789</v>
      </c>
    </row>
    <row r="197" spans="1:4" x14ac:dyDescent="0.45">
      <c r="A197" t="s">
        <v>330</v>
      </c>
      <c r="B197" s="21">
        <f>spliced_quartely_pmi!G197</f>
        <v>62.554499999999997</v>
      </c>
      <c r="C197" s="2">
        <v>123456789</v>
      </c>
      <c r="D197" s="2">
        <v>123456789</v>
      </c>
    </row>
    <row r="198" spans="1:4" x14ac:dyDescent="0.45">
      <c r="A198" t="s">
        <v>331</v>
      </c>
      <c r="B198" s="21">
        <f>spliced_quartely_pmi!G198</f>
        <v>61.865650000000002</v>
      </c>
      <c r="C198" s="2">
        <v>123456789</v>
      </c>
      <c r="D198" s="2">
        <v>123456789</v>
      </c>
    </row>
    <row r="199" spans="1:4" x14ac:dyDescent="0.45">
      <c r="A199" t="s">
        <v>332</v>
      </c>
      <c r="B199" s="21">
        <f>spliced_quartely_pmi!G199</f>
        <v>65.337119999999999</v>
      </c>
      <c r="C199" s="2">
        <v>123456789</v>
      </c>
      <c r="D199" s="2">
        <v>123456789</v>
      </c>
    </row>
    <row r="200" spans="1:4" x14ac:dyDescent="0.45">
      <c r="A200" t="s">
        <v>333</v>
      </c>
      <c r="B200" s="21">
        <f>spliced_quartely_pmi!G200</f>
        <v>61.70581</v>
      </c>
      <c r="C200" s="2">
        <v>123456789</v>
      </c>
      <c r="D200" s="2">
        <v>123456789</v>
      </c>
    </row>
    <row r="201" spans="1:4" x14ac:dyDescent="0.45">
      <c r="A201" t="s">
        <v>334</v>
      </c>
      <c r="B201" s="21">
        <f>spliced_quartely_pmi!G201</f>
        <v>64.184740000000005</v>
      </c>
      <c r="C201" s="2">
        <v>123456789</v>
      </c>
      <c r="D201" s="2">
        <v>123456789</v>
      </c>
    </row>
    <row r="202" spans="1:4" x14ac:dyDescent="0.45">
      <c r="A202" t="s">
        <v>335</v>
      </c>
      <c r="B202" s="21">
        <f>spliced_quartely_pmi!G202</f>
        <v>64.264849999999996</v>
      </c>
      <c r="C202" s="2">
        <v>123456789</v>
      </c>
      <c r="D202" s="2">
        <v>123456789</v>
      </c>
    </row>
    <row r="203" spans="1:4" x14ac:dyDescent="0.45">
      <c r="A203" t="s">
        <v>336</v>
      </c>
      <c r="B203" s="21">
        <f>spliced_quartely_pmi!G203</f>
        <v>60.230699999999999</v>
      </c>
      <c r="C203" s="2">
        <v>123456789</v>
      </c>
      <c r="D203" s="2">
        <v>123456789</v>
      </c>
    </row>
    <row r="204" spans="1:4" x14ac:dyDescent="0.45">
      <c r="A204" t="s">
        <v>337</v>
      </c>
      <c r="B204" s="21">
        <f>spliced_quartely_pmi!G204</f>
        <v>68.584990000000005</v>
      </c>
      <c r="C204" s="2">
        <v>123456789</v>
      </c>
      <c r="D204" s="2">
        <v>123456789</v>
      </c>
    </row>
    <row r="205" spans="1:4" x14ac:dyDescent="0.45">
      <c r="A205" t="s">
        <v>338</v>
      </c>
      <c r="B205" s="21">
        <f>spliced_quartely_pmi!G205</f>
        <v>71.022379999999998</v>
      </c>
      <c r="C205" s="2">
        <v>123456789</v>
      </c>
      <c r="D205" s="2">
        <v>123456789</v>
      </c>
    </row>
    <row r="206" spans="1:4" x14ac:dyDescent="0.45">
      <c r="A206" t="s">
        <v>339</v>
      </c>
      <c r="B206" s="21">
        <f>spliced_quartely_pmi!G206</f>
        <v>76.485889999999998</v>
      </c>
      <c r="C206" s="2">
        <v>123456789</v>
      </c>
      <c r="D206" s="2">
        <v>123456789</v>
      </c>
    </row>
    <row r="207" spans="1:4" x14ac:dyDescent="0.45">
      <c r="A207" t="s">
        <v>340</v>
      </c>
      <c r="B207" s="21">
        <f>spliced_quartely_pmi!G207</f>
        <v>78.281400000000005</v>
      </c>
      <c r="C207" s="2">
        <v>123456789</v>
      </c>
      <c r="D207" s="2">
        <v>123456789</v>
      </c>
    </row>
    <row r="208" spans="1:4" x14ac:dyDescent="0.45">
      <c r="A208" t="s">
        <v>341</v>
      </c>
      <c r="B208" s="21">
        <f>spliced_quartely_pmi!G208</f>
        <v>75.536469999999994</v>
      </c>
      <c r="C208" s="2">
        <v>123456789</v>
      </c>
      <c r="D208" s="2">
        <v>123456789</v>
      </c>
    </row>
    <row r="209" spans="1:4" x14ac:dyDescent="0.45">
      <c r="A209" t="s">
        <v>342</v>
      </c>
      <c r="B209" s="21">
        <f>spliced_quartely_pmi!G209</f>
        <v>73.914349999999999</v>
      </c>
      <c r="C209" s="2">
        <v>123456789</v>
      </c>
      <c r="D209" s="2">
        <v>123456789</v>
      </c>
    </row>
    <row r="210" spans="1:4" x14ac:dyDescent="0.45">
      <c r="A210" t="s">
        <v>343</v>
      </c>
      <c r="B210" s="21">
        <f>spliced_quartely_pmi!G210</f>
        <v>74.950050000000005</v>
      </c>
      <c r="C210" s="2">
        <v>123456789</v>
      </c>
      <c r="D210" s="2">
        <v>123456789</v>
      </c>
    </row>
    <row r="211" spans="1:4" x14ac:dyDescent="0.45">
      <c r="A211" t="s">
        <v>344</v>
      </c>
      <c r="B211" s="21">
        <f>spliced_quartely_pmi!G211</f>
        <v>66.730310000000003</v>
      </c>
      <c r="C211" s="2">
        <v>123456789</v>
      </c>
      <c r="D211" s="2">
        <v>123456789</v>
      </c>
    </row>
    <row r="212" spans="1:4" x14ac:dyDescent="0.45">
      <c r="A212" t="s">
        <v>345</v>
      </c>
      <c r="B212" s="21">
        <f>spliced_quartely_pmi!G212</f>
        <v>63.198309999999999</v>
      </c>
      <c r="C212" s="2">
        <v>123456789</v>
      </c>
      <c r="D212" s="2">
        <v>123456789</v>
      </c>
    </row>
    <row r="213" spans="1:4" x14ac:dyDescent="0.45">
      <c r="A213" t="s">
        <v>346</v>
      </c>
      <c r="B213" s="21">
        <f>spliced_quartely_pmi!G213</f>
        <v>60.173999999999999</v>
      </c>
      <c r="C213" s="2">
        <v>123456789</v>
      </c>
      <c r="D213" s="2">
        <v>123456789</v>
      </c>
    </row>
    <row r="214" spans="1:4" x14ac:dyDescent="0.45">
      <c r="A214" t="s">
        <v>347</v>
      </c>
      <c r="B214" s="21">
        <f>spliced_quartely_pmi!G214</f>
        <v>69.881730000000005</v>
      </c>
      <c r="C214" s="2">
        <v>123456789</v>
      </c>
      <c r="D214" s="2">
        <v>123456789</v>
      </c>
    </row>
    <row r="215" spans="1:4" x14ac:dyDescent="0.45">
      <c r="A215" t="s">
        <v>348</v>
      </c>
      <c r="B215" s="21">
        <f>spliced_quartely_pmi!G215</f>
        <v>70.515339999999995</v>
      </c>
      <c r="C215" s="2">
        <v>123456789</v>
      </c>
      <c r="D215" s="2">
        <v>123456789</v>
      </c>
    </row>
    <row r="216" spans="1:4" x14ac:dyDescent="0.45">
      <c r="A216" t="s">
        <v>349</v>
      </c>
      <c r="B216" s="21">
        <f>spliced_quartely_pmi!G216</f>
        <v>68.878299999999996</v>
      </c>
      <c r="C216" s="2">
        <v>123456789</v>
      </c>
      <c r="D216" s="2">
        <v>123456789</v>
      </c>
    </row>
    <row r="217" spans="1:4" x14ac:dyDescent="0.45">
      <c r="A217" t="s">
        <v>350</v>
      </c>
      <c r="B217" s="21">
        <f>spliced_quartely_pmi!G217</f>
        <v>68.286090000000002</v>
      </c>
      <c r="C217" s="2">
        <v>123456789</v>
      </c>
      <c r="D217" s="2">
        <v>123456789</v>
      </c>
    </row>
    <row r="218" spans="1:4" x14ac:dyDescent="0.45">
      <c r="A218" t="s">
        <v>351</v>
      </c>
      <c r="B218" s="21">
        <f>spliced_quartely_pmi!G218</f>
        <v>72.993939999999995</v>
      </c>
      <c r="C218" s="2">
        <v>123456789</v>
      </c>
      <c r="D218" s="2">
        <v>123456789</v>
      </c>
    </row>
    <row r="219" spans="1:4" x14ac:dyDescent="0.45">
      <c r="A219" t="s">
        <v>352</v>
      </c>
      <c r="B219" s="21">
        <f>spliced_quartely_pmi!G219</f>
        <v>71.788070000000005</v>
      </c>
      <c r="C219" s="2">
        <v>123456789</v>
      </c>
      <c r="D219" s="2">
        <v>123456789</v>
      </c>
    </row>
    <row r="220" spans="1:4" x14ac:dyDescent="0.45">
      <c r="A220" t="s">
        <v>353</v>
      </c>
      <c r="B220" s="21">
        <f>spliced_quartely_pmi!G220</f>
        <v>72.972369999999998</v>
      </c>
      <c r="C220" s="2">
        <v>123456789</v>
      </c>
      <c r="D220" s="2">
        <v>123456789</v>
      </c>
    </row>
    <row r="221" spans="1:4" x14ac:dyDescent="0.45">
      <c r="A221" t="s">
        <v>354</v>
      </c>
      <c r="B221" s="21">
        <f>spliced_quartely_pmi!G221</f>
        <v>67.640090000000001</v>
      </c>
      <c r="C221" s="2">
        <v>123456789</v>
      </c>
      <c r="D221" s="2">
        <v>123456789</v>
      </c>
    </row>
    <row r="222" spans="1:4" x14ac:dyDescent="0.45">
      <c r="A222" t="s">
        <v>355</v>
      </c>
      <c r="B222" s="21">
        <f>spliced_quartely_pmi!G222</f>
        <v>65.427880000000002</v>
      </c>
      <c r="C222" s="2">
        <v>123456789</v>
      </c>
      <c r="D222" s="2">
        <v>123456789</v>
      </c>
    </row>
    <row r="223" spans="1:4" x14ac:dyDescent="0.45">
      <c r="A223" t="s">
        <v>356</v>
      </c>
      <c r="B223" s="21">
        <f>spliced_quartely_pmi!G223</f>
        <v>63.49606</v>
      </c>
      <c r="C223" s="2">
        <v>123456789</v>
      </c>
      <c r="D223" s="2">
        <v>123456789</v>
      </c>
    </row>
    <row r="224" spans="1:4" x14ac:dyDescent="0.45">
      <c r="A224" t="s">
        <v>357</v>
      </c>
      <c r="B224" s="21">
        <f>spliced_quartely_pmi!G224</f>
        <v>66.791364596666668</v>
      </c>
      <c r="C224" s="2">
        <v>123456789</v>
      </c>
      <c r="D224" s="2">
        <v>123456789</v>
      </c>
    </row>
    <row r="225" spans="1:4" x14ac:dyDescent="0.45">
      <c r="A225" t="s">
        <v>438</v>
      </c>
      <c r="B225" s="21">
        <v>66.790000000000006</v>
      </c>
      <c r="C225" s="2">
        <v>123456789</v>
      </c>
      <c r="D225" s="2">
        <v>123456789</v>
      </c>
    </row>
  </sheetData>
  <phoneticPr fontId="3"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8186-23ED-4CFA-825D-D725804E4F5C}">
  <sheetPr>
    <tabColor theme="9" tint="0.79998168889431442"/>
  </sheetPr>
  <dimension ref="A1:D226"/>
  <sheetViews>
    <sheetView topLeftCell="A207" workbookViewId="0">
      <selection activeCell="I226" sqref="I226"/>
    </sheetView>
  </sheetViews>
  <sheetFormatPr defaultRowHeight="14.25" x14ac:dyDescent="0.45"/>
  <cols>
    <col min="2" max="2" width="10" bestFit="1" customWidth="1"/>
  </cols>
  <sheetData>
    <row r="1" spans="1:4" x14ac:dyDescent="0.45">
      <c r="B1" t="s">
        <v>6</v>
      </c>
      <c r="C1" t="s">
        <v>133</v>
      </c>
      <c r="D1" t="s">
        <v>134</v>
      </c>
    </row>
    <row r="2" spans="1:4" x14ac:dyDescent="0.45">
      <c r="A2" t="s">
        <v>135</v>
      </c>
      <c r="B2" s="25">
        <v>123456789</v>
      </c>
      <c r="C2" s="2">
        <v>123456789</v>
      </c>
      <c r="D2" s="2">
        <v>123456789</v>
      </c>
    </row>
    <row r="3" spans="1:4" x14ac:dyDescent="0.45">
      <c r="A3" t="s">
        <v>136</v>
      </c>
      <c r="B3" s="25">
        <v>123456789</v>
      </c>
      <c r="C3" s="2">
        <v>123456789</v>
      </c>
      <c r="D3" s="2">
        <v>123456789</v>
      </c>
    </row>
    <row r="4" spans="1:4" x14ac:dyDescent="0.45">
      <c r="A4" t="s">
        <v>137</v>
      </c>
      <c r="B4" s="25">
        <v>123456789</v>
      </c>
      <c r="C4" s="2">
        <v>123456789</v>
      </c>
      <c r="D4" s="2">
        <v>123456789</v>
      </c>
    </row>
    <row r="5" spans="1:4" x14ac:dyDescent="0.45">
      <c r="A5" t="s">
        <v>138</v>
      </c>
      <c r="B5" s="25">
        <v>123456789</v>
      </c>
      <c r="C5" s="2">
        <v>123456789</v>
      </c>
      <c r="D5" s="2">
        <v>123456789</v>
      </c>
    </row>
    <row r="6" spans="1:4" x14ac:dyDescent="0.45">
      <c r="A6" t="s">
        <v>139</v>
      </c>
      <c r="B6" s="25">
        <v>123456789</v>
      </c>
      <c r="C6" s="2">
        <v>123456789</v>
      </c>
      <c r="D6" s="2">
        <v>123456789</v>
      </c>
    </row>
    <row r="7" spans="1:4" x14ac:dyDescent="0.45">
      <c r="A7" t="s">
        <v>140</v>
      </c>
      <c r="B7" s="25">
        <v>123456789</v>
      </c>
      <c r="C7" s="2">
        <v>123456789</v>
      </c>
      <c r="D7" s="2">
        <v>123456789</v>
      </c>
    </row>
    <row r="8" spans="1:4" x14ac:dyDescent="0.45">
      <c r="A8" t="s">
        <v>141</v>
      </c>
      <c r="B8" s="25">
        <v>123456789</v>
      </c>
      <c r="C8" s="2">
        <v>123456789</v>
      </c>
      <c r="D8" s="2">
        <v>123456789</v>
      </c>
    </row>
    <row r="9" spans="1:4" x14ac:dyDescent="0.45">
      <c r="A9" t="s">
        <v>142</v>
      </c>
      <c r="B9" s="25">
        <v>123456789</v>
      </c>
      <c r="C9" s="2">
        <v>123456789</v>
      </c>
      <c r="D9" s="2">
        <v>123456789</v>
      </c>
    </row>
    <row r="10" spans="1:4" x14ac:dyDescent="0.45">
      <c r="A10" t="s">
        <v>143</v>
      </c>
      <c r="B10" s="25">
        <v>123456789</v>
      </c>
      <c r="C10" s="2">
        <v>123456789</v>
      </c>
      <c r="D10" s="2">
        <v>123456789</v>
      </c>
    </row>
    <row r="11" spans="1:4" x14ac:dyDescent="0.45">
      <c r="A11" t="s">
        <v>144</v>
      </c>
      <c r="B11" s="25">
        <v>123456789</v>
      </c>
      <c r="C11" s="2">
        <v>123456789</v>
      </c>
      <c r="D11" s="2">
        <v>123456789</v>
      </c>
    </row>
    <row r="12" spans="1:4" x14ac:dyDescent="0.45">
      <c r="A12" t="s">
        <v>145</v>
      </c>
      <c r="B12" s="25">
        <v>123456789</v>
      </c>
      <c r="C12" s="2">
        <v>123456789</v>
      </c>
      <c r="D12" s="2">
        <v>123456789</v>
      </c>
    </row>
    <row r="13" spans="1:4" x14ac:dyDescent="0.45">
      <c r="A13" t="s">
        <v>146</v>
      </c>
      <c r="B13" s="25">
        <v>123456789</v>
      </c>
      <c r="C13" s="2">
        <v>123456789</v>
      </c>
      <c r="D13" s="2">
        <v>123456789</v>
      </c>
    </row>
    <row r="14" spans="1:4" x14ac:dyDescent="0.45">
      <c r="A14" t="s">
        <v>147</v>
      </c>
      <c r="B14" s="25">
        <v>123456789</v>
      </c>
      <c r="C14" s="2">
        <v>123456789</v>
      </c>
      <c r="D14" s="2">
        <v>123456789</v>
      </c>
    </row>
    <row r="15" spans="1:4" x14ac:dyDescent="0.45">
      <c r="A15" t="s">
        <v>148</v>
      </c>
      <c r="B15" s="25">
        <v>123456789</v>
      </c>
      <c r="C15" s="2">
        <v>123456789</v>
      </c>
      <c r="D15" s="2">
        <v>123456789</v>
      </c>
    </row>
    <row r="16" spans="1:4" x14ac:dyDescent="0.45">
      <c r="A16" t="s">
        <v>149</v>
      </c>
      <c r="B16" s="25">
        <v>123456789</v>
      </c>
      <c r="C16" s="2">
        <v>123456789</v>
      </c>
      <c r="D16" s="2">
        <v>123456789</v>
      </c>
    </row>
    <row r="17" spans="1:4" x14ac:dyDescent="0.45">
      <c r="A17" t="s">
        <v>150</v>
      </c>
      <c r="B17" s="25">
        <v>123456789</v>
      </c>
      <c r="C17" s="2">
        <v>123456789</v>
      </c>
      <c r="D17" s="2">
        <v>123456789</v>
      </c>
    </row>
    <row r="18" spans="1:4" x14ac:dyDescent="0.45">
      <c r="A18" t="s">
        <v>151</v>
      </c>
      <c r="B18" s="25">
        <v>123456789</v>
      </c>
      <c r="C18" s="2">
        <v>123456789</v>
      </c>
      <c r="D18" s="2">
        <v>123456789</v>
      </c>
    </row>
    <row r="19" spans="1:4" x14ac:dyDescent="0.45">
      <c r="A19" t="s">
        <v>152</v>
      </c>
      <c r="B19" s="25">
        <v>123456789</v>
      </c>
      <c r="C19" s="2">
        <v>123456789</v>
      </c>
      <c r="D19" s="2">
        <v>123456789</v>
      </c>
    </row>
    <row r="20" spans="1:4" x14ac:dyDescent="0.45">
      <c r="A20" t="s">
        <v>153</v>
      </c>
      <c r="B20" s="25">
        <v>123456789</v>
      </c>
      <c r="C20" s="2">
        <v>123456789</v>
      </c>
      <c r="D20" s="2">
        <v>123456789</v>
      </c>
    </row>
    <row r="21" spans="1:4" x14ac:dyDescent="0.45">
      <c r="A21" t="s">
        <v>154</v>
      </c>
      <c r="B21" s="25">
        <v>123456789</v>
      </c>
      <c r="C21" s="2">
        <v>123456789</v>
      </c>
      <c r="D21" s="2">
        <v>123456789</v>
      </c>
    </row>
    <row r="22" spans="1:4" x14ac:dyDescent="0.45">
      <c r="A22" t="s">
        <v>155</v>
      </c>
      <c r="B22" s="25">
        <v>123456789</v>
      </c>
      <c r="C22" s="2">
        <v>123456789</v>
      </c>
      <c r="D22" s="2">
        <v>123456789</v>
      </c>
    </row>
    <row r="23" spans="1:4" x14ac:dyDescent="0.45">
      <c r="A23" t="s">
        <v>156</v>
      </c>
      <c r="B23" s="25">
        <v>123456789</v>
      </c>
      <c r="C23" s="2">
        <v>123456789</v>
      </c>
      <c r="D23" s="2">
        <v>123456789</v>
      </c>
    </row>
    <row r="24" spans="1:4" x14ac:dyDescent="0.45">
      <c r="A24" t="s">
        <v>157</v>
      </c>
      <c r="B24" s="25">
        <v>123456789</v>
      </c>
      <c r="C24" s="2">
        <v>123456789</v>
      </c>
      <c r="D24" s="2">
        <v>123456789</v>
      </c>
    </row>
    <row r="25" spans="1:4" x14ac:dyDescent="0.45">
      <c r="A25" t="s">
        <v>158</v>
      </c>
      <c r="B25" s="25">
        <v>123456789</v>
      </c>
      <c r="C25" s="2">
        <v>123456789</v>
      </c>
      <c r="D25" s="2">
        <v>123456789</v>
      </c>
    </row>
    <row r="26" spans="1:4" x14ac:dyDescent="0.45">
      <c r="A26" t="s">
        <v>159</v>
      </c>
      <c r="B26" s="25">
        <v>123456789</v>
      </c>
      <c r="C26" s="2">
        <v>123456789</v>
      </c>
      <c r="D26" s="2">
        <v>123456789</v>
      </c>
    </row>
    <row r="27" spans="1:4" x14ac:dyDescent="0.45">
      <c r="A27" t="s">
        <v>160</v>
      </c>
      <c r="B27" s="25">
        <v>123456789</v>
      </c>
      <c r="C27" s="2">
        <v>123456789</v>
      </c>
      <c r="D27" s="2">
        <v>123456789</v>
      </c>
    </row>
    <row r="28" spans="1:4" x14ac:dyDescent="0.45">
      <c r="A28" t="s">
        <v>161</v>
      </c>
      <c r="B28" s="25">
        <v>123456789</v>
      </c>
      <c r="C28" s="2">
        <v>123456789</v>
      </c>
      <c r="D28" s="2">
        <v>123456789</v>
      </c>
    </row>
    <row r="29" spans="1:4" x14ac:dyDescent="0.45">
      <c r="A29" t="s">
        <v>162</v>
      </c>
      <c r="B29" s="25">
        <v>123456789</v>
      </c>
      <c r="C29" s="2">
        <v>123456789</v>
      </c>
      <c r="D29" s="2">
        <v>123456789</v>
      </c>
    </row>
    <row r="30" spans="1:4" x14ac:dyDescent="0.45">
      <c r="A30" t="s">
        <v>163</v>
      </c>
      <c r="B30" s="25">
        <v>123456789</v>
      </c>
      <c r="C30" s="2">
        <v>123456789</v>
      </c>
      <c r="D30" s="2">
        <v>123456789</v>
      </c>
    </row>
    <row r="31" spans="1:4" x14ac:dyDescent="0.45">
      <c r="A31" t="s">
        <v>164</v>
      </c>
      <c r="B31" s="25">
        <v>123456789</v>
      </c>
      <c r="C31" s="2">
        <v>123456789</v>
      </c>
      <c r="D31" s="2">
        <v>123456789</v>
      </c>
    </row>
    <row r="32" spans="1:4" x14ac:dyDescent="0.45">
      <c r="A32" t="s">
        <v>165</v>
      </c>
      <c r="B32" s="25">
        <v>123456789</v>
      </c>
      <c r="C32" s="2">
        <v>123456789</v>
      </c>
      <c r="D32" s="2">
        <v>123456789</v>
      </c>
    </row>
    <row r="33" spans="1:4" x14ac:dyDescent="0.45">
      <c r="A33" t="s">
        <v>166</v>
      </c>
      <c r="B33" s="25">
        <v>123456789</v>
      </c>
      <c r="C33" s="2">
        <v>123456789</v>
      </c>
      <c r="D33" s="2">
        <v>123456789</v>
      </c>
    </row>
    <row r="34" spans="1:4" x14ac:dyDescent="0.45">
      <c r="A34" t="s">
        <v>167</v>
      </c>
      <c r="B34" s="25">
        <v>123456789</v>
      </c>
      <c r="C34" s="2">
        <v>123456789</v>
      </c>
      <c r="D34" s="2">
        <v>123456789</v>
      </c>
    </row>
    <row r="35" spans="1:4" x14ac:dyDescent="0.45">
      <c r="A35" t="s">
        <v>168</v>
      </c>
      <c r="B35" s="25">
        <v>123456789</v>
      </c>
      <c r="C35" s="2">
        <v>123456789</v>
      </c>
      <c r="D35" s="2">
        <v>123456789</v>
      </c>
    </row>
    <row r="36" spans="1:4" x14ac:dyDescent="0.45">
      <c r="A36" t="s">
        <v>169</v>
      </c>
      <c r="B36" s="25">
        <v>123456789</v>
      </c>
      <c r="C36" s="2">
        <v>123456789</v>
      </c>
      <c r="D36" s="2">
        <v>123456789</v>
      </c>
    </row>
    <row r="37" spans="1:4" x14ac:dyDescent="0.45">
      <c r="A37" t="s">
        <v>170</v>
      </c>
      <c r="B37" s="25">
        <v>123456789</v>
      </c>
      <c r="C37" s="2">
        <v>123456789</v>
      </c>
      <c r="D37" s="2">
        <v>123456789</v>
      </c>
    </row>
    <row r="38" spans="1:4" x14ac:dyDescent="0.45">
      <c r="A38" t="s">
        <v>171</v>
      </c>
      <c r="B38" s="25">
        <v>123456789</v>
      </c>
      <c r="C38" s="2">
        <v>123456789</v>
      </c>
      <c r="D38" s="2">
        <v>123456789</v>
      </c>
    </row>
    <row r="39" spans="1:4" x14ac:dyDescent="0.45">
      <c r="A39" t="s">
        <v>172</v>
      </c>
      <c r="B39" s="25">
        <v>123456789</v>
      </c>
      <c r="C39" s="2">
        <v>123456789</v>
      </c>
      <c r="D39" s="2">
        <v>123456789</v>
      </c>
    </row>
    <row r="40" spans="1:4" x14ac:dyDescent="0.45">
      <c r="A40" t="s">
        <v>173</v>
      </c>
      <c r="B40" s="25">
        <v>123456789</v>
      </c>
      <c r="C40" s="2">
        <v>123456789</v>
      </c>
      <c r="D40" s="2">
        <v>123456789</v>
      </c>
    </row>
    <row r="41" spans="1:4" x14ac:dyDescent="0.45">
      <c r="A41" t="s">
        <v>174</v>
      </c>
      <c r="B41" s="23">
        <v>0.34599999999999997</v>
      </c>
      <c r="C41" s="2">
        <v>123456789</v>
      </c>
      <c r="D41" s="2">
        <v>123456789</v>
      </c>
    </row>
    <row r="42" spans="1:4" x14ac:dyDescent="0.45">
      <c r="A42" t="s">
        <v>175</v>
      </c>
      <c r="B42">
        <v>0.34599999999999997</v>
      </c>
      <c r="C42" s="2">
        <v>123456789</v>
      </c>
      <c r="D42" s="2">
        <v>123456789</v>
      </c>
    </row>
    <row r="43" spans="1:4" x14ac:dyDescent="0.45">
      <c r="A43" t="s">
        <v>176</v>
      </c>
      <c r="B43">
        <v>0.30780000000000002</v>
      </c>
      <c r="C43" s="2">
        <v>123456789</v>
      </c>
      <c r="D43" s="2">
        <v>123456789</v>
      </c>
    </row>
    <row r="44" spans="1:4" x14ac:dyDescent="0.45">
      <c r="A44" t="s">
        <v>177</v>
      </c>
      <c r="B44">
        <v>0.11119999999999999</v>
      </c>
      <c r="C44" s="2">
        <v>123456789</v>
      </c>
      <c r="D44" s="2">
        <v>123456789</v>
      </c>
    </row>
    <row r="45" spans="1:4" x14ac:dyDescent="0.45">
      <c r="A45" t="s">
        <v>178</v>
      </c>
      <c r="B45">
        <v>0.24460000000000001</v>
      </c>
      <c r="C45" s="2">
        <v>123456789</v>
      </c>
      <c r="D45" s="2">
        <v>123456789</v>
      </c>
    </row>
    <row r="46" spans="1:4" x14ac:dyDescent="0.45">
      <c r="A46" t="s">
        <v>179</v>
      </c>
      <c r="B46">
        <v>0.24579999999999999</v>
      </c>
      <c r="C46" s="2">
        <v>123456789</v>
      </c>
      <c r="D46" s="2">
        <v>123456789</v>
      </c>
    </row>
    <row r="47" spans="1:4" x14ac:dyDescent="0.45">
      <c r="A47" t="s">
        <v>180</v>
      </c>
      <c r="B47">
        <v>0.2112</v>
      </c>
      <c r="C47" s="2">
        <v>123456789</v>
      </c>
      <c r="D47" s="2">
        <v>123456789</v>
      </c>
    </row>
    <row r="48" spans="1:4" x14ac:dyDescent="0.45">
      <c r="A48" t="s">
        <v>181</v>
      </c>
      <c r="B48">
        <v>0.25819999999999999</v>
      </c>
      <c r="C48" s="2">
        <v>123456789</v>
      </c>
      <c r="D48" s="2">
        <v>123456789</v>
      </c>
    </row>
    <row r="49" spans="1:4" x14ac:dyDescent="0.45">
      <c r="A49" t="s">
        <v>182</v>
      </c>
      <c r="B49">
        <v>0.57330000000000003</v>
      </c>
      <c r="C49" s="2">
        <v>123456789</v>
      </c>
      <c r="D49" s="2">
        <v>123456789</v>
      </c>
    </row>
    <row r="50" spans="1:4" x14ac:dyDescent="0.45">
      <c r="A50" t="s">
        <v>183</v>
      </c>
      <c r="B50">
        <v>0.21190000000000001</v>
      </c>
      <c r="C50" s="2">
        <v>123456789</v>
      </c>
      <c r="D50" s="2">
        <v>123456789</v>
      </c>
    </row>
    <row r="51" spans="1:4" x14ac:dyDescent="0.45">
      <c r="A51" t="s">
        <v>184</v>
      </c>
      <c r="B51">
        <v>0.18079999999999999</v>
      </c>
      <c r="C51" s="2">
        <v>123456789</v>
      </c>
      <c r="D51" s="2">
        <v>123456789</v>
      </c>
    </row>
    <row r="52" spans="1:4" x14ac:dyDescent="0.45">
      <c r="A52" t="s">
        <v>185</v>
      </c>
      <c r="B52">
        <v>0.21609999999999999</v>
      </c>
      <c r="C52" s="2">
        <v>123456789</v>
      </c>
      <c r="D52" s="2">
        <v>123456789</v>
      </c>
    </row>
    <row r="53" spans="1:4" x14ac:dyDescent="0.45">
      <c r="A53" t="s">
        <v>186</v>
      </c>
      <c r="B53">
        <v>0.27639999999999998</v>
      </c>
      <c r="C53" s="2">
        <v>123456789</v>
      </c>
      <c r="D53" s="2">
        <v>123456789</v>
      </c>
    </row>
    <row r="54" spans="1:4" x14ac:dyDescent="0.45">
      <c r="A54" t="s">
        <v>187</v>
      </c>
      <c r="B54">
        <v>0.1885</v>
      </c>
      <c r="C54" s="2">
        <v>123456789</v>
      </c>
      <c r="D54" s="2">
        <v>123456789</v>
      </c>
    </row>
    <row r="55" spans="1:4" x14ac:dyDescent="0.45">
      <c r="A55" t="s">
        <v>188</v>
      </c>
      <c r="B55">
        <v>0.1008</v>
      </c>
      <c r="C55" s="2">
        <v>123456789</v>
      </c>
      <c r="D55" s="2">
        <v>123456789</v>
      </c>
    </row>
    <row r="56" spans="1:4" x14ac:dyDescent="0.45">
      <c r="A56" t="s">
        <v>189</v>
      </c>
      <c r="B56">
        <v>3.4000000000000002E-2</v>
      </c>
      <c r="C56" s="2">
        <v>123456789</v>
      </c>
      <c r="D56" s="2">
        <v>123456789</v>
      </c>
    </row>
    <row r="57" spans="1:4" x14ac:dyDescent="0.45">
      <c r="A57" t="s">
        <v>190</v>
      </c>
      <c r="B57">
        <v>3.3300000000000003E-2</v>
      </c>
      <c r="C57" s="2">
        <v>123456789</v>
      </c>
      <c r="D57" s="2">
        <v>123456789</v>
      </c>
    </row>
    <row r="58" spans="1:4" x14ac:dyDescent="0.45">
      <c r="A58" t="s">
        <v>191</v>
      </c>
      <c r="B58">
        <v>5.21E-2</v>
      </c>
      <c r="C58" s="2">
        <v>123456789</v>
      </c>
      <c r="D58" s="2">
        <v>123456789</v>
      </c>
    </row>
    <row r="59" spans="1:4" x14ac:dyDescent="0.45">
      <c r="A59" t="s">
        <v>192</v>
      </c>
      <c r="B59">
        <v>0.1003</v>
      </c>
      <c r="C59" s="2">
        <v>123456789</v>
      </c>
      <c r="D59" s="2">
        <v>123456789</v>
      </c>
    </row>
    <row r="60" spans="1:4" x14ac:dyDescent="0.45">
      <c r="A60" t="s">
        <v>193</v>
      </c>
      <c r="B60">
        <v>0.17349999999999999</v>
      </c>
      <c r="C60" s="2">
        <v>123456789</v>
      </c>
      <c r="D60" s="2">
        <v>123456789</v>
      </c>
    </row>
    <row r="61" spans="1:4" x14ac:dyDescent="0.45">
      <c r="A61" t="s">
        <v>194</v>
      </c>
      <c r="B61">
        <v>7.8100000000000003E-2</v>
      </c>
      <c r="C61" s="2">
        <v>123456789</v>
      </c>
      <c r="D61" s="2">
        <v>123456789</v>
      </c>
    </row>
    <row r="62" spans="1:4" x14ac:dyDescent="0.45">
      <c r="A62" t="s">
        <v>195</v>
      </c>
      <c r="B62">
        <v>0.1663</v>
      </c>
      <c r="C62" s="2">
        <v>123456789</v>
      </c>
      <c r="D62" s="2">
        <v>123456789</v>
      </c>
    </row>
    <row r="63" spans="1:4" x14ac:dyDescent="0.45">
      <c r="A63" t="s">
        <v>196</v>
      </c>
      <c r="B63">
        <v>0.1123</v>
      </c>
      <c r="C63" s="2">
        <v>123456789</v>
      </c>
      <c r="D63" s="2">
        <v>123456789</v>
      </c>
    </row>
    <row r="64" spans="1:4" x14ac:dyDescent="0.45">
      <c r="A64" t="s">
        <v>197</v>
      </c>
      <c r="B64">
        <v>0.1067</v>
      </c>
      <c r="C64" s="2">
        <v>123456789</v>
      </c>
      <c r="D64" s="2">
        <v>123456789</v>
      </c>
    </row>
    <row r="65" spans="1:4" x14ac:dyDescent="0.45">
      <c r="A65" t="s">
        <v>198</v>
      </c>
      <c r="B65">
        <v>4.6899999999999997E-2</v>
      </c>
      <c r="C65" s="2">
        <v>123456789</v>
      </c>
      <c r="D65" s="2">
        <v>123456789</v>
      </c>
    </row>
    <row r="66" spans="1:4" x14ac:dyDescent="0.45">
      <c r="A66" t="s">
        <v>199</v>
      </c>
      <c r="B66">
        <v>0.15640000000000001</v>
      </c>
      <c r="C66" s="2">
        <v>123456789</v>
      </c>
      <c r="D66" s="2">
        <v>123456789</v>
      </c>
    </row>
    <row r="67" spans="1:4" x14ac:dyDescent="0.45">
      <c r="A67" t="s">
        <v>200</v>
      </c>
      <c r="B67">
        <v>0.1404</v>
      </c>
      <c r="C67" s="2">
        <v>123456789</v>
      </c>
      <c r="D67" s="2">
        <v>123456789</v>
      </c>
    </row>
    <row r="68" spans="1:4" x14ac:dyDescent="0.45">
      <c r="A68" t="s">
        <v>201</v>
      </c>
      <c r="B68">
        <v>7.8299999999999995E-2</v>
      </c>
      <c r="C68" s="2">
        <v>123456789</v>
      </c>
      <c r="D68" s="2">
        <v>123456789</v>
      </c>
    </row>
    <row r="69" spans="1:4" x14ac:dyDescent="0.45">
      <c r="A69" t="s">
        <v>202</v>
      </c>
      <c r="B69">
        <v>0.12139999999999999</v>
      </c>
      <c r="C69" s="2">
        <v>123456789</v>
      </c>
      <c r="D69" s="2">
        <v>123456789</v>
      </c>
    </row>
    <row r="70" spans="1:4" x14ac:dyDescent="0.45">
      <c r="A70" t="s">
        <v>203</v>
      </c>
      <c r="B70">
        <v>2.5499999999999998E-2</v>
      </c>
      <c r="C70" s="2">
        <v>123456789</v>
      </c>
      <c r="D70" s="2">
        <v>123456789</v>
      </c>
    </row>
    <row r="71" spans="1:4" x14ac:dyDescent="0.45">
      <c r="A71" t="s">
        <v>204</v>
      </c>
      <c r="B71">
        <v>2.7799999999999998E-2</v>
      </c>
      <c r="C71" s="2">
        <v>123456789</v>
      </c>
      <c r="D71" s="2">
        <v>123456789</v>
      </c>
    </row>
    <row r="72" spans="1:4" x14ac:dyDescent="0.45">
      <c r="A72" t="s">
        <v>205</v>
      </c>
      <c r="B72">
        <v>4.1500000000000002E-2</v>
      </c>
      <c r="C72" s="2">
        <v>123456789</v>
      </c>
      <c r="D72" s="2">
        <v>123456789</v>
      </c>
    </row>
    <row r="73" spans="1:4" x14ac:dyDescent="0.45">
      <c r="A73" t="s">
        <v>206</v>
      </c>
      <c r="B73">
        <v>0.27350000000000002</v>
      </c>
      <c r="C73" s="2">
        <v>123456789</v>
      </c>
      <c r="D73" s="2">
        <v>123456789</v>
      </c>
    </row>
    <row r="74" spans="1:4" x14ac:dyDescent="0.45">
      <c r="A74" t="s">
        <v>207</v>
      </c>
      <c r="B74">
        <v>0.2026</v>
      </c>
      <c r="C74" s="2">
        <v>123456789</v>
      </c>
      <c r="D74" s="2">
        <v>123456789</v>
      </c>
    </row>
    <row r="75" spans="1:4" x14ac:dyDescent="0.45">
      <c r="A75" t="s">
        <v>208</v>
      </c>
      <c r="B75">
        <v>0.1031</v>
      </c>
      <c r="C75" s="2">
        <v>123456789</v>
      </c>
      <c r="D75" s="2">
        <v>123456789</v>
      </c>
    </row>
    <row r="76" spans="1:4" x14ac:dyDescent="0.45">
      <c r="A76" t="s">
        <v>209</v>
      </c>
      <c r="B76">
        <v>0.15540000000000001</v>
      </c>
      <c r="C76" s="2">
        <v>123456789</v>
      </c>
      <c r="D76" s="2">
        <v>123456789</v>
      </c>
    </row>
    <row r="77" spans="1:4" x14ac:dyDescent="0.45">
      <c r="A77" t="s">
        <v>210</v>
      </c>
      <c r="B77">
        <v>7.5399999999999995E-2</v>
      </c>
      <c r="C77" s="2">
        <v>123456789</v>
      </c>
      <c r="D77" s="2">
        <v>123456789</v>
      </c>
    </row>
    <row r="78" spans="1:4" x14ac:dyDescent="0.45">
      <c r="A78" t="s">
        <v>211</v>
      </c>
      <c r="B78">
        <v>9.64E-2</v>
      </c>
      <c r="C78" s="2">
        <v>123456789</v>
      </c>
      <c r="D78" s="2">
        <v>123456789</v>
      </c>
    </row>
    <row r="79" spans="1:4" x14ac:dyDescent="0.45">
      <c r="A79" t="s">
        <v>212</v>
      </c>
      <c r="B79">
        <v>0.10680000000000001</v>
      </c>
      <c r="C79" s="2">
        <v>123456789</v>
      </c>
      <c r="D79" s="2">
        <v>123456789</v>
      </c>
    </row>
    <row r="80" spans="1:4" x14ac:dyDescent="0.45">
      <c r="A80" t="s">
        <v>213</v>
      </c>
      <c r="B80">
        <v>5.1200000000000002E-2</v>
      </c>
      <c r="C80" s="2">
        <v>123456789</v>
      </c>
      <c r="D80" s="2">
        <v>123456789</v>
      </c>
    </row>
    <row r="81" spans="1:4" x14ac:dyDescent="0.45">
      <c r="A81" t="s">
        <v>214</v>
      </c>
      <c r="B81">
        <v>0.19700000000000001</v>
      </c>
      <c r="C81" s="2">
        <v>123456789</v>
      </c>
      <c r="D81" s="2">
        <v>123456789</v>
      </c>
    </row>
    <row r="82" spans="1:4" x14ac:dyDescent="0.45">
      <c r="A82" t="s">
        <v>215</v>
      </c>
      <c r="B82">
        <v>7.7200000000000005E-2</v>
      </c>
      <c r="C82" s="2">
        <v>123456789</v>
      </c>
      <c r="D82" s="2">
        <v>123456789</v>
      </c>
    </row>
    <row r="83" spans="1:4" x14ac:dyDescent="0.45">
      <c r="A83" t="s">
        <v>216</v>
      </c>
      <c r="B83">
        <v>0.1046</v>
      </c>
      <c r="C83" s="2">
        <v>123456789</v>
      </c>
      <c r="D83" s="2">
        <v>123456789</v>
      </c>
    </row>
    <row r="84" spans="1:4" x14ac:dyDescent="0.45">
      <c r="A84" t="s">
        <v>217</v>
      </c>
      <c r="B84">
        <v>0.2009</v>
      </c>
      <c r="C84" s="2">
        <v>123456789</v>
      </c>
      <c r="D84" s="2">
        <v>123456789</v>
      </c>
    </row>
    <row r="85" spans="1:4" x14ac:dyDescent="0.45">
      <c r="A85" t="s">
        <v>218</v>
      </c>
      <c r="B85">
        <v>0.26569999999999999</v>
      </c>
      <c r="C85" s="2">
        <v>123456789</v>
      </c>
      <c r="D85" s="2">
        <v>123456789</v>
      </c>
    </row>
    <row r="86" spans="1:4" x14ac:dyDescent="0.45">
      <c r="A86" t="s">
        <v>219</v>
      </c>
      <c r="B86">
        <v>0.1186</v>
      </c>
      <c r="C86" s="2">
        <v>123456789</v>
      </c>
      <c r="D86" s="2">
        <v>123456789</v>
      </c>
    </row>
    <row r="87" spans="1:4" x14ac:dyDescent="0.45">
      <c r="A87" t="s">
        <v>220</v>
      </c>
      <c r="B87">
        <v>2.2100000000000002E-2</v>
      </c>
      <c r="C87" s="2">
        <v>123456789</v>
      </c>
      <c r="D87" s="2">
        <v>123456789</v>
      </c>
    </row>
    <row r="88" spans="1:4" x14ac:dyDescent="0.45">
      <c r="A88" t="s">
        <v>221</v>
      </c>
      <c r="B88">
        <v>2.2100000000000002E-2</v>
      </c>
      <c r="C88" s="2">
        <v>123456789</v>
      </c>
      <c r="D88" s="2">
        <v>123456789</v>
      </c>
    </row>
    <row r="89" spans="1:4" x14ac:dyDescent="0.45">
      <c r="A89" t="s">
        <v>222</v>
      </c>
      <c r="B89">
        <v>5.4300000000000001E-2</v>
      </c>
      <c r="C89" s="2">
        <v>123456789</v>
      </c>
      <c r="D89" s="2">
        <v>123456789</v>
      </c>
    </row>
    <row r="90" spans="1:4" x14ac:dyDescent="0.45">
      <c r="A90" t="s">
        <v>223</v>
      </c>
      <c r="B90">
        <v>8.7599999999999997E-2</v>
      </c>
      <c r="C90" s="2">
        <v>123456789</v>
      </c>
      <c r="D90" s="2">
        <v>123456789</v>
      </c>
    </row>
    <row r="91" spans="1:4" x14ac:dyDescent="0.45">
      <c r="A91" t="s">
        <v>224</v>
      </c>
      <c r="B91">
        <v>4.9599999999999998E-2</v>
      </c>
      <c r="C91" s="2">
        <v>123456789</v>
      </c>
      <c r="D91" s="2">
        <v>123456789</v>
      </c>
    </row>
    <row r="92" spans="1:4" x14ac:dyDescent="0.45">
      <c r="A92" t="s">
        <v>225</v>
      </c>
      <c r="B92">
        <v>0.23549999999999999</v>
      </c>
      <c r="C92" s="2">
        <v>123456789</v>
      </c>
      <c r="D92" s="2">
        <v>123456789</v>
      </c>
    </row>
    <row r="93" spans="1:4" x14ac:dyDescent="0.45">
      <c r="A93" t="s">
        <v>226</v>
      </c>
      <c r="B93">
        <v>0.17580000000000001</v>
      </c>
      <c r="C93" s="2">
        <v>123456789</v>
      </c>
      <c r="D93" s="2">
        <v>123456789</v>
      </c>
    </row>
    <row r="94" spans="1:4" x14ac:dyDescent="0.45">
      <c r="A94" t="s">
        <v>227</v>
      </c>
      <c r="B94">
        <v>4.8800000000000003E-2</v>
      </c>
      <c r="C94" s="2">
        <v>123456789</v>
      </c>
      <c r="D94" s="2">
        <v>123456789</v>
      </c>
    </row>
    <row r="95" spans="1:4" x14ac:dyDescent="0.45">
      <c r="A95" t="s">
        <v>228</v>
      </c>
      <c r="B95">
        <v>1.23E-2</v>
      </c>
      <c r="C95" s="2">
        <v>123456789</v>
      </c>
      <c r="D95" s="2">
        <v>123456789</v>
      </c>
    </row>
    <row r="96" spans="1:4" x14ac:dyDescent="0.45">
      <c r="A96" t="s">
        <v>229</v>
      </c>
      <c r="B96">
        <v>1.1299999999999999E-2</v>
      </c>
      <c r="C96" s="2">
        <v>123456789</v>
      </c>
      <c r="D96" s="2">
        <v>123456789</v>
      </c>
    </row>
    <row r="97" spans="1:4" x14ac:dyDescent="0.45">
      <c r="A97" t="s">
        <v>230</v>
      </c>
      <c r="B97">
        <v>2.6800000000000001E-2</v>
      </c>
      <c r="C97" s="2">
        <v>123456789</v>
      </c>
      <c r="D97" s="2">
        <v>123456789</v>
      </c>
    </row>
    <row r="98" spans="1:4" x14ac:dyDescent="0.45">
      <c r="A98" t="s">
        <v>231</v>
      </c>
      <c r="B98">
        <v>4.0899999999999999E-2</v>
      </c>
      <c r="C98" s="2">
        <v>123456789</v>
      </c>
      <c r="D98" s="2">
        <v>123456789</v>
      </c>
    </row>
    <row r="99" spans="1:4" x14ac:dyDescent="0.45">
      <c r="A99" t="s">
        <v>232</v>
      </c>
      <c r="B99">
        <v>2.5000000000000001E-2</v>
      </c>
      <c r="C99" s="2">
        <v>123456789</v>
      </c>
      <c r="D99" s="2">
        <v>123456789</v>
      </c>
    </row>
    <row r="100" spans="1:4" x14ac:dyDescent="0.45">
      <c r="A100" t="s">
        <v>233</v>
      </c>
      <c r="B100">
        <v>3.5499999999999997E-2</v>
      </c>
      <c r="C100" s="2">
        <v>123456789</v>
      </c>
      <c r="D100" s="2">
        <v>123456789</v>
      </c>
    </row>
    <row r="101" spans="1:4" x14ac:dyDescent="0.45">
      <c r="A101" t="s">
        <v>234</v>
      </c>
      <c r="B101">
        <v>1.8700000000000001E-2</v>
      </c>
      <c r="C101" s="2">
        <v>123456789</v>
      </c>
      <c r="D101" s="2">
        <v>123456789</v>
      </c>
    </row>
    <row r="102" spans="1:4" x14ac:dyDescent="0.45">
      <c r="A102" t="s">
        <v>235</v>
      </c>
      <c r="B102">
        <v>3.39E-2</v>
      </c>
      <c r="C102" s="2">
        <v>123456789</v>
      </c>
      <c r="D102" s="2">
        <v>123456789</v>
      </c>
    </row>
    <row r="103" spans="1:4" x14ac:dyDescent="0.45">
      <c r="A103" t="s">
        <v>236</v>
      </c>
      <c r="B103">
        <v>3.85E-2</v>
      </c>
      <c r="C103" s="2">
        <v>123456789</v>
      </c>
      <c r="D103" s="2">
        <v>123456789</v>
      </c>
    </row>
    <row r="104" spans="1:4" x14ac:dyDescent="0.45">
      <c r="A104" t="s">
        <v>237</v>
      </c>
      <c r="B104">
        <v>2.0899999999999998E-2</v>
      </c>
      <c r="C104" s="2">
        <v>123456789</v>
      </c>
      <c r="D104" s="2">
        <v>123456789</v>
      </c>
    </row>
    <row r="105" spans="1:4" x14ac:dyDescent="0.45">
      <c r="A105" t="s">
        <v>238</v>
      </c>
      <c r="B105">
        <v>2.64E-2</v>
      </c>
      <c r="C105" s="2">
        <v>123456789</v>
      </c>
      <c r="D105" s="2">
        <v>123456789</v>
      </c>
    </row>
    <row r="106" spans="1:4" x14ac:dyDescent="0.45">
      <c r="A106" t="s">
        <v>239</v>
      </c>
      <c r="B106">
        <v>3.1199999999999999E-2</v>
      </c>
      <c r="C106" s="2">
        <v>123456789</v>
      </c>
      <c r="D106" s="2">
        <v>123456789</v>
      </c>
    </row>
    <row r="107" spans="1:4" x14ac:dyDescent="0.45">
      <c r="A107" t="s">
        <v>240</v>
      </c>
      <c r="B107">
        <v>3.5099999999999999E-2</v>
      </c>
      <c r="C107" s="2">
        <v>123456789</v>
      </c>
      <c r="D107" s="2">
        <v>123456789</v>
      </c>
    </row>
    <row r="108" spans="1:4" x14ac:dyDescent="0.45">
      <c r="A108" t="s">
        <v>241</v>
      </c>
      <c r="B108">
        <v>3.4000000000000002E-2</v>
      </c>
      <c r="C108" s="2">
        <v>123456789</v>
      </c>
      <c r="D108" s="2">
        <v>123456789</v>
      </c>
    </row>
    <row r="109" spans="1:4" x14ac:dyDescent="0.45">
      <c r="A109" t="s">
        <v>242</v>
      </c>
      <c r="B109">
        <v>3.4299999999999997E-2</v>
      </c>
      <c r="C109" s="2">
        <v>123456789</v>
      </c>
      <c r="D109" s="2">
        <v>123456789</v>
      </c>
    </row>
    <row r="110" spans="1:4" x14ac:dyDescent="0.45">
      <c r="A110" t="s">
        <v>243</v>
      </c>
      <c r="B110">
        <v>2.1000000000000001E-2</v>
      </c>
      <c r="C110" s="2">
        <v>123456789</v>
      </c>
      <c r="D110" s="2">
        <v>123456789</v>
      </c>
    </row>
    <row r="111" spans="1:4" x14ac:dyDescent="0.45">
      <c r="A111" t="s">
        <v>244</v>
      </c>
      <c r="B111">
        <v>1.7600000000000001E-2</v>
      </c>
      <c r="C111" s="2">
        <v>123456789</v>
      </c>
      <c r="D111" s="2">
        <v>123456789</v>
      </c>
    </row>
    <row r="112" spans="1:4" x14ac:dyDescent="0.45">
      <c r="A112" t="s">
        <v>245</v>
      </c>
      <c r="B112">
        <v>3.5299999999999998E-2</v>
      </c>
      <c r="C112" s="2">
        <v>123456789</v>
      </c>
      <c r="D112" s="2">
        <v>123456789</v>
      </c>
    </row>
    <row r="113" spans="1:4" x14ac:dyDescent="0.45">
      <c r="A113" t="s">
        <v>246</v>
      </c>
      <c r="B113">
        <v>7.4499999999999997E-2</v>
      </c>
      <c r="C113" s="2">
        <v>123456789</v>
      </c>
      <c r="D113" s="2">
        <v>123456789</v>
      </c>
    </row>
    <row r="114" spans="1:4" x14ac:dyDescent="0.45">
      <c r="A114" t="s">
        <v>247</v>
      </c>
      <c r="B114">
        <v>1.17E-2</v>
      </c>
      <c r="C114" s="2">
        <v>123456789</v>
      </c>
      <c r="D114" s="2">
        <v>123456789</v>
      </c>
    </row>
    <row r="115" spans="1:4" x14ac:dyDescent="0.45">
      <c r="A115" t="s">
        <v>248</v>
      </c>
      <c r="B115">
        <v>1.47E-2</v>
      </c>
      <c r="C115" s="2">
        <v>123456789</v>
      </c>
      <c r="D115" s="2">
        <v>123456789</v>
      </c>
    </row>
    <row r="116" spans="1:4" x14ac:dyDescent="0.45">
      <c r="A116" t="s">
        <v>249</v>
      </c>
      <c r="B116">
        <v>5.62E-2</v>
      </c>
      <c r="C116" s="2">
        <v>123456789</v>
      </c>
      <c r="D116" s="2">
        <v>123456789</v>
      </c>
    </row>
    <row r="117" spans="1:4" x14ac:dyDescent="0.45">
      <c r="A117" t="s">
        <v>250</v>
      </c>
      <c r="B117">
        <v>0.20599999999999999</v>
      </c>
      <c r="C117" s="2">
        <v>123456789</v>
      </c>
      <c r="D117" s="2">
        <v>123456789</v>
      </c>
    </row>
    <row r="118" spans="1:4" x14ac:dyDescent="0.45">
      <c r="A118" t="s">
        <v>251</v>
      </c>
      <c r="B118">
        <v>5.3199999999999997E-2</v>
      </c>
      <c r="C118" s="2">
        <v>123456789</v>
      </c>
      <c r="D118" s="2">
        <v>123456789</v>
      </c>
    </row>
    <row r="119" spans="1:4" x14ac:dyDescent="0.45">
      <c r="A119" t="s">
        <v>252</v>
      </c>
      <c r="B119">
        <v>9.1999999999999998E-3</v>
      </c>
      <c r="C119" s="2">
        <v>123456789</v>
      </c>
      <c r="D119" s="2">
        <v>123456789</v>
      </c>
    </row>
    <row r="120" spans="1:4" x14ac:dyDescent="0.45">
      <c r="A120" t="s">
        <v>253</v>
      </c>
      <c r="B120">
        <v>5.96E-2</v>
      </c>
      <c r="C120" s="2">
        <v>123456789</v>
      </c>
      <c r="D120" s="2">
        <v>123456789</v>
      </c>
    </row>
    <row r="121" spans="1:4" x14ac:dyDescent="0.45">
      <c r="A121" t="s">
        <v>254</v>
      </c>
      <c r="B121">
        <v>8.5500000000000007E-2</v>
      </c>
      <c r="C121" s="2">
        <v>123456789</v>
      </c>
      <c r="D121" s="2">
        <v>123456789</v>
      </c>
    </row>
    <row r="122" spans="1:4" x14ac:dyDescent="0.45">
      <c r="A122" t="s">
        <v>255</v>
      </c>
      <c r="B122">
        <v>0.1056</v>
      </c>
      <c r="C122" s="2">
        <v>123456789</v>
      </c>
      <c r="D122" s="2">
        <v>123456789</v>
      </c>
    </row>
    <row r="123" spans="1:4" x14ac:dyDescent="0.45">
      <c r="A123" t="s">
        <v>256</v>
      </c>
      <c r="B123">
        <v>0.1527</v>
      </c>
      <c r="C123" s="2">
        <v>123456789</v>
      </c>
      <c r="D123" s="2">
        <v>123456789</v>
      </c>
    </row>
    <row r="124" spans="1:4" x14ac:dyDescent="0.45">
      <c r="A124" t="s">
        <v>257</v>
      </c>
      <c r="B124">
        <v>7.6999999999999999E-2</v>
      </c>
      <c r="C124" s="2">
        <v>123456789</v>
      </c>
      <c r="D124" s="2">
        <v>123456789</v>
      </c>
    </row>
    <row r="125" spans="1:4" x14ac:dyDescent="0.45">
      <c r="A125" t="s">
        <v>258</v>
      </c>
      <c r="B125">
        <v>0.12959999999999999</v>
      </c>
      <c r="C125" s="2">
        <v>123456789</v>
      </c>
      <c r="D125" s="2">
        <v>123456789</v>
      </c>
    </row>
    <row r="126" spans="1:4" x14ac:dyDescent="0.45">
      <c r="A126" t="s">
        <v>259</v>
      </c>
      <c r="B126">
        <v>9.6799999999999997E-2</v>
      </c>
      <c r="C126" s="2">
        <v>123456789</v>
      </c>
      <c r="D126" s="2">
        <v>123456789</v>
      </c>
    </row>
    <row r="127" spans="1:4" x14ac:dyDescent="0.45">
      <c r="A127" t="s">
        <v>260</v>
      </c>
      <c r="B127">
        <v>9.0999999999999998E-2</v>
      </c>
      <c r="C127" s="2">
        <v>123456789</v>
      </c>
      <c r="D127" s="2">
        <v>123456789</v>
      </c>
    </row>
    <row r="128" spans="1:4" x14ac:dyDescent="0.45">
      <c r="A128" t="s">
        <v>261</v>
      </c>
      <c r="B128">
        <v>7.46E-2</v>
      </c>
      <c r="C128" s="2">
        <v>123456789</v>
      </c>
      <c r="D128" s="2">
        <v>123456789</v>
      </c>
    </row>
    <row r="129" spans="1:4" x14ac:dyDescent="0.45">
      <c r="A129" t="s">
        <v>262</v>
      </c>
      <c r="B129">
        <v>8.0600000000000005E-2</v>
      </c>
      <c r="C129" s="2">
        <v>123456789</v>
      </c>
      <c r="D129" s="2">
        <v>123456789</v>
      </c>
    </row>
    <row r="130" spans="1:4" x14ac:dyDescent="0.45">
      <c r="A130" t="s">
        <v>263</v>
      </c>
      <c r="B130">
        <v>3.2399999999999998E-2</v>
      </c>
      <c r="C130" s="2">
        <v>123456789</v>
      </c>
      <c r="D130" s="2">
        <v>123456789</v>
      </c>
    </row>
    <row r="131" spans="1:4" x14ac:dyDescent="0.45">
      <c r="A131" t="s">
        <v>264</v>
      </c>
      <c r="B131">
        <v>1.67E-2</v>
      </c>
      <c r="C131" s="2">
        <v>123456789</v>
      </c>
      <c r="D131" s="2">
        <v>123456789</v>
      </c>
    </row>
    <row r="132" spans="1:4" x14ac:dyDescent="0.45">
      <c r="A132" t="s">
        <v>265</v>
      </c>
      <c r="B132">
        <v>7.5600000000000001E-2</v>
      </c>
      <c r="C132" s="2">
        <v>123456789</v>
      </c>
      <c r="D132" s="2">
        <v>123456789</v>
      </c>
    </row>
    <row r="133" spans="1:4" x14ac:dyDescent="0.45">
      <c r="A133" t="s">
        <v>266</v>
      </c>
      <c r="B133">
        <v>7.3300000000000004E-2</v>
      </c>
      <c r="C133" s="2">
        <v>123456789</v>
      </c>
      <c r="D133" s="2">
        <v>123456789</v>
      </c>
    </row>
    <row r="134" spans="1:4" x14ac:dyDescent="0.45">
      <c r="A134" t="s">
        <v>267</v>
      </c>
      <c r="B134">
        <v>5.0900000000000001E-2</v>
      </c>
      <c r="C134" s="2">
        <v>123456789</v>
      </c>
      <c r="D134" s="2">
        <v>123456789</v>
      </c>
    </row>
    <row r="135" spans="1:4" x14ac:dyDescent="0.45">
      <c r="A135" t="s">
        <v>268</v>
      </c>
      <c r="B135">
        <v>4.7300000000000002E-2</v>
      </c>
      <c r="C135" s="2">
        <v>123456789</v>
      </c>
      <c r="D135" s="2">
        <v>123456789</v>
      </c>
    </row>
    <row r="136" spans="1:4" x14ac:dyDescent="0.45">
      <c r="A136" t="s">
        <v>269</v>
      </c>
      <c r="B136">
        <v>1.4999999999999999E-2</v>
      </c>
      <c r="C136" s="2">
        <v>123456789</v>
      </c>
      <c r="D136" s="2">
        <v>123456789</v>
      </c>
    </row>
    <row r="137" spans="1:4" x14ac:dyDescent="0.45">
      <c r="A137" t="s">
        <v>270</v>
      </c>
      <c r="B137">
        <v>7.4000000000000003E-3</v>
      </c>
      <c r="C137" s="2">
        <v>123456789</v>
      </c>
      <c r="D137" s="2">
        <v>123456789</v>
      </c>
    </row>
    <row r="138" spans="1:4" x14ac:dyDescent="0.45">
      <c r="A138" t="s">
        <v>271</v>
      </c>
      <c r="B138">
        <v>1.5699999999999999E-2</v>
      </c>
      <c r="C138" s="2">
        <v>123456789</v>
      </c>
      <c r="D138" s="2">
        <v>123456789</v>
      </c>
    </row>
    <row r="139" spans="1:4" x14ac:dyDescent="0.45">
      <c r="A139" t="s">
        <v>272</v>
      </c>
      <c r="B139">
        <v>1.9199999999999998E-2</v>
      </c>
      <c r="C139" s="2">
        <v>123456789</v>
      </c>
      <c r="D139" s="2">
        <v>123456789</v>
      </c>
    </row>
    <row r="140" spans="1:4" x14ac:dyDescent="0.45">
      <c r="A140" t="s">
        <v>273</v>
      </c>
      <c r="B140">
        <v>2.9000000000000001E-2</v>
      </c>
      <c r="C140" s="2">
        <v>123456789</v>
      </c>
      <c r="D140" s="2">
        <v>123456789</v>
      </c>
    </row>
    <row r="141" spans="1:4" x14ac:dyDescent="0.45">
      <c r="A141" t="s">
        <v>274</v>
      </c>
      <c r="B141">
        <v>2.5000000000000001E-2</v>
      </c>
      <c r="C141" s="2">
        <v>123456789</v>
      </c>
      <c r="D141" s="2">
        <v>123456789</v>
      </c>
    </row>
    <row r="142" spans="1:4" x14ac:dyDescent="0.45">
      <c r="A142" t="s">
        <v>275</v>
      </c>
      <c r="B142">
        <v>2.0500000000000001E-2</v>
      </c>
      <c r="C142" s="2">
        <v>123456789</v>
      </c>
      <c r="D142" s="2">
        <v>123456789</v>
      </c>
    </row>
    <row r="143" spans="1:4" x14ac:dyDescent="0.45">
      <c r="A143" t="s">
        <v>276</v>
      </c>
      <c r="B143">
        <v>3.7499999999999999E-2</v>
      </c>
      <c r="C143" s="2">
        <v>123456789</v>
      </c>
      <c r="D143" s="2">
        <v>123456789</v>
      </c>
    </row>
    <row r="144" spans="1:4" x14ac:dyDescent="0.45">
      <c r="A144" t="s">
        <v>277</v>
      </c>
      <c r="B144">
        <v>2.0199999999999999E-2</v>
      </c>
      <c r="C144" s="2">
        <v>123456789</v>
      </c>
      <c r="D144" s="2">
        <v>123456789</v>
      </c>
    </row>
    <row r="145" spans="1:4" x14ac:dyDescent="0.45">
      <c r="A145" t="s">
        <v>278</v>
      </c>
      <c r="B145">
        <v>3.1399999999999997E-2</v>
      </c>
      <c r="C145" s="2">
        <v>123456789</v>
      </c>
      <c r="D145" s="2">
        <v>123456789</v>
      </c>
    </row>
    <row r="146" spans="1:4" x14ac:dyDescent="0.45">
      <c r="A146" t="s">
        <v>279</v>
      </c>
      <c r="B146">
        <v>3.4700000000000002E-2</v>
      </c>
      <c r="C146" s="2">
        <v>123456789</v>
      </c>
      <c r="D146" s="2">
        <v>123456789</v>
      </c>
    </row>
    <row r="147" spans="1:4" x14ac:dyDescent="0.45">
      <c r="A147" t="s">
        <v>280</v>
      </c>
      <c r="B147">
        <v>3.4700000000000002E-2</v>
      </c>
      <c r="C147" s="2">
        <v>123456789</v>
      </c>
      <c r="D147" s="2">
        <v>123456789</v>
      </c>
    </row>
    <row r="148" spans="1:4" x14ac:dyDescent="0.45">
      <c r="A148" t="s">
        <v>281</v>
      </c>
      <c r="B148">
        <v>2.7799999999999998E-2</v>
      </c>
      <c r="C148" s="2">
        <v>123456789</v>
      </c>
      <c r="D148" s="2">
        <v>123456789</v>
      </c>
    </row>
    <row r="149" spans="1:4" x14ac:dyDescent="0.45">
      <c r="A149" t="s">
        <v>282</v>
      </c>
      <c r="B149">
        <v>2.2700000000000001E-2</v>
      </c>
      <c r="C149" s="2">
        <v>123456789</v>
      </c>
      <c r="D149" s="2">
        <v>123456789</v>
      </c>
    </row>
    <row r="150" spans="1:4" x14ac:dyDescent="0.45">
      <c r="A150" t="s">
        <v>283</v>
      </c>
      <c r="B150">
        <v>4.2900000000000001E-2</v>
      </c>
      <c r="C150" s="2">
        <v>123456789</v>
      </c>
      <c r="D150" s="2">
        <v>123456789</v>
      </c>
    </row>
    <row r="151" spans="1:4" x14ac:dyDescent="0.45">
      <c r="A151" t="s">
        <v>284</v>
      </c>
      <c r="B151">
        <v>0.01</v>
      </c>
      <c r="C151" s="2">
        <v>123456789</v>
      </c>
      <c r="D151" s="2">
        <v>123456789</v>
      </c>
    </row>
    <row r="152" spans="1:4" x14ac:dyDescent="0.45">
      <c r="A152" t="s">
        <v>285</v>
      </c>
      <c r="B152">
        <v>0.12759999999999999</v>
      </c>
      <c r="C152" s="2">
        <v>123456789</v>
      </c>
      <c r="D152" s="2">
        <v>123456789</v>
      </c>
    </row>
    <row r="153" spans="1:4" x14ac:dyDescent="0.45">
      <c r="A153" t="s">
        <v>286</v>
      </c>
      <c r="B153">
        <v>0.20860000000000001</v>
      </c>
      <c r="C153" s="2">
        <v>123456789</v>
      </c>
      <c r="D153" s="2">
        <v>123456789</v>
      </c>
    </row>
    <row r="154" spans="1:4" x14ac:dyDescent="0.45">
      <c r="A154" t="s">
        <v>287</v>
      </c>
      <c r="B154">
        <v>0.33379999999999999</v>
      </c>
      <c r="C154" s="2">
        <v>123456789</v>
      </c>
      <c r="D154" s="2">
        <v>123456789</v>
      </c>
    </row>
    <row r="155" spans="1:4" x14ac:dyDescent="0.45">
      <c r="A155" t="s">
        <v>288</v>
      </c>
      <c r="B155">
        <v>0.33889999999999998</v>
      </c>
      <c r="C155" s="2">
        <v>123456789</v>
      </c>
      <c r="D155" s="2">
        <v>123456789</v>
      </c>
    </row>
    <row r="156" spans="1:4" x14ac:dyDescent="0.45">
      <c r="A156" t="s">
        <v>289</v>
      </c>
      <c r="B156">
        <v>0.41410000000000002</v>
      </c>
      <c r="C156" s="2">
        <v>123456789</v>
      </c>
      <c r="D156" s="2">
        <v>123456789</v>
      </c>
    </row>
    <row r="157" spans="1:4" x14ac:dyDescent="0.45">
      <c r="A157" t="s">
        <v>290</v>
      </c>
      <c r="B157">
        <v>0.69579999999999997</v>
      </c>
      <c r="C157" s="2">
        <v>123456789</v>
      </c>
      <c r="D157" s="2">
        <v>123456789</v>
      </c>
    </row>
    <row r="158" spans="1:4" x14ac:dyDescent="0.45">
      <c r="A158" t="s">
        <v>291</v>
      </c>
      <c r="B158">
        <v>0.65810000000000002</v>
      </c>
      <c r="C158" s="2">
        <v>123456789</v>
      </c>
      <c r="D158" s="2">
        <v>123456789</v>
      </c>
    </row>
    <row r="159" spans="1:4" x14ac:dyDescent="0.45">
      <c r="A159" t="s">
        <v>292</v>
      </c>
      <c r="B159">
        <v>0.56130000000000002</v>
      </c>
      <c r="C159" s="2">
        <v>123456789</v>
      </c>
      <c r="D159" s="2">
        <v>123456789</v>
      </c>
    </row>
    <row r="160" spans="1:4" x14ac:dyDescent="0.45">
      <c r="A160" t="s">
        <v>293</v>
      </c>
      <c r="B160">
        <v>0.37269999999999998</v>
      </c>
      <c r="C160" s="2">
        <v>123456789</v>
      </c>
      <c r="D160" s="2">
        <v>123456789</v>
      </c>
    </row>
    <row r="161" spans="1:4" x14ac:dyDescent="0.45">
      <c r="A161" t="s">
        <v>294</v>
      </c>
      <c r="B161">
        <v>0.28949999999999998</v>
      </c>
      <c r="C161" s="2">
        <v>123456789</v>
      </c>
      <c r="D161" s="2">
        <v>123456789</v>
      </c>
    </row>
    <row r="162" spans="1:4" x14ac:dyDescent="0.45">
      <c r="A162" t="s">
        <v>295</v>
      </c>
      <c r="B162">
        <v>0.17599999999999999</v>
      </c>
      <c r="C162" s="2">
        <v>123456789</v>
      </c>
      <c r="D162" s="2">
        <v>123456789</v>
      </c>
    </row>
    <row r="163" spans="1:4" x14ac:dyDescent="0.45">
      <c r="A163" t="s">
        <v>296</v>
      </c>
      <c r="B163">
        <v>0.25609999999999999</v>
      </c>
      <c r="C163" s="2">
        <v>123456789</v>
      </c>
      <c r="D163" s="2">
        <v>123456789</v>
      </c>
    </row>
    <row r="164" spans="1:4" x14ac:dyDescent="0.45">
      <c r="A164" t="s">
        <v>297</v>
      </c>
      <c r="B164">
        <v>0.25480000000000003</v>
      </c>
      <c r="C164" s="2">
        <v>123456789</v>
      </c>
      <c r="D164" s="2">
        <v>123456789</v>
      </c>
    </row>
    <row r="165" spans="1:4" x14ac:dyDescent="0.45">
      <c r="A165" t="s">
        <v>298</v>
      </c>
      <c r="B165">
        <v>7.2300000000000003E-2</v>
      </c>
      <c r="C165" s="2">
        <v>123456789</v>
      </c>
      <c r="D165" s="2">
        <v>123456789</v>
      </c>
    </row>
    <row r="166" spans="1:4" x14ac:dyDescent="0.45">
      <c r="A166" t="s">
        <v>299</v>
      </c>
      <c r="B166">
        <v>7.22E-2</v>
      </c>
      <c r="C166" s="2">
        <v>123456789</v>
      </c>
      <c r="D166" s="2">
        <v>123456789</v>
      </c>
    </row>
    <row r="167" spans="1:4" x14ac:dyDescent="0.45">
      <c r="A167" t="s">
        <v>300</v>
      </c>
      <c r="B167">
        <v>6.1499999999999999E-2</v>
      </c>
      <c r="C167" s="2">
        <v>123456789</v>
      </c>
      <c r="D167" s="2">
        <v>123456789</v>
      </c>
    </row>
    <row r="168" spans="1:4" x14ac:dyDescent="0.45">
      <c r="A168" t="s">
        <v>301</v>
      </c>
      <c r="B168">
        <v>0.24959999999999999</v>
      </c>
      <c r="C168" s="2">
        <v>123456789</v>
      </c>
      <c r="D168" s="2">
        <v>123456789</v>
      </c>
    </row>
    <row r="169" spans="1:4" x14ac:dyDescent="0.45">
      <c r="A169" t="s">
        <v>302</v>
      </c>
      <c r="B169">
        <v>0.37409999999999999</v>
      </c>
      <c r="C169" s="2">
        <v>123456789</v>
      </c>
      <c r="D169" s="2">
        <v>123456789</v>
      </c>
    </row>
    <row r="170" spans="1:4" x14ac:dyDescent="0.45">
      <c r="A170" t="s">
        <v>303</v>
      </c>
      <c r="B170">
        <v>0.11600000000000001</v>
      </c>
      <c r="C170" s="2">
        <v>123456789</v>
      </c>
      <c r="D170" s="2">
        <v>123456789</v>
      </c>
    </row>
    <row r="171" spans="1:4" x14ac:dyDescent="0.45">
      <c r="A171" t="s">
        <v>304</v>
      </c>
      <c r="B171">
        <v>0.19450000000000001</v>
      </c>
      <c r="C171" s="2">
        <v>123456789</v>
      </c>
      <c r="D171" s="2">
        <v>123456789</v>
      </c>
    </row>
    <row r="172" spans="1:4" x14ac:dyDescent="0.45">
      <c r="A172" t="s">
        <v>305</v>
      </c>
      <c r="B172">
        <v>0.10440000000000001</v>
      </c>
      <c r="C172" s="2">
        <v>123456789</v>
      </c>
      <c r="D172" s="2">
        <v>123456789</v>
      </c>
    </row>
    <row r="173" spans="1:4" x14ac:dyDescent="0.45">
      <c r="A173" t="s">
        <v>306</v>
      </c>
      <c r="B173">
        <v>1.7600000000000001E-2</v>
      </c>
      <c r="C173" s="2">
        <v>123456789</v>
      </c>
      <c r="D173" s="2">
        <v>123456789</v>
      </c>
    </row>
    <row r="174" spans="1:4" x14ac:dyDescent="0.45">
      <c r="A174" t="s">
        <v>307</v>
      </c>
      <c r="B174">
        <v>0.02</v>
      </c>
      <c r="C174" s="2">
        <v>123456789</v>
      </c>
      <c r="D174" s="2">
        <v>123456789</v>
      </c>
    </row>
    <row r="175" spans="1:4" x14ac:dyDescent="0.45">
      <c r="A175" t="s">
        <v>308</v>
      </c>
      <c r="B175">
        <v>3.3500000000000002E-2</v>
      </c>
      <c r="C175" s="2">
        <v>123456789</v>
      </c>
      <c r="D175" s="2">
        <v>123456789</v>
      </c>
    </row>
    <row r="176" spans="1:4" x14ac:dyDescent="0.45">
      <c r="A176" t="s">
        <v>309</v>
      </c>
      <c r="B176">
        <v>4.6899999999999997E-2</v>
      </c>
      <c r="C176" s="2">
        <v>123456789</v>
      </c>
      <c r="D176" s="2">
        <v>123456789</v>
      </c>
    </row>
    <row r="177" spans="1:4" x14ac:dyDescent="0.45">
      <c r="A177" t="s">
        <v>310</v>
      </c>
      <c r="B177">
        <v>4.7999999999999996E-3</v>
      </c>
      <c r="C177" s="2">
        <v>123456789</v>
      </c>
      <c r="D177" s="2">
        <v>123456789</v>
      </c>
    </row>
    <row r="178" spans="1:4" x14ac:dyDescent="0.45">
      <c r="A178" t="s">
        <v>311</v>
      </c>
      <c r="B178">
        <v>1.3899999999999999E-2</v>
      </c>
      <c r="C178" s="2">
        <v>123456789</v>
      </c>
      <c r="D178" s="2">
        <v>123456789</v>
      </c>
    </row>
    <row r="179" spans="1:4" x14ac:dyDescent="0.45">
      <c r="A179" t="s">
        <v>312</v>
      </c>
      <c r="B179">
        <v>4.8999999999999998E-3</v>
      </c>
      <c r="C179" s="2">
        <v>123456789</v>
      </c>
      <c r="D179" s="2">
        <v>123456789</v>
      </c>
    </row>
    <row r="180" spans="1:4" x14ac:dyDescent="0.45">
      <c r="A180" t="s">
        <v>313</v>
      </c>
      <c r="B180">
        <v>6.1000000000000004E-3</v>
      </c>
      <c r="C180" s="2">
        <v>123456789</v>
      </c>
      <c r="D180" s="2">
        <v>123456789</v>
      </c>
    </row>
    <row r="181" spans="1:4" x14ac:dyDescent="0.45">
      <c r="A181" t="s">
        <v>314</v>
      </c>
      <c r="B181">
        <v>3.7400000000000003E-2</v>
      </c>
      <c r="C181" s="2">
        <v>123456789</v>
      </c>
      <c r="D181" s="2">
        <v>123456789</v>
      </c>
    </row>
    <row r="182" spans="1:4" x14ac:dyDescent="0.45">
      <c r="A182" t="s">
        <v>315</v>
      </c>
      <c r="B182">
        <v>2.07E-2</v>
      </c>
      <c r="C182" s="2">
        <v>123456789</v>
      </c>
      <c r="D182" s="2">
        <v>123456789</v>
      </c>
    </row>
    <row r="183" spans="1:4" x14ac:dyDescent="0.45">
      <c r="A183" t="s">
        <v>316</v>
      </c>
      <c r="B183">
        <v>1.8700000000000001E-2</v>
      </c>
      <c r="C183" s="2">
        <v>123456789</v>
      </c>
      <c r="D183" s="2">
        <v>123456789</v>
      </c>
    </row>
    <row r="184" spans="1:4" x14ac:dyDescent="0.45">
      <c r="A184" t="s">
        <v>317</v>
      </c>
      <c r="B184">
        <v>0.1056</v>
      </c>
      <c r="C184" s="2">
        <v>123456789</v>
      </c>
      <c r="D184" s="2">
        <v>123456789</v>
      </c>
    </row>
    <row r="185" spans="1:4" x14ac:dyDescent="0.45">
      <c r="A185" t="s">
        <v>318</v>
      </c>
      <c r="B185">
        <v>9.5200000000000007E-2</v>
      </c>
      <c r="C185" s="2">
        <v>123456789</v>
      </c>
      <c r="D185" s="2">
        <v>123456789</v>
      </c>
    </row>
    <row r="186" spans="1:4" x14ac:dyDescent="0.45">
      <c r="A186" t="s">
        <v>319</v>
      </c>
      <c r="B186">
        <v>0.30730000000000002</v>
      </c>
      <c r="C186" s="2">
        <v>123456789</v>
      </c>
      <c r="D186" s="2">
        <v>123456789</v>
      </c>
    </row>
    <row r="187" spans="1:4" x14ac:dyDescent="0.45">
      <c r="A187" t="s">
        <v>320</v>
      </c>
      <c r="B187">
        <v>0.20119999999999999</v>
      </c>
      <c r="C187" s="2">
        <v>123456789</v>
      </c>
      <c r="D187" s="2">
        <v>123456789</v>
      </c>
    </row>
    <row r="188" spans="1:4" x14ac:dyDescent="0.45">
      <c r="A188" t="s">
        <v>321</v>
      </c>
      <c r="B188">
        <v>0.1242</v>
      </c>
      <c r="C188" s="2">
        <v>123456789</v>
      </c>
      <c r="D188" s="2">
        <v>123456789</v>
      </c>
    </row>
    <row r="189" spans="1:4" x14ac:dyDescent="0.45">
      <c r="A189" t="s">
        <v>322</v>
      </c>
      <c r="B189">
        <v>0.1182</v>
      </c>
      <c r="C189" s="2">
        <v>123456789</v>
      </c>
      <c r="D189" s="2">
        <v>123456789</v>
      </c>
    </row>
    <row r="190" spans="1:4" x14ac:dyDescent="0.45">
      <c r="A190" t="s">
        <v>323</v>
      </c>
      <c r="B190">
        <v>4.4600000000000001E-2</v>
      </c>
      <c r="C190" s="2">
        <v>123456789</v>
      </c>
      <c r="D190" s="2">
        <v>123456789</v>
      </c>
    </row>
    <row r="191" spans="1:4" x14ac:dyDescent="0.45">
      <c r="A191" t="s">
        <v>324</v>
      </c>
      <c r="B191">
        <v>1.4500000000000001E-2</v>
      </c>
      <c r="C191" s="2">
        <v>123456789</v>
      </c>
      <c r="D191" s="2">
        <v>123456789</v>
      </c>
    </row>
    <row r="192" spans="1:4" x14ac:dyDescent="0.45">
      <c r="A192" t="s">
        <v>325</v>
      </c>
      <c r="B192">
        <v>1.15E-2</v>
      </c>
      <c r="C192" s="2">
        <v>123456789</v>
      </c>
      <c r="D192" s="2">
        <v>123456789</v>
      </c>
    </row>
    <row r="193" spans="1:4" x14ac:dyDescent="0.45">
      <c r="A193" t="s">
        <v>326</v>
      </c>
      <c r="B193">
        <v>8.5000000000000006E-3</v>
      </c>
      <c r="C193" s="2">
        <v>123456789</v>
      </c>
      <c r="D193" s="2">
        <v>123456789</v>
      </c>
    </row>
    <row r="194" spans="1:4" x14ac:dyDescent="0.45">
      <c r="A194" t="s">
        <v>327</v>
      </c>
      <c r="B194">
        <v>2.5899999999999999E-2</v>
      </c>
      <c r="C194" s="2">
        <v>123456789</v>
      </c>
      <c r="D194" s="2">
        <v>123456789</v>
      </c>
    </row>
    <row r="195" spans="1:4" x14ac:dyDescent="0.45">
      <c r="A195" t="s">
        <v>328</v>
      </c>
      <c r="B195">
        <v>9.7000000000000003E-3</v>
      </c>
      <c r="C195" s="2">
        <v>123456789</v>
      </c>
      <c r="D195" s="2">
        <v>123456789</v>
      </c>
    </row>
    <row r="196" spans="1:4" x14ac:dyDescent="0.45">
      <c r="A196" t="s">
        <v>329</v>
      </c>
      <c r="B196">
        <v>1.0200000000000001E-2</v>
      </c>
      <c r="C196" s="2">
        <v>123456789</v>
      </c>
      <c r="D196" s="2">
        <v>123456789</v>
      </c>
    </row>
    <row r="197" spans="1:4" x14ac:dyDescent="0.45">
      <c r="A197" t="s">
        <v>330</v>
      </c>
      <c r="B197">
        <v>0.1101</v>
      </c>
      <c r="C197" s="2">
        <v>123456789</v>
      </c>
      <c r="D197" s="2">
        <v>123456789</v>
      </c>
    </row>
    <row r="198" spans="1:4" x14ac:dyDescent="0.45">
      <c r="A198" t="s">
        <v>331</v>
      </c>
      <c r="B198">
        <v>9.1999999999999998E-2</v>
      </c>
      <c r="C198" s="2">
        <v>123456789</v>
      </c>
      <c r="D198" s="2">
        <v>123456789</v>
      </c>
    </row>
    <row r="199" spans="1:4" x14ac:dyDescent="0.45">
      <c r="A199" t="s">
        <v>332</v>
      </c>
      <c r="B199">
        <v>3.9600000000000003E-2</v>
      </c>
      <c r="C199" s="2">
        <v>123456789</v>
      </c>
      <c r="D199" s="2">
        <v>123456789</v>
      </c>
    </row>
    <row r="200" spans="1:4" x14ac:dyDescent="0.45">
      <c r="A200" t="s">
        <v>333</v>
      </c>
      <c r="B200">
        <v>5.1200000000000002E-2</v>
      </c>
      <c r="C200" s="2">
        <v>123456789</v>
      </c>
      <c r="D200" s="2">
        <v>123456789</v>
      </c>
    </row>
    <row r="201" spans="1:4" x14ac:dyDescent="0.45">
      <c r="A201" t="s">
        <v>334</v>
      </c>
      <c r="B201">
        <v>7.9899999999999999E-2</v>
      </c>
      <c r="C201" s="2">
        <v>123456789</v>
      </c>
      <c r="D201" s="2">
        <v>123456789</v>
      </c>
    </row>
    <row r="202" spans="1:4" x14ac:dyDescent="0.45">
      <c r="A202" t="s">
        <v>335</v>
      </c>
      <c r="B202">
        <v>0.1588</v>
      </c>
      <c r="C202" s="2">
        <v>123456789</v>
      </c>
      <c r="D202" s="2">
        <v>123456789</v>
      </c>
    </row>
    <row r="203" spans="1:4" x14ac:dyDescent="0.45">
      <c r="A203" t="s">
        <v>336</v>
      </c>
      <c r="B203">
        <v>0.35720000000000002</v>
      </c>
      <c r="C203" s="2">
        <v>123456789</v>
      </c>
      <c r="D203" s="2">
        <v>123456789</v>
      </c>
    </row>
    <row r="204" spans="1:4" x14ac:dyDescent="0.45">
      <c r="A204" t="s">
        <v>337</v>
      </c>
      <c r="B204">
        <v>0.12429999999999999</v>
      </c>
      <c r="C204" s="2">
        <v>123456789</v>
      </c>
      <c r="D204" s="2">
        <v>123456789</v>
      </c>
    </row>
    <row r="205" spans="1:4" x14ac:dyDescent="0.45">
      <c r="A205" t="s">
        <v>338</v>
      </c>
      <c r="B205">
        <v>0.1021</v>
      </c>
      <c r="C205" s="2">
        <v>123456789</v>
      </c>
      <c r="D205" s="2">
        <v>123456789</v>
      </c>
    </row>
    <row r="206" spans="1:4" x14ac:dyDescent="0.45">
      <c r="A206" t="s">
        <v>339</v>
      </c>
      <c r="B206">
        <v>4.1099999999999998E-2</v>
      </c>
      <c r="C206" s="2">
        <v>123456789</v>
      </c>
      <c r="D206" s="2">
        <v>123456789</v>
      </c>
    </row>
    <row r="207" spans="1:4" x14ac:dyDescent="0.45">
      <c r="A207" t="s">
        <v>340</v>
      </c>
      <c r="B207">
        <v>1.04E-2</v>
      </c>
      <c r="C207" s="2">
        <v>123456789</v>
      </c>
      <c r="D207" s="2">
        <v>123456789</v>
      </c>
    </row>
    <row r="208" spans="1:4" x14ac:dyDescent="0.45">
      <c r="A208" t="s">
        <v>341</v>
      </c>
      <c r="B208">
        <v>1.9400000000000001E-2</v>
      </c>
      <c r="C208" s="2">
        <v>123456789</v>
      </c>
      <c r="D208" s="2">
        <v>123456789</v>
      </c>
    </row>
    <row r="209" spans="1:4" x14ac:dyDescent="0.45">
      <c r="A209" t="s">
        <v>342</v>
      </c>
      <c r="B209">
        <v>1.5100000000000001E-2</v>
      </c>
      <c r="C209" s="2">
        <v>123456789</v>
      </c>
      <c r="D209" s="2">
        <v>123456789</v>
      </c>
    </row>
    <row r="210" spans="1:4" x14ac:dyDescent="0.45">
      <c r="A210" t="s">
        <v>343</v>
      </c>
      <c r="B210">
        <v>0.1033</v>
      </c>
      <c r="C210" s="2">
        <v>123456789</v>
      </c>
      <c r="D210" s="2">
        <v>123456789</v>
      </c>
    </row>
    <row r="211" spans="1:4" x14ac:dyDescent="0.45">
      <c r="A211" t="s">
        <v>344</v>
      </c>
      <c r="B211">
        <v>0.27579999999999999</v>
      </c>
      <c r="C211" s="2">
        <v>123456789</v>
      </c>
      <c r="D211" s="2">
        <v>123456789</v>
      </c>
    </row>
    <row r="212" spans="1:4" x14ac:dyDescent="0.45">
      <c r="A212" t="s">
        <v>345</v>
      </c>
      <c r="B212">
        <v>0.3327</v>
      </c>
      <c r="C212" s="2">
        <v>123456789</v>
      </c>
      <c r="D212" s="2">
        <v>123456789</v>
      </c>
    </row>
    <row r="213" spans="1:4" x14ac:dyDescent="0.45">
      <c r="A213" t="s">
        <v>346</v>
      </c>
      <c r="B213">
        <v>0.42370000000000002</v>
      </c>
      <c r="C213" s="2">
        <v>123456789</v>
      </c>
      <c r="D213" s="2">
        <v>123456789</v>
      </c>
    </row>
    <row r="214" spans="1:4" x14ac:dyDescent="0.45">
      <c r="A214" t="s">
        <v>347</v>
      </c>
      <c r="B214">
        <v>0.13389999999999999</v>
      </c>
      <c r="C214" s="2">
        <v>123456789</v>
      </c>
      <c r="D214" s="2">
        <v>123456789</v>
      </c>
    </row>
    <row r="215" spans="1:4" x14ac:dyDescent="0.45">
      <c r="A215" t="s">
        <v>348</v>
      </c>
      <c r="B215">
        <v>8.0799999999999997E-2</v>
      </c>
      <c r="C215" s="2">
        <v>123456789</v>
      </c>
      <c r="D215" s="2">
        <v>123456789</v>
      </c>
    </row>
    <row r="216" spans="1:4" x14ac:dyDescent="0.45">
      <c r="A216" t="s">
        <v>349</v>
      </c>
      <c r="B216">
        <v>8.1199999999999994E-2</v>
      </c>
      <c r="C216" s="2">
        <v>123456789</v>
      </c>
      <c r="D216" s="2">
        <v>123456789</v>
      </c>
    </row>
    <row r="217" spans="1:4" x14ac:dyDescent="0.45">
      <c r="A217" t="s">
        <v>350</v>
      </c>
      <c r="B217">
        <v>7.1800000000000003E-2</v>
      </c>
      <c r="C217" s="2">
        <v>123456789</v>
      </c>
      <c r="D217" s="2">
        <v>123456789</v>
      </c>
    </row>
    <row r="218" spans="1:4" x14ac:dyDescent="0.45">
      <c r="A218" t="s">
        <v>351</v>
      </c>
      <c r="B218">
        <v>1.7100000000000001E-2</v>
      </c>
      <c r="C218" s="2">
        <v>123456789</v>
      </c>
      <c r="D218" s="2">
        <v>123456789</v>
      </c>
    </row>
    <row r="219" spans="1:4" x14ac:dyDescent="0.45">
      <c r="A219" t="s">
        <v>352</v>
      </c>
      <c r="B219">
        <v>5.7000000000000002E-3</v>
      </c>
      <c r="C219" s="2">
        <v>123456789</v>
      </c>
      <c r="D219" s="2">
        <v>123456789</v>
      </c>
    </row>
    <row r="220" spans="1:4" x14ac:dyDescent="0.45">
      <c r="A220" t="s">
        <v>353</v>
      </c>
      <c r="B220">
        <v>1.72E-2</v>
      </c>
      <c r="C220" s="2">
        <v>123456789</v>
      </c>
      <c r="D220" s="2">
        <v>123456789</v>
      </c>
    </row>
    <row r="221" spans="1:4" x14ac:dyDescent="0.45">
      <c r="A221" t="s">
        <v>354</v>
      </c>
      <c r="B221">
        <v>8.3000000000000001E-3</v>
      </c>
      <c r="C221" s="2">
        <v>123456789</v>
      </c>
      <c r="D221" s="2">
        <v>123456789</v>
      </c>
    </row>
    <row r="222" spans="1:4" x14ac:dyDescent="0.45">
      <c r="A222" t="s">
        <v>355</v>
      </c>
      <c r="B222" s="36">
        <v>1.1599999999999999E-2</v>
      </c>
      <c r="C222" s="2">
        <v>123456789</v>
      </c>
      <c r="D222" s="2">
        <v>123456789</v>
      </c>
    </row>
    <row r="223" spans="1:4" x14ac:dyDescent="0.45">
      <c r="A223" t="s">
        <v>356</v>
      </c>
      <c r="B223">
        <v>7.2400000000000006E-2</v>
      </c>
      <c r="C223" s="2">
        <v>123456789</v>
      </c>
      <c r="D223" s="2">
        <v>123456789</v>
      </c>
    </row>
    <row r="224" spans="1:4" x14ac:dyDescent="0.45">
      <c r="A224" t="s">
        <v>357</v>
      </c>
      <c r="B224">
        <v>2E-3</v>
      </c>
      <c r="C224" s="2">
        <v>123456789</v>
      </c>
      <c r="D224" s="2">
        <v>123456789</v>
      </c>
    </row>
    <row r="225" spans="1:4" x14ac:dyDescent="0.45">
      <c r="A225" t="s">
        <v>438</v>
      </c>
      <c r="B225" s="49">
        <v>3.7000000000000002E-3</v>
      </c>
      <c r="C225" s="2">
        <v>123456789</v>
      </c>
      <c r="D225" s="2">
        <v>123456789</v>
      </c>
    </row>
    <row r="226" spans="1:4" x14ac:dyDescent="0.45">
      <c r="A226" s="40" t="s">
        <v>440</v>
      </c>
      <c r="B226" s="40">
        <v>2.53E-2</v>
      </c>
      <c r="C226" s="2">
        <v>123456789</v>
      </c>
      <c r="D226" s="2">
        <v>123456789</v>
      </c>
    </row>
  </sheetData>
  <phoneticPr fontId="3"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230AE-F2C5-43B5-8498-35DEE29EF575}">
  <sheetPr>
    <tabColor theme="9" tint="0.79998168889431442"/>
  </sheetPr>
  <dimension ref="A1:D226"/>
  <sheetViews>
    <sheetView topLeftCell="A216" workbookViewId="0">
      <selection activeCell="E229" sqref="E229"/>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v>1.2542310000000001</v>
      </c>
      <c r="C38" s="2">
        <v>123456789</v>
      </c>
      <c r="D38" s="2">
        <v>123456789</v>
      </c>
    </row>
    <row r="39" spans="1:4" x14ac:dyDescent="0.45">
      <c r="A39" t="s">
        <v>172</v>
      </c>
      <c r="B39">
        <v>0.62546539999999995</v>
      </c>
      <c r="C39" s="2">
        <v>123456789</v>
      </c>
      <c r="D39" s="2">
        <v>123456789</v>
      </c>
    </row>
    <row r="40" spans="1:4" x14ac:dyDescent="0.45">
      <c r="A40" t="s">
        <v>173</v>
      </c>
      <c r="B40">
        <v>-0.27190760000000003</v>
      </c>
      <c r="C40" s="2">
        <v>123456789</v>
      </c>
      <c r="D40" s="2">
        <v>123456789</v>
      </c>
    </row>
    <row r="41" spans="1:4" x14ac:dyDescent="0.45">
      <c r="A41" t="s">
        <v>174</v>
      </c>
      <c r="B41">
        <v>-0.53047540000000004</v>
      </c>
      <c r="C41" s="2">
        <v>123456789</v>
      </c>
      <c r="D41" s="2">
        <v>123456789</v>
      </c>
    </row>
    <row r="42" spans="1:4" x14ac:dyDescent="0.45">
      <c r="A42" t="s">
        <v>175</v>
      </c>
      <c r="B42">
        <v>-0.97733999999999999</v>
      </c>
      <c r="C42" s="2">
        <v>123456789</v>
      </c>
      <c r="D42" s="2">
        <v>123456789</v>
      </c>
    </row>
    <row r="43" spans="1:4" x14ac:dyDescent="0.45">
      <c r="A43" t="s">
        <v>176</v>
      </c>
      <c r="B43">
        <v>-0.75138059999999995</v>
      </c>
      <c r="C43" s="2">
        <v>123456789</v>
      </c>
      <c r="D43" s="2">
        <v>123456789</v>
      </c>
    </row>
    <row r="44" spans="1:4" x14ac:dyDescent="0.45">
      <c r="A44" t="s">
        <v>177</v>
      </c>
      <c r="B44">
        <v>-0.3863241</v>
      </c>
      <c r="C44" s="2">
        <v>123456789</v>
      </c>
      <c r="D44" s="2">
        <v>123456789</v>
      </c>
    </row>
    <row r="45" spans="1:4" x14ac:dyDescent="0.45">
      <c r="A45" t="s">
        <v>178</v>
      </c>
      <c r="B45">
        <v>-0.15311469999999999</v>
      </c>
      <c r="C45" s="2">
        <v>123456789</v>
      </c>
      <c r="D45" s="2">
        <v>123456789</v>
      </c>
    </row>
    <row r="46" spans="1:4" x14ac:dyDescent="0.45">
      <c r="A46" t="s">
        <v>179</v>
      </c>
      <c r="B46">
        <v>1.125173</v>
      </c>
      <c r="C46" s="2">
        <v>123456789</v>
      </c>
      <c r="D46" s="2">
        <v>123456789</v>
      </c>
    </row>
    <row r="47" spans="1:4" x14ac:dyDescent="0.45">
      <c r="A47" t="s">
        <v>180</v>
      </c>
      <c r="B47">
        <v>1.514675</v>
      </c>
      <c r="C47" s="2">
        <v>123456789</v>
      </c>
      <c r="D47" s="2">
        <v>123456789</v>
      </c>
    </row>
    <row r="48" spans="1:4" x14ac:dyDescent="0.45">
      <c r="A48" t="s">
        <v>181</v>
      </c>
      <c r="B48">
        <v>1.466356</v>
      </c>
      <c r="C48" s="2">
        <v>123456789</v>
      </c>
      <c r="D48" s="2">
        <v>123456789</v>
      </c>
    </row>
    <row r="49" spans="1:4" x14ac:dyDescent="0.45">
      <c r="A49" t="s">
        <v>182</v>
      </c>
      <c r="B49">
        <v>0.71884630000000005</v>
      </c>
      <c r="C49" s="2">
        <v>123456789</v>
      </c>
      <c r="D49" s="2">
        <v>123456789</v>
      </c>
    </row>
    <row r="50" spans="1:4" x14ac:dyDescent="0.45">
      <c r="A50" t="s">
        <v>183</v>
      </c>
      <c r="B50">
        <v>0.86008229999999997</v>
      </c>
      <c r="C50" s="2">
        <v>123456789</v>
      </c>
      <c r="D50" s="2">
        <v>123456789</v>
      </c>
    </row>
    <row r="51" spans="1:4" x14ac:dyDescent="0.45">
      <c r="A51" t="s">
        <v>184</v>
      </c>
      <c r="B51">
        <v>1.569086</v>
      </c>
      <c r="C51" s="2">
        <v>123456789</v>
      </c>
      <c r="D51" s="2">
        <v>123456789</v>
      </c>
    </row>
    <row r="52" spans="1:4" x14ac:dyDescent="0.45">
      <c r="A52" t="s">
        <v>185</v>
      </c>
      <c r="B52">
        <v>2.1733549999999999</v>
      </c>
      <c r="C52" s="2">
        <v>123456789</v>
      </c>
      <c r="D52" s="2">
        <v>123456789</v>
      </c>
    </row>
    <row r="53" spans="1:4" x14ac:dyDescent="0.45">
      <c r="A53" t="s">
        <v>186</v>
      </c>
      <c r="B53">
        <v>1.832886</v>
      </c>
      <c r="C53" s="2">
        <v>123456789</v>
      </c>
      <c r="D53" s="2">
        <v>123456789</v>
      </c>
    </row>
    <row r="54" spans="1:4" x14ac:dyDescent="0.45">
      <c r="A54" t="s">
        <v>187</v>
      </c>
      <c r="B54">
        <v>1.1865110000000001</v>
      </c>
      <c r="C54" s="2">
        <v>123456789</v>
      </c>
      <c r="D54" s="2">
        <v>123456789</v>
      </c>
    </row>
    <row r="55" spans="1:4" x14ac:dyDescent="0.45">
      <c r="A55" t="s">
        <v>188</v>
      </c>
      <c r="B55">
        <v>1.0885800000000001</v>
      </c>
      <c r="C55" s="2">
        <v>123456789</v>
      </c>
      <c r="D55" s="2">
        <v>123456789</v>
      </c>
    </row>
    <row r="56" spans="1:4" x14ac:dyDescent="0.45">
      <c r="A56" t="s">
        <v>189</v>
      </c>
      <c r="B56">
        <v>1.111254</v>
      </c>
      <c r="C56" s="2">
        <v>123456789</v>
      </c>
      <c r="D56" s="2">
        <v>123456789</v>
      </c>
    </row>
    <row r="57" spans="1:4" x14ac:dyDescent="0.45">
      <c r="A57" t="s">
        <v>190</v>
      </c>
      <c r="B57">
        <v>1.239779</v>
      </c>
      <c r="C57" s="2">
        <v>123456789</v>
      </c>
      <c r="D57" s="2">
        <v>123456789</v>
      </c>
    </row>
    <row r="58" spans="1:4" x14ac:dyDescent="0.45">
      <c r="A58" t="s">
        <v>191</v>
      </c>
      <c r="B58">
        <v>1.470342</v>
      </c>
      <c r="C58" s="2">
        <v>123456789</v>
      </c>
      <c r="D58" s="2">
        <v>123456789</v>
      </c>
    </row>
    <row r="59" spans="1:4" x14ac:dyDescent="0.45">
      <c r="A59" t="s">
        <v>192</v>
      </c>
      <c r="B59">
        <v>1.5165900000000001</v>
      </c>
      <c r="C59" s="2">
        <v>123456789</v>
      </c>
      <c r="D59" s="2">
        <v>123456789</v>
      </c>
    </row>
    <row r="60" spans="1:4" x14ac:dyDescent="0.45">
      <c r="A60" t="s">
        <v>193</v>
      </c>
      <c r="B60">
        <v>0.70713170000000003</v>
      </c>
      <c r="C60" s="2">
        <v>123456789</v>
      </c>
      <c r="D60" s="2">
        <v>123456789</v>
      </c>
    </row>
    <row r="61" spans="1:4" x14ac:dyDescent="0.45">
      <c r="A61" t="s">
        <v>194</v>
      </c>
      <c r="B61">
        <v>0.83523040000000004</v>
      </c>
      <c r="C61" s="2">
        <v>123456789</v>
      </c>
      <c r="D61" s="2">
        <v>123456789</v>
      </c>
    </row>
    <row r="62" spans="1:4" x14ac:dyDescent="0.45">
      <c r="A62" t="s">
        <v>195</v>
      </c>
      <c r="B62">
        <v>-0.27226099999999998</v>
      </c>
      <c r="C62" s="2">
        <v>123456789</v>
      </c>
      <c r="D62" s="2">
        <v>123456789</v>
      </c>
    </row>
    <row r="63" spans="1:4" x14ac:dyDescent="0.45">
      <c r="A63" t="s">
        <v>196</v>
      </c>
      <c r="B63">
        <v>-0.3726083</v>
      </c>
      <c r="C63" s="2">
        <v>123456789</v>
      </c>
      <c r="D63" s="2">
        <v>123456789</v>
      </c>
    </row>
    <row r="64" spans="1:4" x14ac:dyDescent="0.45">
      <c r="A64" t="s">
        <v>197</v>
      </c>
      <c r="B64">
        <v>-4.9490899999999997E-2</v>
      </c>
      <c r="C64" s="2">
        <v>123456789</v>
      </c>
      <c r="D64" s="2">
        <v>123456789</v>
      </c>
    </row>
    <row r="65" spans="1:4" x14ac:dyDescent="0.45">
      <c r="A65" t="s">
        <v>198</v>
      </c>
      <c r="B65">
        <v>-0.30429</v>
      </c>
      <c r="C65" s="2">
        <v>123456789</v>
      </c>
      <c r="D65" s="2">
        <v>123456789</v>
      </c>
    </row>
    <row r="66" spans="1:4" x14ac:dyDescent="0.45">
      <c r="A66" t="s">
        <v>199</v>
      </c>
      <c r="B66">
        <v>-1.029536</v>
      </c>
      <c r="C66" s="2">
        <v>123456789</v>
      </c>
      <c r="D66" s="2">
        <v>123456789</v>
      </c>
    </row>
    <row r="67" spans="1:4" x14ac:dyDescent="0.45">
      <c r="A67" t="s">
        <v>200</v>
      </c>
      <c r="B67">
        <v>-8.7613999999999997E-2</v>
      </c>
      <c r="C67" s="2">
        <v>123456789</v>
      </c>
      <c r="D67" s="2">
        <v>123456789</v>
      </c>
    </row>
    <row r="68" spans="1:4" x14ac:dyDescent="0.45">
      <c r="A68" t="s">
        <v>201</v>
      </c>
      <c r="B68">
        <v>1.6545899999999999E-2</v>
      </c>
      <c r="C68" s="2">
        <v>123456789</v>
      </c>
      <c r="D68" s="2">
        <v>123456789</v>
      </c>
    </row>
    <row r="69" spans="1:4" x14ac:dyDescent="0.45">
      <c r="A69" t="s">
        <v>202</v>
      </c>
      <c r="B69">
        <v>-4.9687299999999997E-2</v>
      </c>
      <c r="C69" s="2">
        <v>123456789</v>
      </c>
      <c r="D69" s="2">
        <v>123456789</v>
      </c>
    </row>
    <row r="70" spans="1:4" x14ac:dyDescent="0.45">
      <c r="A70" t="s">
        <v>203</v>
      </c>
      <c r="B70">
        <v>-7.98426E-2</v>
      </c>
      <c r="C70" s="2">
        <v>123456789</v>
      </c>
      <c r="D70" s="2">
        <v>123456789</v>
      </c>
    </row>
    <row r="71" spans="1:4" x14ac:dyDescent="0.45">
      <c r="A71" t="s">
        <v>204</v>
      </c>
      <c r="B71">
        <v>0.37986789999999998</v>
      </c>
      <c r="C71" s="2">
        <v>123456789</v>
      </c>
      <c r="D71" s="2">
        <v>123456789</v>
      </c>
    </row>
    <row r="72" spans="1:4" x14ac:dyDescent="0.45">
      <c r="A72" t="s">
        <v>205</v>
      </c>
      <c r="B72">
        <v>0.1165273</v>
      </c>
      <c r="C72" s="2">
        <v>123456789</v>
      </c>
      <c r="D72" s="2">
        <v>123456789</v>
      </c>
    </row>
    <row r="73" spans="1:4" x14ac:dyDescent="0.45">
      <c r="A73" t="s">
        <v>206</v>
      </c>
      <c r="B73">
        <v>0.66685839999999996</v>
      </c>
      <c r="C73" s="2">
        <v>123456789</v>
      </c>
      <c r="D73" s="2">
        <v>123456789</v>
      </c>
    </row>
    <row r="74" spans="1:4" x14ac:dyDescent="0.45">
      <c r="A74" t="s">
        <v>207</v>
      </c>
      <c r="B74">
        <v>0.51850169999999995</v>
      </c>
      <c r="C74" s="2">
        <v>123456789</v>
      </c>
      <c r="D74" s="2">
        <v>123456789</v>
      </c>
    </row>
    <row r="75" spans="1:4" x14ac:dyDescent="0.45">
      <c r="A75" t="s">
        <v>208</v>
      </c>
      <c r="B75">
        <v>0.79683950000000003</v>
      </c>
      <c r="C75" s="2">
        <v>123456789</v>
      </c>
      <c r="D75" s="2">
        <v>123456789</v>
      </c>
    </row>
    <row r="76" spans="1:4" x14ac:dyDescent="0.45">
      <c r="A76" t="s">
        <v>209</v>
      </c>
      <c r="B76">
        <v>-0.57384710000000005</v>
      </c>
      <c r="C76" s="2">
        <v>123456789</v>
      </c>
      <c r="D76" s="2">
        <v>123456789</v>
      </c>
    </row>
    <row r="77" spans="1:4" x14ac:dyDescent="0.45">
      <c r="A77" t="s">
        <v>210</v>
      </c>
      <c r="B77">
        <v>-1.348673</v>
      </c>
      <c r="C77" s="2">
        <v>123456789</v>
      </c>
      <c r="D77" s="2">
        <v>123456789</v>
      </c>
    </row>
    <row r="78" spans="1:4" x14ac:dyDescent="0.45">
      <c r="A78" t="s">
        <v>211</v>
      </c>
      <c r="B78">
        <v>-1.767949</v>
      </c>
      <c r="C78" s="2">
        <v>123456789</v>
      </c>
      <c r="D78" s="2">
        <v>123456789</v>
      </c>
    </row>
    <row r="79" spans="1:4" x14ac:dyDescent="0.45">
      <c r="A79" t="s">
        <v>212</v>
      </c>
      <c r="B79">
        <v>-2.0082420000000001</v>
      </c>
      <c r="C79" s="2">
        <v>123456789</v>
      </c>
      <c r="D79" s="2">
        <v>123456789</v>
      </c>
    </row>
    <row r="80" spans="1:4" x14ac:dyDescent="0.45">
      <c r="A80" t="s">
        <v>213</v>
      </c>
      <c r="B80">
        <v>-2.2164429999999999</v>
      </c>
      <c r="C80" s="2">
        <v>123456789</v>
      </c>
      <c r="D80" s="2">
        <v>123456789</v>
      </c>
    </row>
    <row r="81" spans="1:4" x14ac:dyDescent="0.45">
      <c r="A81" t="s">
        <v>214</v>
      </c>
      <c r="B81">
        <v>-2.9295680000000002</v>
      </c>
      <c r="C81" s="2">
        <v>123456789</v>
      </c>
      <c r="D81" s="2">
        <v>123456789</v>
      </c>
    </row>
    <row r="82" spans="1:4" x14ac:dyDescent="0.45">
      <c r="A82" t="s">
        <v>215</v>
      </c>
      <c r="B82">
        <v>-2.8141919999999998</v>
      </c>
      <c r="C82" s="2">
        <v>123456789</v>
      </c>
      <c r="D82" s="2">
        <v>123456789</v>
      </c>
    </row>
    <row r="83" spans="1:4" x14ac:dyDescent="0.45">
      <c r="A83" t="s">
        <v>216</v>
      </c>
      <c r="B83">
        <v>-2.156075</v>
      </c>
      <c r="C83" s="2">
        <v>123456789</v>
      </c>
      <c r="D83" s="2">
        <v>123456789</v>
      </c>
    </row>
    <row r="84" spans="1:4" x14ac:dyDescent="0.45">
      <c r="A84" t="s">
        <v>217</v>
      </c>
      <c r="B84">
        <v>-1.4850950000000001</v>
      </c>
      <c r="C84" s="2">
        <v>123456789</v>
      </c>
      <c r="D84" s="2">
        <v>123456789</v>
      </c>
    </row>
    <row r="85" spans="1:4" x14ac:dyDescent="0.45">
      <c r="A85" t="s">
        <v>218</v>
      </c>
      <c r="B85">
        <v>-0.5572433</v>
      </c>
      <c r="C85" s="2">
        <v>123456789</v>
      </c>
      <c r="D85" s="2">
        <v>123456789</v>
      </c>
    </row>
    <row r="86" spans="1:4" x14ac:dyDescent="0.45">
      <c r="A86" t="s">
        <v>219</v>
      </c>
      <c r="B86">
        <v>-0.95852400000000004</v>
      </c>
      <c r="C86" s="2">
        <v>123456789</v>
      </c>
      <c r="D86" s="2">
        <v>123456789</v>
      </c>
    </row>
    <row r="87" spans="1:4" x14ac:dyDescent="0.45">
      <c r="A87" t="s">
        <v>220</v>
      </c>
      <c r="B87">
        <v>-8.7170499999999998E-2</v>
      </c>
      <c r="C87" s="2">
        <v>123456789</v>
      </c>
      <c r="D87" s="2">
        <v>123456789</v>
      </c>
    </row>
    <row r="88" spans="1:4" x14ac:dyDescent="0.45">
      <c r="A88" t="s">
        <v>221</v>
      </c>
      <c r="B88">
        <v>2.831E-4</v>
      </c>
      <c r="C88" s="2">
        <v>123456789</v>
      </c>
      <c r="D88" s="2">
        <v>123456789</v>
      </c>
    </row>
    <row r="89" spans="1:4" x14ac:dyDescent="0.45">
      <c r="A89" t="s">
        <v>222</v>
      </c>
      <c r="B89">
        <v>-0.10620789999999999</v>
      </c>
      <c r="C89" s="2">
        <v>123456789</v>
      </c>
      <c r="D89" s="2">
        <v>123456789</v>
      </c>
    </row>
    <row r="90" spans="1:4" x14ac:dyDescent="0.45">
      <c r="A90" t="s">
        <v>223</v>
      </c>
      <c r="B90">
        <v>-0.29865629999999999</v>
      </c>
      <c r="C90" s="2">
        <v>123456789</v>
      </c>
      <c r="D90" s="2">
        <v>123456789</v>
      </c>
    </row>
    <row r="91" spans="1:4" x14ac:dyDescent="0.45">
      <c r="A91" t="s">
        <v>224</v>
      </c>
      <c r="B91">
        <v>-0.29256559999999998</v>
      </c>
      <c r="C91" s="2">
        <v>123456789</v>
      </c>
      <c r="D91" s="2">
        <v>123456789</v>
      </c>
    </row>
    <row r="92" spans="1:4" x14ac:dyDescent="0.45">
      <c r="A92" t="s">
        <v>225</v>
      </c>
      <c r="B92">
        <v>-0.28812910000000003</v>
      </c>
      <c r="C92" s="2">
        <v>123456789</v>
      </c>
      <c r="D92" s="2">
        <v>123456789</v>
      </c>
    </row>
    <row r="93" spans="1:4" x14ac:dyDescent="0.45">
      <c r="A93" t="s">
        <v>226</v>
      </c>
      <c r="B93">
        <v>1.9436549999999999</v>
      </c>
      <c r="C93" s="2">
        <v>123456789</v>
      </c>
      <c r="D93" s="2">
        <v>123456789</v>
      </c>
    </row>
    <row r="94" spans="1:4" x14ac:dyDescent="0.45">
      <c r="A94" t="s">
        <v>227</v>
      </c>
      <c r="B94">
        <v>2.525528</v>
      </c>
      <c r="C94" s="2">
        <v>123456789</v>
      </c>
      <c r="D94" s="2">
        <v>123456789</v>
      </c>
    </row>
    <row r="95" spans="1:4" x14ac:dyDescent="0.45">
      <c r="A95" t="s">
        <v>228</v>
      </c>
      <c r="B95">
        <v>2.440334</v>
      </c>
      <c r="C95" s="2">
        <v>123456789</v>
      </c>
      <c r="D95" s="2">
        <v>123456789</v>
      </c>
    </row>
    <row r="96" spans="1:4" x14ac:dyDescent="0.45">
      <c r="A96" t="s">
        <v>229</v>
      </c>
      <c r="B96">
        <v>1.9335599999999999</v>
      </c>
      <c r="C96" s="2">
        <v>123456789</v>
      </c>
      <c r="D96" s="2">
        <v>123456789</v>
      </c>
    </row>
    <row r="97" spans="1:4" x14ac:dyDescent="0.45">
      <c r="A97" t="s">
        <v>230</v>
      </c>
      <c r="B97">
        <v>1.694955</v>
      </c>
      <c r="C97" s="2">
        <v>123456789</v>
      </c>
      <c r="D97" s="2">
        <v>123456789</v>
      </c>
    </row>
    <row r="98" spans="1:4" x14ac:dyDescent="0.45">
      <c r="A98" t="s">
        <v>231</v>
      </c>
      <c r="B98">
        <v>1.9034949999999999</v>
      </c>
      <c r="C98" s="2">
        <v>123456789</v>
      </c>
      <c r="D98" s="2">
        <v>123456789</v>
      </c>
    </row>
    <row r="99" spans="1:4" x14ac:dyDescent="0.45">
      <c r="A99" t="s">
        <v>232</v>
      </c>
      <c r="B99">
        <v>2.7075049999999998</v>
      </c>
      <c r="C99" s="2">
        <v>123456789</v>
      </c>
      <c r="D99" s="2">
        <v>123456789</v>
      </c>
    </row>
    <row r="100" spans="1:4" x14ac:dyDescent="0.45">
      <c r="A100" t="s">
        <v>233</v>
      </c>
      <c r="B100">
        <v>2.2956449999999999</v>
      </c>
      <c r="C100" s="2">
        <v>123456789</v>
      </c>
      <c r="D100" s="2">
        <v>123456789</v>
      </c>
    </row>
    <row r="101" spans="1:4" x14ac:dyDescent="0.45">
      <c r="A101" t="s">
        <v>234</v>
      </c>
      <c r="B101">
        <v>1.7536259999999999</v>
      </c>
      <c r="C101" s="2">
        <v>123456789</v>
      </c>
      <c r="D101" s="2">
        <v>123456789</v>
      </c>
    </row>
    <row r="102" spans="1:4" x14ac:dyDescent="0.45">
      <c r="A102" t="s">
        <v>235</v>
      </c>
      <c r="B102">
        <v>1.4355279999999999</v>
      </c>
      <c r="C102" s="2">
        <v>123456789</v>
      </c>
      <c r="D102" s="2">
        <v>123456789</v>
      </c>
    </row>
    <row r="103" spans="1:4" x14ac:dyDescent="0.45">
      <c r="A103" t="s">
        <v>236</v>
      </c>
      <c r="B103">
        <v>1.3074570000000001</v>
      </c>
      <c r="C103" s="2">
        <v>123456789</v>
      </c>
      <c r="D103" s="2">
        <v>123456789</v>
      </c>
    </row>
    <row r="104" spans="1:4" x14ac:dyDescent="0.45">
      <c r="A104" t="s">
        <v>237</v>
      </c>
      <c r="B104">
        <v>1.50868</v>
      </c>
      <c r="C104" s="2">
        <v>123456789</v>
      </c>
      <c r="D104" s="2">
        <v>123456789</v>
      </c>
    </row>
    <row r="105" spans="1:4" x14ac:dyDescent="0.45">
      <c r="A105" t="s">
        <v>238</v>
      </c>
      <c r="B105">
        <v>1.5686560000000001</v>
      </c>
      <c r="C105" s="2">
        <v>123456789</v>
      </c>
      <c r="D105" s="2">
        <v>123456789</v>
      </c>
    </row>
    <row r="106" spans="1:4" x14ac:dyDescent="0.45">
      <c r="A106" t="s">
        <v>239</v>
      </c>
      <c r="B106">
        <v>1.8085990000000001</v>
      </c>
      <c r="C106" s="2">
        <v>123456789</v>
      </c>
      <c r="D106" s="2">
        <v>123456789</v>
      </c>
    </row>
    <row r="107" spans="1:4" x14ac:dyDescent="0.45">
      <c r="A107" t="s">
        <v>240</v>
      </c>
      <c r="B107">
        <v>2.0362849999999999</v>
      </c>
      <c r="C107" s="2">
        <v>123456789</v>
      </c>
      <c r="D107" s="2">
        <v>123456789</v>
      </c>
    </row>
    <row r="108" spans="1:4" x14ac:dyDescent="0.45">
      <c r="A108" t="s">
        <v>241</v>
      </c>
      <c r="B108">
        <v>2.12209</v>
      </c>
      <c r="C108" s="2">
        <v>123456789</v>
      </c>
      <c r="D108" s="2">
        <v>123456789</v>
      </c>
    </row>
    <row r="109" spans="1:4" x14ac:dyDescent="0.45">
      <c r="A109" t="s">
        <v>242</v>
      </c>
      <c r="B109">
        <v>1.2607790000000001</v>
      </c>
      <c r="C109" s="2">
        <v>123456789</v>
      </c>
      <c r="D109" s="2">
        <v>123456789</v>
      </c>
    </row>
    <row r="110" spans="1:4" x14ac:dyDescent="0.45">
      <c r="A110" t="s">
        <v>243</v>
      </c>
      <c r="B110">
        <v>1.063733</v>
      </c>
      <c r="C110" s="2">
        <v>123456789</v>
      </c>
      <c r="D110" s="2">
        <v>123456789</v>
      </c>
    </row>
    <row r="111" spans="1:4" x14ac:dyDescent="0.45">
      <c r="A111" t="s">
        <v>244</v>
      </c>
      <c r="B111">
        <v>0.68382560000000003</v>
      </c>
      <c r="C111" s="2">
        <v>123456789</v>
      </c>
      <c r="D111" s="2">
        <v>123456789</v>
      </c>
    </row>
    <row r="112" spans="1:4" x14ac:dyDescent="0.45">
      <c r="A112" t="s">
        <v>245</v>
      </c>
      <c r="B112">
        <v>-6.3635499999999998E-2</v>
      </c>
      <c r="C112" s="2">
        <v>123456789</v>
      </c>
      <c r="D112" s="2">
        <v>123456789</v>
      </c>
    </row>
    <row r="113" spans="1:4" x14ac:dyDescent="0.45">
      <c r="A113" t="s">
        <v>246</v>
      </c>
      <c r="B113">
        <v>-0.66752449999999997</v>
      </c>
      <c r="C113" s="2">
        <v>123456789</v>
      </c>
      <c r="D113" s="2">
        <v>123456789</v>
      </c>
    </row>
    <row r="114" spans="1:4" x14ac:dyDescent="0.45">
      <c r="A114" t="s">
        <v>247</v>
      </c>
      <c r="B114">
        <v>-0.87130459999999998</v>
      </c>
      <c r="C114" s="2">
        <v>123456789</v>
      </c>
      <c r="D114" s="2">
        <v>123456789</v>
      </c>
    </row>
    <row r="115" spans="1:4" x14ac:dyDescent="0.45">
      <c r="A115" t="s">
        <v>248</v>
      </c>
      <c r="B115">
        <v>-1.1475569999999999</v>
      </c>
      <c r="C115" s="2">
        <v>123456789</v>
      </c>
      <c r="D115" s="2">
        <v>123456789</v>
      </c>
    </row>
    <row r="116" spans="1:4" x14ac:dyDescent="0.45">
      <c r="A116" t="s">
        <v>249</v>
      </c>
      <c r="B116">
        <v>-1.481285</v>
      </c>
      <c r="C116" s="2">
        <v>123456789</v>
      </c>
      <c r="D116" s="2">
        <v>123456789</v>
      </c>
    </row>
    <row r="117" spans="1:4" x14ac:dyDescent="0.45">
      <c r="A117" t="s">
        <v>250</v>
      </c>
      <c r="B117">
        <v>-0.96023809999999998</v>
      </c>
      <c r="C117" s="2">
        <v>123456789</v>
      </c>
      <c r="D117" s="2">
        <v>123456789</v>
      </c>
    </row>
    <row r="118" spans="1:4" x14ac:dyDescent="0.45">
      <c r="A118" t="s">
        <v>251</v>
      </c>
      <c r="B118">
        <v>-0.47299960000000002</v>
      </c>
      <c r="C118" s="2">
        <v>123456789</v>
      </c>
      <c r="D118" s="2">
        <v>123456789</v>
      </c>
    </row>
    <row r="119" spans="1:4" x14ac:dyDescent="0.45">
      <c r="A119" t="s">
        <v>252</v>
      </c>
      <c r="B119">
        <v>-5.20131E-2</v>
      </c>
      <c r="C119" s="2">
        <v>123456789</v>
      </c>
      <c r="D119" s="2">
        <v>123456789</v>
      </c>
    </row>
    <row r="120" spans="1:4" x14ac:dyDescent="0.45">
      <c r="A120" t="s">
        <v>253</v>
      </c>
      <c r="B120">
        <v>0.1204369</v>
      </c>
      <c r="C120" s="2">
        <v>123456789</v>
      </c>
      <c r="D120" s="2">
        <v>123456789</v>
      </c>
    </row>
    <row r="121" spans="1:4" x14ac:dyDescent="0.45">
      <c r="A121" t="s">
        <v>254</v>
      </c>
      <c r="B121">
        <v>-0.57405629999999996</v>
      </c>
      <c r="C121" s="2">
        <v>123456789</v>
      </c>
      <c r="D121" s="2">
        <v>123456789</v>
      </c>
    </row>
    <row r="122" spans="1:4" x14ac:dyDescent="0.45">
      <c r="A122" t="s">
        <v>255</v>
      </c>
      <c r="B122">
        <v>-0.85451469999999996</v>
      </c>
      <c r="C122" s="2">
        <v>123456789</v>
      </c>
      <c r="D122" s="2">
        <v>123456789</v>
      </c>
    </row>
    <row r="123" spans="1:4" x14ac:dyDescent="0.45">
      <c r="A123" t="s">
        <v>256</v>
      </c>
      <c r="B123">
        <v>-0.98271790000000003</v>
      </c>
      <c r="C123" s="2">
        <v>123456789</v>
      </c>
      <c r="D123" s="2">
        <v>123456789</v>
      </c>
    </row>
    <row r="124" spans="1:4" x14ac:dyDescent="0.45">
      <c r="A124" t="s">
        <v>257</v>
      </c>
      <c r="B124">
        <v>-0.78654979999999997</v>
      </c>
      <c r="C124" s="2">
        <v>123456789</v>
      </c>
      <c r="D124" s="2">
        <v>123456789</v>
      </c>
    </row>
    <row r="125" spans="1:4" x14ac:dyDescent="0.45">
      <c r="A125" t="s">
        <v>258</v>
      </c>
      <c r="B125">
        <v>-0.63157859999999999</v>
      </c>
      <c r="C125" s="2">
        <v>123456789</v>
      </c>
      <c r="D125" s="2">
        <v>123456789</v>
      </c>
    </row>
    <row r="126" spans="1:4" x14ac:dyDescent="0.45">
      <c r="A126" t="s">
        <v>259</v>
      </c>
      <c r="B126">
        <v>-0.4231086</v>
      </c>
      <c r="C126" s="2">
        <v>123456789</v>
      </c>
      <c r="D126" s="2">
        <v>123456789</v>
      </c>
    </row>
    <row r="127" spans="1:4" x14ac:dyDescent="0.45">
      <c r="A127" t="s">
        <v>260</v>
      </c>
      <c r="B127">
        <v>-2.5985000000000001E-3</v>
      </c>
      <c r="C127" s="2">
        <v>123456789</v>
      </c>
      <c r="D127" s="2">
        <v>123456789</v>
      </c>
    </row>
    <row r="128" spans="1:4" x14ac:dyDescent="0.45">
      <c r="A128" t="s">
        <v>261</v>
      </c>
      <c r="B128">
        <v>0.17427570000000001</v>
      </c>
      <c r="C128" s="2">
        <v>123456789</v>
      </c>
      <c r="D128" s="2">
        <v>123456789</v>
      </c>
    </row>
    <row r="129" spans="1:4" x14ac:dyDescent="0.45">
      <c r="A129" t="s">
        <v>262</v>
      </c>
      <c r="B129">
        <v>0.66560889999999995</v>
      </c>
      <c r="C129" s="2">
        <v>123456789</v>
      </c>
      <c r="D129" s="2">
        <v>123456789</v>
      </c>
    </row>
    <row r="130" spans="1:4" x14ac:dyDescent="0.45">
      <c r="A130" t="s">
        <v>263</v>
      </c>
      <c r="B130">
        <v>0.61675159999999996</v>
      </c>
      <c r="C130" s="2">
        <v>123456789</v>
      </c>
      <c r="D130" s="2">
        <v>123456789</v>
      </c>
    </row>
    <row r="131" spans="1:4" x14ac:dyDescent="0.45">
      <c r="A131" t="s">
        <v>264</v>
      </c>
      <c r="B131">
        <v>0.69935389999999997</v>
      </c>
      <c r="C131" s="2">
        <v>123456789</v>
      </c>
      <c r="D131" s="2">
        <v>123456789</v>
      </c>
    </row>
    <row r="132" spans="1:4" x14ac:dyDescent="0.45">
      <c r="A132" t="s">
        <v>265</v>
      </c>
      <c r="B132">
        <v>0.86401640000000002</v>
      </c>
      <c r="C132" s="2">
        <v>123456789</v>
      </c>
      <c r="D132" s="2">
        <v>123456789</v>
      </c>
    </row>
    <row r="133" spans="1:4" x14ac:dyDescent="0.45">
      <c r="A133" t="s">
        <v>266</v>
      </c>
      <c r="B133">
        <v>0.86474910000000005</v>
      </c>
      <c r="C133" s="2">
        <v>123456789</v>
      </c>
      <c r="D133" s="2">
        <v>123456789</v>
      </c>
    </row>
    <row r="134" spans="1:4" x14ac:dyDescent="0.45">
      <c r="A134" t="s">
        <v>267</v>
      </c>
      <c r="B134">
        <v>0.87954319999999997</v>
      </c>
      <c r="C134" s="2">
        <v>123456789</v>
      </c>
      <c r="D134" s="2">
        <v>123456789</v>
      </c>
    </row>
    <row r="135" spans="1:4" x14ac:dyDescent="0.45">
      <c r="A135" t="s">
        <v>268</v>
      </c>
      <c r="B135">
        <v>0.96739269999999999</v>
      </c>
      <c r="C135" s="2">
        <v>123456789</v>
      </c>
      <c r="D135" s="2">
        <v>123456789</v>
      </c>
    </row>
    <row r="136" spans="1:4" x14ac:dyDescent="0.45">
      <c r="A136" t="s">
        <v>269</v>
      </c>
      <c r="B136">
        <v>1.020764</v>
      </c>
      <c r="C136" s="2">
        <v>123456789</v>
      </c>
      <c r="D136" s="2">
        <v>123456789</v>
      </c>
    </row>
    <row r="137" spans="1:4" x14ac:dyDescent="0.45">
      <c r="A137" t="s">
        <v>270</v>
      </c>
      <c r="B137">
        <v>0.81427939999999999</v>
      </c>
      <c r="C137" s="2">
        <v>123456789</v>
      </c>
      <c r="D137" s="2">
        <v>123456789</v>
      </c>
    </row>
    <row r="138" spans="1:4" x14ac:dyDescent="0.45">
      <c r="A138" t="s">
        <v>271</v>
      </c>
      <c r="B138">
        <v>0.56844110000000003</v>
      </c>
      <c r="C138" s="2">
        <v>123456789</v>
      </c>
      <c r="D138" s="2">
        <v>123456789</v>
      </c>
    </row>
    <row r="139" spans="1:4" x14ac:dyDescent="0.45">
      <c r="A139" t="s">
        <v>272</v>
      </c>
      <c r="B139">
        <v>0.3796138</v>
      </c>
      <c r="C139" s="2">
        <v>123456789</v>
      </c>
      <c r="D139" s="2">
        <v>123456789</v>
      </c>
    </row>
    <row r="140" spans="1:4" x14ac:dyDescent="0.45">
      <c r="A140" t="s">
        <v>273</v>
      </c>
      <c r="B140">
        <v>0.1681356</v>
      </c>
      <c r="C140" s="2">
        <v>123456789</v>
      </c>
      <c r="D140" s="2">
        <v>123456789</v>
      </c>
    </row>
    <row r="141" spans="1:4" x14ac:dyDescent="0.45">
      <c r="A141" t="s">
        <v>274</v>
      </c>
      <c r="B141">
        <v>9.4067499999999998E-2</v>
      </c>
      <c r="C141" s="2">
        <v>123456789</v>
      </c>
      <c r="D141" s="2">
        <v>123456789</v>
      </c>
    </row>
    <row r="142" spans="1:4" x14ac:dyDescent="0.45">
      <c r="A142" t="s">
        <v>275</v>
      </c>
      <c r="B142">
        <v>-2.35678E-2</v>
      </c>
      <c r="C142" s="2">
        <v>123456789</v>
      </c>
      <c r="D142" s="2">
        <v>123456789</v>
      </c>
    </row>
    <row r="143" spans="1:4" x14ac:dyDescent="0.45">
      <c r="A143" t="s">
        <v>276</v>
      </c>
      <c r="B143">
        <v>-8.6947899999999995E-2</v>
      </c>
      <c r="C143" s="2">
        <v>123456789</v>
      </c>
      <c r="D143" s="2">
        <v>123456789</v>
      </c>
    </row>
    <row r="144" spans="1:4" x14ac:dyDescent="0.45">
      <c r="A144" t="s">
        <v>277</v>
      </c>
      <c r="B144">
        <v>1.3044999999999999E-2</v>
      </c>
      <c r="C144" s="2">
        <v>123456789</v>
      </c>
      <c r="D144" s="2">
        <v>123456789</v>
      </c>
    </row>
    <row r="145" spans="1:4" x14ac:dyDescent="0.45">
      <c r="A145" t="s">
        <v>278</v>
      </c>
      <c r="B145">
        <v>-5.2557399999999997E-2</v>
      </c>
      <c r="C145" s="2">
        <v>123456789</v>
      </c>
      <c r="D145" s="2">
        <v>123456789</v>
      </c>
    </row>
    <row r="146" spans="1:4" x14ac:dyDescent="0.45">
      <c r="A146" t="s">
        <v>279</v>
      </c>
      <c r="B146">
        <v>-0.1731936</v>
      </c>
      <c r="C146" s="2">
        <v>123456789</v>
      </c>
      <c r="D146" s="2">
        <v>123456789</v>
      </c>
    </row>
    <row r="147" spans="1:4" x14ac:dyDescent="0.45">
      <c r="A147" t="s">
        <v>280</v>
      </c>
      <c r="B147">
        <v>-4.7232999999999997E-2</v>
      </c>
      <c r="C147" s="2">
        <v>123456789</v>
      </c>
      <c r="D147" s="2">
        <v>123456789</v>
      </c>
    </row>
    <row r="148" spans="1:4" x14ac:dyDescent="0.45">
      <c r="A148" t="s">
        <v>281</v>
      </c>
      <c r="B148">
        <v>-0.2903289</v>
      </c>
      <c r="C148" s="2">
        <v>123456789</v>
      </c>
      <c r="D148" s="2">
        <v>123456789</v>
      </c>
    </row>
    <row r="149" spans="1:4" x14ac:dyDescent="0.45">
      <c r="A149" t="s">
        <v>282</v>
      </c>
      <c r="B149">
        <v>-0.55302969999999996</v>
      </c>
      <c r="C149" s="2">
        <v>123456789</v>
      </c>
      <c r="D149" s="2">
        <v>123456789</v>
      </c>
    </row>
    <row r="150" spans="1:4" x14ac:dyDescent="0.45">
      <c r="A150" t="s">
        <v>283</v>
      </c>
      <c r="B150">
        <v>-0.63502499999999995</v>
      </c>
      <c r="C150" s="2">
        <v>123456789</v>
      </c>
      <c r="D150" s="2">
        <v>123456789</v>
      </c>
    </row>
    <row r="151" spans="1:4" x14ac:dyDescent="0.45">
      <c r="A151" t="s">
        <v>284</v>
      </c>
      <c r="B151">
        <v>-0.56236770000000003</v>
      </c>
      <c r="C151" s="2">
        <v>123456789</v>
      </c>
      <c r="D151" s="2">
        <v>123456789</v>
      </c>
    </row>
    <row r="152" spans="1:4" x14ac:dyDescent="0.45">
      <c r="A152" t="s">
        <v>285</v>
      </c>
      <c r="B152">
        <v>-0.55177509999999996</v>
      </c>
      <c r="C152" s="2">
        <v>123456789</v>
      </c>
      <c r="D152" s="2">
        <v>123456789</v>
      </c>
    </row>
    <row r="153" spans="1:4" x14ac:dyDescent="0.45">
      <c r="A153" t="s">
        <v>286</v>
      </c>
      <c r="B153">
        <v>-0.35722520000000002</v>
      </c>
      <c r="C153" s="2">
        <v>123456789</v>
      </c>
      <c r="D153" s="2">
        <v>123456789</v>
      </c>
    </row>
    <row r="154" spans="1:4" x14ac:dyDescent="0.45">
      <c r="A154" t="s">
        <v>287</v>
      </c>
      <c r="B154">
        <v>2.0941100000000001E-2</v>
      </c>
      <c r="C154" s="2">
        <v>123456789</v>
      </c>
      <c r="D154" s="2">
        <v>123456789</v>
      </c>
    </row>
    <row r="155" spans="1:4" x14ac:dyDescent="0.45">
      <c r="A155" t="s">
        <v>288</v>
      </c>
      <c r="B155">
        <v>5.7619299999999998E-2</v>
      </c>
      <c r="C155" s="2">
        <v>123456789</v>
      </c>
      <c r="D155" s="2">
        <v>123456789</v>
      </c>
    </row>
    <row r="156" spans="1:4" x14ac:dyDescent="0.45">
      <c r="A156" t="s">
        <v>289</v>
      </c>
      <c r="B156">
        <v>-4.8894E-2</v>
      </c>
      <c r="C156" s="2">
        <v>123456789</v>
      </c>
      <c r="D156" s="2">
        <v>123456789</v>
      </c>
    </row>
    <row r="157" spans="1:4" x14ac:dyDescent="0.45">
      <c r="A157" t="s">
        <v>290</v>
      </c>
      <c r="B157">
        <v>1.919262</v>
      </c>
      <c r="C157" s="2">
        <v>123456789</v>
      </c>
      <c r="D157" s="2">
        <v>123456789</v>
      </c>
    </row>
    <row r="158" spans="1:4" x14ac:dyDescent="0.45">
      <c r="A158" t="s">
        <v>291</v>
      </c>
      <c r="B158">
        <v>2.7742399999999998</v>
      </c>
      <c r="C158" s="2">
        <v>123456789</v>
      </c>
      <c r="D158" s="2">
        <v>123456789</v>
      </c>
    </row>
    <row r="159" spans="1:4" x14ac:dyDescent="0.45">
      <c r="A159" t="s">
        <v>292</v>
      </c>
      <c r="B159">
        <v>2.9282409999999999</v>
      </c>
      <c r="C159" s="2">
        <v>123456789</v>
      </c>
      <c r="D159" s="2">
        <v>123456789</v>
      </c>
    </row>
    <row r="160" spans="1:4" x14ac:dyDescent="0.45">
      <c r="A160" t="s">
        <v>293</v>
      </c>
      <c r="B160">
        <v>3.1608070000000001</v>
      </c>
      <c r="C160" s="2">
        <v>123456789</v>
      </c>
      <c r="D160" s="2">
        <v>123456789</v>
      </c>
    </row>
    <row r="161" spans="1:4" x14ac:dyDescent="0.45">
      <c r="A161" t="s">
        <v>294</v>
      </c>
      <c r="B161">
        <v>3.1925569999999999</v>
      </c>
      <c r="C161" s="2">
        <v>123456789</v>
      </c>
      <c r="D161" s="2">
        <v>123456789</v>
      </c>
    </row>
    <row r="162" spans="1:4" x14ac:dyDescent="0.45">
      <c r="A162" t="s">
        <v>295</v>
      </c>
      <c r="B162">
        <v>3.5133920000000001</v>
      </c>
      <c r="C162" s="2">
        <v>123456789</v>
      </c>
      <c r="D162" s="2">
        <v>123456789</v>
      </c>
    </row>
    <row r="163" spans="1:4" x14ac:dyDescent="0.45">
      <c r="A163" t="s">
        <v>296</v>
      </c>
      <c r="B163">
        <v>3.2953160000000001</v>
      </c>
      <c r="C163" s="2">
        <v>123456789</v>
      </c>
      <c r="D163" s="2">
        <v>123456789</v>
      </c>
    </row>
    <row r="164" spans="1:4" x14ac:dyDescent="0.45">
      <c r="A164" t="s">
        <v>297</v>
      </c>
      <c r="B164">
        <v>2.7711899999999998</v>
      </c>
      <c r="C164" s="2">
        <v>123456789</v>
      </c>
      <c r="D164" s="2">
        <v>123456789</v>
      </c>
    </row>
    <row r="165" spans="1:4" x14ac:dyDescent="0.45">
      <c r="A165" t="s">
        <v>298</v>
      </c>
      <c r="B165">
        <v>2.7965710000000001</v>
      </c>
      <c r="C165" s="2">
        <v>123456789</v>
      </c>
      <c r="D165" s="2">
        <v>123456789</v>
      </c>
    </row>
    <row r="166" spans="1:4" x14ac:dyDescent="0.45">
      <c r="A166" t="s">
        <v>299</v>
      </c>
      <c r="B166">
        <v>3.0202559999999998</v>
      </c>
      <c r="C166" s="2">
        <v>123456789</v>
      </c>
      <c r="D166" s="2">
        <v>123456789</v>
      </c>
    </row>
    <row r="167" spans="1:4" x14ac:dyDescent="0.45">
      <c r="A167" t="s">
        <v>300</v>
      </c>
      <c r="B167">
        <v>2.9187829999999999</v>
      </c>
      <c r="C167" s="2">
        <v>123456789</v>
      </c>
      <c r="D167" s="2">
        <v>123456789</v>
      </c>
    </row>
    <row r="168" spans="1:4" x14ac:dyDescent="0.45">
      <c r="A168" t="s">
        <v>301</v>
      </c>
      <c r="B168">
        <v>2.3632360000000001</v>
      </c>
      <c r="C168" s="2">
        <v>123456789</v>
      </c>
      <c r="D168" s="2">
        <v>123456789</v>
      </c>
    </row>
    <row r="169" spans="1:4" x14ac:dyDescent="0.45">
      <c r="A169" t="s">
        <v>302</v>
      </c>
      <c r="B169">
        <v>1.907972</v>
      </c>
      <c r="C169" s="2">
        <v>123456789</v>
      </c>
      <c r="D169" s="2">
        <v>123456789</v>
      </c>
    </row>
    <row r="170" spans="1:4" x14ac:dyDescent="0.45">
      <c r="A170" t="s">
        <v>303</v>
      </c>
      <c r="B170">
        <v>1.829664</v>
      </c>
      <c r="C170" s="2">
        <v>123456789</v>
      </c>
      <c r="D170" s="2">
        <v>123456789</v>
      </c>
    </row>
    <row r="171" spans="1:4" x14ac:dyDescent="0.45">
      <c r="A171" t="s">
        <v>304</v>
      </c>
      <c r="B171">
        <v>1.6223080000000001</v>
      </c>
      <c r="C171" s="2">
        <v>123456789</v>
      </c>
      <c r="D171" s="2">
        <v>123456789</v>
      </c>
    </row>
    <row r="172" spans="1:4" x14ac:dyDescent="0.45">
      <c r="A172" t="s">
        <v>305</v>
      </c>
      <c r="B172">
        <v>1.4773430000000001</v>
      </c>
      <c r="C172" s="2">
        <v>123456789</v>
      </c>
      <c r="D172" s="2">
        <v>123456789</v>
      </c>
    </row>
    <row r="173" spans="1:4" x14ac:dyDescent="0.45">
      <c r="A173" t="s">
        <v>306</v>
      </c>
      <c r="B173">
        <v>1.522119</v>
      </c>
      <c r="C173" s="2">
        <v>123456789</v>
      </c>
      <c r="D173" s="2">
        <v>123456789</v>
      </c>
    </row>
    <row r="174" spans="1:4" x14ac:dyDescent="0.45">
      <c r="A174" t="s">
        <v>307</v>
      </c>
      <c r="B174">
        <v>1.8918330000000001</v>
      </c>
      <c r="C174" s="2">
        <v>123456789</v>
      </c>
      <c r="D174" s="2">
        <v>123456789</v>
      </c>
    </row>
    <row r="175" spans="1:4" x14ac:dyDescent="0.45">
      <c r="A175" t="s">
        <v>308</v>
      </c>
      <c r="B175">
        <v>1.804794</v>
      </c>
      <c r="C175" s="2">
        <v>123456789</v>
      </c>
      <c r="D175" s="2">
        <v>123456789</v>
      </c>
    </row>
    <row r="176" spans="1:4" x14ac:dyDescent="0.45">
      <c r="A176" t="s">
        <v>309</v>
      </c>
      <c r="B176">
        <v>2.4623919999999999</v>
      </c>
      <c r="C176" s="2">
        <v>123456789</v>
      </c>
      <c r="D176" s="2">
        <v>123456789</v>
      </c>
    </row>
    <row r="177" spans="1:4" x14ac:dyDescent="0.45">
      <c r="A177" t="s">
        <v>310</v>
      </c>
      <c r="B177">
        <v>2.5383870000000002</v>
      </c>
      <c r="C177" s="2">
        <v>123456789</v>
      </c>
      <c r="D177" s="2">
        <v>123456789</v>
      </c>
    </row>
    <row r="178" spans="1:4" x14ac:dyDescent="0.45">
      <c r="A178" t="s">
        <v>311</v>
      </c>
      <c r="B178">
        <v>2.5522450000000001</v>
      </c>
      <c r="C178" s="2">
        <v>123456789</v>
      </c>
      <c r="D178" s="2">
        <v>123456789</v>
      </c>
    </row>
    <row r="179" spans="1:4" x14ac:dyDescent="0.45">
      <c r="A179" t="s">
        <v>312</v>
      </c>
      <c r="B179">
        <v>2.3854639999999998</v>
      </c>
      <c r="C179" s="2">
        <v>123456789</v>
      </c>
      <c r="D179" s="2">
        <v>123456789</v>
      </c>
    </row>
    <row r="180" spans="1:4" x14ac:dyDescent="0.45">
      <c r="A180" t="s">
        <v>313</v>
      </c>
      <c r="B180">
        <v>2.0818080000000001</v>
      </c>
      <c r="C180" s="2">
        <v>123456789</v>
      </c>
      <c r="D180" s="2">
        <v>123456789</v>
      </c>
    </row>
    <row r="181" spans="1:4" x14ac:dyDescent="0.45">
      <c r="A181" t="s">
        <v>314</v>
      </c>
      <c r="B181">
        <v>1.7177579999999999</v>
      </c>
      <c r="C181" s="2">
        <v>123456789</v>
      </c>
      <c r="D181" s="2">
        <v>123456789</v>
      </c>
    </row>
    <row r="182" spans="1:4" x14ac:dyDescent="0.45">
      <c r="A182" t="s">
        <v>315</v>
      </c>
      <c r="B182">
        <v>1.3827149999999999</v>
      </c>
      <c r="C182" s="2">
        <v>123456789</v>
      </c>
      <c r="D182" s="2">
        <v>123456789</v>
      </c>
    </row>
    <row r="183" spans="1:4" x14ac:dyDescent="0.45">
      <c r="A183" t="s">
        <v>316</v>
      </c>
      <c r="B183">
        <v>1.591162</v>
      </c>
      <c r="C183" s="2">
        <v>123456789</v>
      </c>
      <c r="D183" s="2">
        <v>123456789</v>
      </c>
    </row>
    <row r="184" spans="1:4" x14ac:dyDescent="0.45">
      <c r="A184" t="s">
        <v>317</v>
      </c>
      <c r="B184">
        <v>1.539558</v>
      </c>
      <c r="C184" s="2">
        <v>123456789</v>
      </c>
      <c r="D184" s="2">
        <v>123456789</v>
      </c>
    </row>
    <row r="185" spans="1:4" x14ac:dyDescent="0.45">
      <c r="A185" t="s">
        <v>318</v>
      </c>
      <c r="B185">
        <v>1.4846429999999999</v>
      </c>
      <c r="C185" s="2">
        <v>123456789</v>
      </c>
      <c r="D185" s="2">
        <v>123456789</v>
      </c>
    </row>
    <row r="186" spans="1:4" x14ac:dyDescent="0.45">
      <c r="A186" t="s">
        <v>319</v>
      </c>
      <c r="B186">
        <v>1.3095600000000001</v>
      </c>
      <c r="C186" s="2">
        <v>123456789</v>
      </c>
      <c r="D186" s="2">
        <v>123456789</v>
      </c>
    </row>
    <row r="187" spans="1:4" x14ac:dyDescent="0.45">
      <c r="A187" t="s">
        <v>320</v>
      </c>
      <c r="B187">
        <v>1.158739</v>
      </c>
      <c r="C187" s="2">
        <v>123456789</v>
      </c>
      <c r="D187" s="2">
        <v>123456789</v>
      </c>
    </row>
    <row r="188" spans="1:4" x14ac:dyDescent="0.45">
      <c r="A188" t="s">
        <v>321</v>
      </c>
      <c r="B188">
        <v>0.71424100000000001</v>
      </c>
      <c r="C188" s="2">
        <v>123456789</v>
      </c>
      <c r="D188" s="2">
        <v>123456789</v>
      </c>
    </row>
    <row r="189" spans="1:4" x14ac:dyDescent="0.45">
      <c r="A189" t="s">
        <v>322</v>
      </c>
      <c r="B189">
        <v>1.2318579999999999</v>
      </c>
      <c r="C189" s="2">
        <v>123456789</v>
      </c>
      <c r="D189" s="2">
        <v>123456789</v>
      </c>
    </row>
    <row r="190" spans="1:4" x14ac:dyDescent="0.45">
      <c r="A190" t="s">
        <v>323</v>
      </c>
      <c r="B190">
        <v>1.2560150000000001</v>
      </c>
      <c r="C190" s="2">
        <v>123456789</v>
      </c>
      <c r="D190" s="2">
        <v>123456789</v>
      </c>
    </row>
    <row r="191" spans="1:4" x14ac:dyDescent="0.45">
      <c r="A191" t="s">
        <v>324</v>
      </c>
      <c r="B191">
        <v>0.99683359999999999</v>
      </c>
      <c r="C191" s="2">
        <v>123456789</v>
      </c>
      <c r="D191" s="2">
        <v>123456789</v>
      </c>
    </row>
    <row r="192" spans="1:4" x14ac:dyDescent="0.45">
      <c r="A192" t="s">
        <v>325</v>
      </c>
      <c r="B192">
        <v>0.98580420000000002</v>
      </c>
      <c r="C192" s="2">
        <v>123456789</v>
      </c>
      <c r="D192" s="2">
        <v>123456789</v>
      </c>
    </row>
    <row r="193" spans="1:4" x14ac:dyDescent="0.45">
      <c r="A193" t="s">
        <v>326</v>
      </c>
      <c r="B193">
        <v>0.9403821</v>
      </c>
      <c r="C193" s="2">
        <v>123456789</v>
      </c>
      <c r="D193" s="2">
        <v>123456789</v>
      </c>
    </row>
    <row r="194" spans="1:4" x14ac:dyDescent="0.45">
      <c r="A194" t="s">
        <v>327</v>
      </c>
      <c r="B194">
        <v>0.94571470000000002</v>
      </c>
      <c r="C194" s="2">
        <v>123456789</v>
      </c>
      <c r="D194" s="2">
        <v>123456789</v>
      </c>
    </row>
    <row r="195" spans="1:4" x14ac:dyDescent="0.45">
      <c r="A195" t="s">
        <v>328</v>
      </c>
      <c r="B195">
        <v>0.85776960000000002</v>
      </c>
      <c r="C195" s="2">
        <v>123456789</v>
      </c>
      <c r="D195" s="2">
        <v>123456789</v>
      </c>
    </row>
    <row r="196" spans="1:4" x14ac:dyDescent="0.45">
      <c r="A196" t="s">
        <v>329</v>
      </c>
      <c r="B196">
        <v>0.74838130000000003</v>
      </c>
      <c r="C196" s="2">
        <v>123456789</v>
      </c>
      <c r="D196" s="2">
        <v>123456789</v>
      </c>
    </row>
    <row r="197" spans="1:4" x14ac:dyDescent="0.45">
      <c r="A197" t="s">
        <v>330</v>
      </c>
      <c r="B197">
        <v>0.68954499999999996</v>
      </c>
      <c r="C197" s="2">
        <v>123456789</v>
      </c>
      <c r="D197" s="2">
        <v>123456789</v>
      </c>
    </row>
    <row r="198" spans="1:4" x14ac:dyDescent="0.45">
      <c r="A198" t="s">
        <v>331</v>
      </c>
      <c r="B198">
        <v>0.49784050000000002</v>
      </c>
      <c r="C198" s="2">
        <v>123456789</v>
      </c>
      <c r="D198" s="2">
        <v>123456789</v>
      </c>
    </row>
    <row r="199" spans="1:4" x14ac:dyDescent="0.45">
      <c r="A199" t="s">
        <v>332</v>
      </c>
      <c r="B199">
        <v>0.35754809999999998</v>
      </c>
      <c r="C199" s="2">
        <v>123456789</v>
      </c>
      <c r="D199" s="2">
        <v>123456789</v>
      </c>
    </row>
    <row r="200" spans="1:4" x14ac:dyDescent="0.45">
      <c r="A200" t="s">
        <v>333</v>
      </c>
      <c r="B200">
        <v>8.4466100000000002E-2</v>
      </c>
      <c r="C200" s="2">
        <v>123456789</v>
      </c>
      <c r="D200" s="2">
        <v>123456789</v>
      </c>
    </row>
    <row r="201" spans="1:4" x14ac:dyDescent="0.45">
      <c r="A201" t="s">
        <v>334</v>
      </c>
      <c r="B201">
        <v>7.0386199999999996E-2</v>
      </c>
      <c r="C201" s="2">
        <v>123456789</v>
      </c>
      <c r="D201" s="2">
        <v>123456789</v>
      </c>
    </row>
    <row r="202" spans="1:4" x14ac:dyDescent="0.45">
      <c r="A202" t="s">
        <v>335</v>
      </c>
      <c r="B202">
        <v>0.12662899999999999</v>
      </c>
      <c r="C202" s="2">
        <v>123456789</v>
      </c>
      <c r="D202" s="2">
        <v>123456789</v>
      </c>
    </row>
    <row r="203" spans="1:4" x14ac:dyDescent="0.45">
      <c r="A203" t="s">
        <v>336</v>
      </c>
      <c r="B203">
        <v>0.21384819999999999</v>
      </c>
      <c r="C203" s="2">
        <v>123456789</v>
      </c>
      <c r="D203" s="2">
        <v>123456789</v>
      </c>
    </row>
    <row r="204" spans="1:4" x14ac:dyDescent="0.45">
      <c r="A204" t="s">
        <v>337</v>
      </c>
      <c r="B204">
        <v>0.25210250000000001</v>
      </c>
      <c r="C204" s="2">
        <v>123456789</v>
      </c>
      <c r="D204" s="2">
        <v>123456789</v>
      </c>
    </row>
    <row r="205" spans="1:4" x14ac:dyDescent="0.45">
      <c r="A205" t="s">
        <v>338</v>
      </c>
      <c r="B205">
        <v>0.35481079999999998</v>
      </c>
      <c r="C205" s="2">
        <v>123456789</v>
      </c>
      <c r="D205" s="2">
        <v>123456789</v>
      </c>
    </row>
    <row r="206" spans="1:4" x14ac:dyDescent="0.45">
      <c r="A206" t="s">
        <v>339</v>
      </c>
      <c r="B206">
        <v>0.67931739999999996</v>
      </c>
      <c r="C206" s="2">
        <v>123456789</v>
      </c>
      <c r="D206" s="2">
        <v>123456789</v>
      </c>
    </row>
    <row r="207" spans="1:4" x14ac:dyDescent="0.45">
      <c r="A207" t="s">
        <v>340</v>
      </c>
      <c r="B207">
        <v>0.86822370000000004</v>
      </c>
      <c r="C207" s="2">
        <v>123456789</v>
      </c>
      <c r="D207" s="2">
        <v>123456789</v>
      </c>
    </row>
    <row r="208" spans="1:4" x14ac:dyDescent="0.45">
      <c r="A208" t="s">
        <v>341</v>
      </c>
      <c r="B208">
        <v>0.64875099999999997</v>
      </c>
      <c r="C208" s="2">
        <v>123456789</v>
      </c>
      <c r="D208" s="2">
        <v>123456789</v>
      </c>
    </row>
    <row r="209" spans="1:4" x14ac:dyDescent="0.45">
      <c r="A209" t="s">
        <v>342</v>
      </c>
      <c r="B209">
        <v>0.62345510000000004</v>
      </c>
      <c r="C209" s="2">
        <v>123456789</v>
      </c>
      <c r="D209" s="2">
        <v>123456789</v>
      </c>
    </row>
    <row r="210" spans="1:4" x14ac:dyDescent="0.45">
      <c r="A210" t="s">
        <v>343</v>
      </c>
      <c r="B210">
        <v>0.43642999999999998</v>
      </c>
      <c r="C210" s="2">
        <v>123456789</v>
      </c>
      <c r="D210" s="2">
        <v>123456789</v>
      </c>
    </row>
    <row r="211" spans="1:4" x14ac:dyDescent="0.45">
      <c r="A211" t="s">
        <v>344</v>
      </c>
      <c r="B211">
        <v>0.50384549999999995</v>
      </c>
      <c r="C211" s="2">
        <v>123456789</v>
      </c>
      <c r="D211" s="2">
        <v>123456789</v>
      </c>
    </row>
    <row r="212" spans="1:4" x14ac:dyDescent="0.45">
      <c r="A212" t="s">
        <v>345</v>
      </c>
      <c r="B212">
        <v>0.1099488</v>
      </c>
      <c r="C212" s="2">
        <v>123456789</v>
      </c>
      <c r="D212" s="2">
        <v>123456789</v>
      </c>
    </row>
    <row r="213" spans="1:4" x14ac:dyDescent="0.45">
      <c r="A213" t="s">
        <v>346</v>
      </c>
      <c r="B213">
        <v>0.2631965</v>
      </c>
      <c r="C213" s="2">
        <v>123456789</v>
      </c>
      <c r="D213" s="2">
        <v>123456789</v>
      </c>
    </row>
    <row r="214" spans="1:4" x14ac:dyDescent="0.45">
      <c r="A214" t="s">
        <v>347</v>
      </c>
      <c r="B214">
        <v>-0.16723009999999999</v>
      </c>
      <c r="C214" s="2">
        <v>123456789</v>
      </c>
      <c r="D214" s="2">
        <v>123456789</v>
      </c>
    </row>
    <row r="215" spans="1:4" x14ac:dyDescent="0.45">
      <c r="A215" t="s">
        <v>348</v>
      </c>
      <c r="B215">
        <v>-0.56176820000000005</v>
      </c>
      <c r="C215" s="2">
        <v>123456789</v>
      </c>
      <c r="D215" s="2">
        <v>123456789</v>
      </c>
    </row>
    <row r="216" spans="1:4" x14ac:dyDescent="0.45">
      <c r="A216" t="s">
        <v>349</v>
      </c>
      <c r="B216">
        <v>-0.69943100000000002</v>
      </c>
      <c r="C216" s="2">
        <v>123456789</v>
      </c>
      <c r="D216" s="2">
        <v>123456789</v>
      </c>
    </row>
    <row r="217" spans="1:4" x14ac:dyDescent="0.45">
      <c r="A217" t="s">
        <v>350</v>
      </c>
      <c r="B217">
        <v>-0.50632750000000004</v>
      </c>
      <c r="C217" s="2">
        <v>123456789</v>
      </c>
      <c r="D217" s="2">
        <v>123456789</v>
      </c>
    </row>
    <row r="218" spans="1:4" x14ac:dyDescent="0.45">
      <c r="A218" t="s">
        <v>351</v>
      </c>
      <c r="B218">
        <v>-0.60081640000000003</v>
      </c>
      <c r="C218" s="2">
        <v>123456789</v>
      </c>
      <c r="D218" s="2">
        <v>123456789</v>
      </c>
    </row>
    <row r="219" spans="1:4" x14ac:dyDescent="0.45">
      <c r="A219" t="s">
        <v>352</v>
      </c>
      <c r="B219">
        <v>-0.46784730000000002</v>
      </c>
      <c r="C219" s="2">
        <v>123456789</v>
      </c>
      <c r="D219" s="2">
        <v>123456789</v>
      </c>
    </row>
    <row r="220" spans="1:4" x14ac:dyDescent="0.45">
      <c r="A220" t="s">
        <v>353</v>
      </c>
      <c r="B220">
        <v>-0.30316300000000002</v>
      </c>
      <c r="C220" s="2">
        <v>123456789</v>
      </c>
      <c r="D220" s="2">
        <v>123456789</v>
      </c>
    </row>
    <row r="221" spans="1:4" x14ac:dyDescent="0.45">
      <c r="A221" t="s">
        <v>354</v>
      </c>
      <c r="B221">
        <v>6.4680000000000001E-2</v>
      </c>
      <c r="C221" s="2">
        <v>123456789</v>
      </c>
      <c r="D221" s="2">
        <v>123456789</v>
      </c>
    </row>
    <row r="222" spans="1:4" x14ac:dyDescent="0.45">
      <c r="A222" t="s">
        <v>355</v>
      </c>
      <c r="B222">
        <v>0.53886160000000005</v>
      </c>
      <c r="C222" s="2">
        <v>123456789</v>
      </c>
      <c r="D222" s="2">
        <v>123456789</v>
      </c>
    </row>
    <row r="223" spans="1:4" x14ac:dyDescent="0.45">
      <c r="A223" t="s">
        <v>356</v>
      </c>
      <c r="B223">
        <v>0.92707896664363132</v>
      </c>
      <c r="C223" s="2">
        <v>123456789</v>
      </c>
      <c r="D223" s="2">
        <v>123456789</v>
      </c>
    </row>
    <row r="224" spans="1:4" x14ac:dyDescent="0.45">
      <c r="A224" t="s">
        <v>357</v>
      </c>
      <c r="B224">
        <v>0.92551168188210042</v>
      </c>
      <c r="C224" s="2">
        <v>123456789</v>
      </c>
      <c r="D224" s="2">
        <v>123456789</v>
      </c>
    </row>
    <row r="225" spans="1:4" x14ac:dyDescent="0.45">
      <c r="A225" t="s">
        <v>438</v>
      </c>
      <c r="B225">
        <v>0.92551168188210042</v>
      </c>
      <c r="C225" s="2">
        <v>123456789</v>
      </c>
      <c r="D225" s="2">
        <v>123456789</v>
      </c>
    </row>
    <row r="226" spans="1:4" x14ac:dyDescent="0.45">
      <c r="A226" t="s">
        <v>441</v>
      </c>
      <c r="B226">
        <v>0.92551168188210042</v>
      </c>
      <c r="C226" s="2">
        <v>123456789</v>
      </c>
      <c r="D226" s="2">
        <v>123456789</v>
      </c>
    </row>
  </sheetData>
  <phoneticPr fontId="3"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4916-4E91-4520-80CD-D097A021C899}">
  <sheetPr>
    <tabColor theme="9" tint="0.79998168889431442"/>
  </sheetPr>
  <dimension ref="A1:D226"/>
  <sheetViews>
    <sheetView topLeftCell="A214" workbookViewId="0">
      <selection activeCell="F228" sqref="F228"/>
    </sheetView>
  </sheetViews>
  <sheetFormatPr defaultRowHeight="14.25" x14ac:dyDescent="0.45"/>
  <sheetData>
    <row r="1" spans="1:4" x14ac:dyDescent="0.45">
      <c r="B1" t="s">
        <v>6</v>
      </c>
      <c r="C1" t="s">
        <v>133</v>
      </c>
      <c r="D1" t="s">
        <v>134</v>
      </c>
    </row>
    <row r="2" spans="1:4" x14ac:dyDescent="0.45">
      <c r="A2" t="s">
        <v>135</v>
      </c>
      <c r="B2" s="11">
        <f>spliced_inflation_expectations!D2</f>
        <v>3.1158752825806193</v>
      </c>
      <c r="C2" s="2">
        <v>123456789</v>
      </c>
      <c r="D2" s="2">
        <v>123456789</v>
      </c>
    </row>
    <row r="3" spans="1:4" x14ac:dyDescent="0.45">
      <c r="A3" t="s">
        <v>136</v>
      </c>
      <c r="B3" s="11">
        <f>spliced_inflation_expectations!D3</f>
        <v>3.4165041417154169</v>
      </c>
      <c r="C3" s="2">
        <v>123456789</v>
      </c>
      <c r="D3" s="2">
        <v>123456789</v>
      </c>
    </row>
    <row r="4" spans="1:4" x14ac:dyDescent="0.45">
      <c r="A4" t="s">
        <v>137</v>
      </c>
      <c r="B4" s="11">
        <f>spliced_inflation_expectations!D4</f>
        <v>3.757063544449351</v>
      </c>
      <c r="C4" s="2">
        <v>123456789</v>
      </c>
      <c r="D4" s="2">
        <v>123456789</v>
      </c>
    </row>
    <row r="5" spans="1:4" x14ac:dyDescent="0.45">
      <c r="A5" t="s">
        <v>138</v>
      </c>
      <c r="B5" s="11">
        <f>spliced_inflation_expectations!D5</f>
        <v>4.0588897810361857</v>
      </c>
      <c r="C5" s="2">
        <v>123456789</v>
      </c>
      <c r="D5" s="2">
        <v>123456789</v>
      </c>
    </row>
    <row r="6" spans="1:4" x14ac:dyDescent="0.45">
      <c r="A6" t="s">
        <v>139</v>
      </c>
      <c r="B6" s="11">
        <f>spliced_inflation_expectations!D6</f>
        <v>4.3685160259040199</v>
      </c>
      <c r="C6" s="2">
        <v>123456789</v>
      </c>
      <c r="D6" s="2">
        <v>123456789</v>
      </c>
    </row>
    <row r="7" spans="1:4" x14ac:dyDescent="0.45">
      <c r="A7" t="s">
        <v>140</v>
      </c>
      <c r="B7" s="11">
        <f>spliced_inflation_expectations!D7</f>
        <v>4.8084085177125093</v>
      </c>
      <c r="C7" s="2">
        <v>123456789</v>
      </c>
      <c r="D7" s="2">
        <v>123456789</v>
      </c>
    </row>
    <row r="8" spans="1:4" x14ac:dyDescent="0.45">
      <c r="A8" t="s">
        <v>141</v>
      </c>
      <c r="B8" s="11">
        <f>spliced_inflation_expectations!D8</f>
        <v>4.9024950307323332</v>
      </c>
      <c r="C8" s="2">
        <v>123456789</v>
      </c>
      <c r="D8" s="2">
        <v>123456789</v>
      </c>
    </row>
    <row r="9" spans="1:4" x14ac:dyDescent="0.45">
      <c r="A9" t="s">
        <v>142</v>
      </c>
      <c r="B9" s="11">
        <f>spliced_inflation_expectations!D9</f>
        <v>4.5872410534480528</v>
      </c>
      <c r="C9" s="2">
        <v>123456789</v>
      </c>
      <c r="D9" s="2">
        <v>123456789</v>
      </c>
    </row>
    <row r="10" spans="1:4" x14ac:dyDescent="0.45">
      <c r="A10" t="s">
        <v>143</v>
      </c>
      <c r="B10" s="11">
        <f>spliced_inflation_expectations!D10</f>
        <v>4.1464906916991859</v>
      </c>
      <c r="C10" s="2">
        <v>123456789</v>
      </c>
      <c r="D10" s="2">
        <v>123456789</v>
      </c>
    </row>
    <row r="11" spans="1:4" x14ac:dyDescent="0.45">
      <c r="A11" t="s">
        <v>144</v>
      </c>
      <c r="B11" s="11">
        <f>spliced_inflation_expectations!D11</f>
        <v>3.5246809032192798</v>
      </c>
      <c r="C11" s="2">
        <v>123456789</v>
      </c>
      <c r="D11" s="2">
        <v>123456789</v>
      </c>
    </row>
    <row r="12" spans="1:4" x14ac:dyDescent="0.45">
      <c r="A12" t="s">
        <v>145</v>
      </c>
      <c r="B12" s="11">
        <f>spliced_inflation_expectations!D12</f>
        <v>3.6231574062786063</v>
      </c>
      <c r="C12" s="2">
        <v>123456789</v>
      </c>
      <c r="D12" s="2">
        <v>123456789</v>
      </c>
    </row>
    <row r="13" spans="1:4" x14ac:dyDescent="0.45">
      <c r="A13" t="s">
        <v>146</v>
      </c>
      <c r="B13" s="11">
        <f>spliced_inflation_expectations!D13</f>
        <v>4.0628576568921178</v>
      </c>
      <c r="C13" s="2">
        <v>123456789</v>
      </c>
      <c r="D13" s="2">
        <v>123456789</v>
      </c>
    </row>
    <row r="14" spans="1:4" x14ac:dyDescent="0.45">
      <c r="A14" t="s">
        <v>147</v>
      </c>
      <c r="B14" s="11">
        <f>spliced_inflation_expectations!D14</f>
        <v>4.1386122382479851</v>
      </c>
      <c r="C14" s="2">
        <v>123456789</v>
      </c>
      <c r="D14" s="2">
        <v>123456789</v>
      </c>
    </row>
    <row r="15" spans="1:4" x14ac:dyDescent="0.45">
      <c r="A15" t="s">
        <v>148</v>
      </c>
      <c r="B15" s="11">
        <f>spliced_inflation_expectations!D15</f>
        <v>4.6253700955093517</v>
      </c>
      <c r="C15" s="2">
        <v>123456789</v>
      </c>
      <c r="D15" s="2">
        <v>123456789</v>
      </c>
    </row>
    <row r="16" spans="1:4" x14ac:dyDescent="0.45">
      <c r="A16" t="s">
        <v>149</v>
      </c>
      <c r="B16" s="11">
        <f>spliced_inflation_expectations!D16</f>
        <v>4.5798037974633896</v>
      </c>
      <c r="C16" s="2">
        <v>123456789</v>
      </c>
      <c r="D16" s="2">
        <v>123456789</v>
      </c>
    </row>
    <row r="17" spans="1:4" x14ac:dyDescent="0.45">
      <c r="A17" t="s">
        <v>150</v>
      </c>
      <c r="B17" s="11">
        <f>spliced_inflation_expectations!D17</f>
        <v>4.9578369668332236</v>
      </c>
      <c r="C17" s="2">
        <v>123456789</v>
      </c>
      <c r="D17" s="2">
        <v>123456789</v>
      </c>
    </row>
    <row r="18" spans="1:4" x14ac:dyDescent="0.45">
      <c r="A18" t="s">
        <v>151</v>
      </c>
      <c r="B18" s="11">
        <f>spliced_inflation_expectations!D18</f>
        <v>5.8673592032968651</v>
      </c>
      <c r="C18" s="2">
        <v>123456789</v>
      </c>
      <c r="D18" s="2">
        <v>123456789</v>
      </c>
    </row>
    <row r="19" spans="1:4" x14ac:dyDescent="0.45">
      <c r="A19" t="s">
        <v>152</v>
      </c>
      <c r="B19" s="11">
        <f>spliced_inflation_expectations!D19</f>
        <v>6.9231932960486384</v>
      </c>
      <c r="C19" s="2">
        <v>123456789</v>
      </c>
      <c r="D19" s="2">
        <v>123456789</v>
      </c>
    </row>
    <row r="20" spans="1:4" x14ac:dyDescent="0.45">
      <c r="A20" t="s">
        <v>153</v>
      </c>
      <c r="B20" s="11">
        <f>spliced_inflation_expectations!D20</f>
        <v>7.3206052908099837</v>
      </c>
      <c r="C20" s="2">
        <v>123456789</v>
      </c>
      <c r="D20" s="2">
        <v>123456789</v>
      </c>
    </row>
    <row r="21" spans="1:4" x14ac:dyDescent="0.45">
      <c r="A21" t="s">
        <v>154</v>
      </c>
      <c r="B21" s="11">
        <f>spliced_inflation_expectations!D21</f>
        <v>7.7269295555015347</v>
      </c>
      <c r="C21" s="2">
        <v>123456789</v>
      </c>
      <c r="D21" s="2">
        <v>123456789</v>
      </c>
    </row>
    <row r="22" spans="1:4" x14ac:dyDescent="0.45">
      <c r="A22" t="s">
        <v>155</v>
      </c>
      <c r="B22" s="11">
        <f>spliced_inflation_expectations!D22</f>
        <v>8.4719421453807193</v>
      </c>
      <c r="C22" s="2">
        <v>123456789</v>
      </c>
      <c r="D22" s="2">
        <v>123456789</v>
      </c>
    </row>
    <row r="23" spans="1:4" x14ac:dyDescent="0.45">
      <c r="A23" t="s">
        <v>156</v>
      </c>
      <c r="B23" s="11">
        <f>spliced_inflation_expectations!D23</f>
        <v>9.8645509531621425</v>
      </c>
      <c r="C23" s="2">
        <v>123456789</v>
      </c>
      <c r="D23" s="2">
        <v>123456789</v>
      </c>
    </row>
    <row r="24" spans="1:4" x14ac:dyDescent="0.45">
      <c r="A24" t="s">
        <v>157</v>
      </c>
      <c r="B24" s="11">
        <f>spliced_inflation_expectations!D24</f>
        <v>10.662500309355838</v>
      </c>
      <c r="C24" s="2">
        <v>123456789</v>
      </c>
      <c r="D24" s="2">
        <v>123456789</v>
      </c>
    </row>
    <row r="25" spans="1:4" x14ac:dyDescent="0.45">
      <c r="A25" t="s">
        <v>158</v>
      </c>
      <c r="B25" s="11">
        <f>spliced_inflation_expectations!D25</f>
        <v>10.223305068489275</v>
      </c>
      <c r="C25" s="2">
        <v>123456789</v>
      </c>
      <c r="D25" s="2">
        <v>123456789</v>
      </c>
    </row>
    <row r="26" spans="1:4" x14ac:dyDescent="0.45">
      <c r="A26" t="s">
        <v>159</v>
      </c>
      <c r="B26" s="11">
        <f>spliced_inflation_expectations!D26</f>
        <v>9.2225658288688859</v>
      </c>
      <c r="C26" s="2">
        <v>123456789</v>
      </c>
      <c r="D26" s="2">
        <v>123456789</v>
      </c>
    </row>
    <row r="27" spans="1:4" x14ac:dyDescent="0.45">
      <c r="A27" t="s">
        <v>160</v>
      </c>
      <c r="B27" s="11">
        <f>spliced_inflation_expectations!D27</f>
        <v>6.9536034718471189</v>
      </c>
      <c r="C27" s="2">
        <v>123456789</v>
      </c>
      <c r="D27" s="2">
        <v>123456789</v>
      </c>
    </row>
    <row r="28" spans="1:4" x14ac:dyDescent="0.45">
      <c r="A28" t="s">
        <v>161</v>
      </c>
      <c r="B28" s="11">
        <f>spliced_inflation_expectations!D28</f>
        <v>6.1408331510979428</v>
      </c>
      <c r="C28" s="2">
        <v>123456789</v>
      </c>
      <c r="D28" s="2">
        <v>123456789</v>
      </c>
    </row>
    <row r="29" spans="1:4" x14ac:dyDescent="0.45">
      <c r="A29" t="s">
        <v>162</v>
      </c>
      <c r="B29" s="11">
        <f>spliced_inflation_expectations!D29</f>
        <v>6.5886114606221726</v>
      </c>
      <c r="C29" s="2">
        <v>123456789</v>
      </c>
      <c r="D29" s="2">
        <v>123456789</v>
      </c>
    </row>
    <row r="30" spans="1:4" x14ac:dyDescent="0.45">
      <c r="A30" t="s">
        <v>163</v>
      </c>
      <c r="B30" s="11">
        <f>spliced_inflation_expectations!D30</f>
        <v>7.1408256648905875</v>
      </c>
      <c r="C30" s="2">
        <v>123456789</v>
      </c>
      <c r="D30" s="2">
        <v>123456789</v>
      </c>
    </row>
    <row r="31" spans="1:4" x14ac:dyDescent="0.45">
      <c r="A31" t="s">
        <v>164</v>
      </c>
      <c r="B31" s="11">
        <f>spliced_inflation_expectations!D31</f>
        <v>7.4567187442659097</v>
      </c>
      <c r="C31" s="2">
        <v>123456789</v>
      </c>
      <c r="D31" s="2">
        <v>123456789</v>
      </c>
    </row>
    <row r="32" spans="1:4" x14ac:dyDescent="0.45">
      <c r="A32" t="s">
        <v>165</v>
      </c>
      <c r="B32" s="11">
        <f>spliced_inflation_expectations!D32</f>
        <v>7.1648799784956898</v>
      </c>
      <c r="C32" s="2">
        <v>123456789</v>
      </c>
      <c r="D32" s="2">
        <v>123456789</v>
      </c>
    </row>
    <row r="33" spans="1:4" x14ac:dyDescent="0.45">
      <c r="A33" t="s">
        <v>166</v>
      </c>
      <c r="B33" s="11">
        <f>spliced_inflation_expectations!D33</f>
        <v>5.9378024636828064</v>
      </c>
      <c r="C33" s="2">
        <v>123456789</v>
      </c>
      <c r="D33" s="2">
        <v>123456789</v>
      </c>
    </row>
    <row r="34" spans="1:4" x14ac:dyDescent="0.45">
      <c r="A34" t="s">
        <v>167</v>
      </c>
      <c r="B34" s="11">
        <f>spliced_inflation_expectations!D34</f>
        <v>4.6865009531417279</v>
      </c>
      <c r="C34" s="2">
        <v>123456789</v>
      </c>
      <c r="D34" s="2">
        <v>123456789</v>
      </c>
    </row>
    <row r="35" spans="1:4" x14ac:dyDescent="0.45">
      <c r="A35" t="s">
        <v>168</v>
      </c>
      <c r="B35" s="11">
        <f>spliced_inflation_expectations!D35</f>
        <v>4.0504159648659668</v>
      </c>
      <c r="C35" s="2">
        <v>123456789</v>
      </c>
      <c r="D35" s="2">
        <v>123456789</v>
      </c>
    </row>
    <row r="36" spans="1:4" x14ac:dyDescent="0.45">
      <c r="A36" t="s">
        <v>169</v>
      </c>
      <c r="B36" s="11">
        <f>spliced_inflation_expectations!D36</f>
        <v>4.109769541340583</v>
      </c>
      <c r="C36" s="2">
        <v>123456789</v>
      </c>
      <c r="D36" s="2">
        <v>123456789</v>
      </c>
    </row>
    <row r="37" spans="1:4" x14ac:dyDescent="0.45">
      <c r="A37" t="s">
        <v>170</v>
      </c>
      <c r="B37" s="11">
        <f>spliced_inflation_expectations!D37</f>
        <v>4.1947127838874465</v>
      </c>
      <c r="C37" s="2">
        <v>123456789</v>
      </c>
      <c r="D37" s="2">
        <v>123456789</v>
      </c>
    </row>
    <row r="38" spans="1:4" x14ac:dyDescent="0.45">
      <c r="A38" t="s">
        <v>171</v>
      </c>
      <c r="B38" s="11">
        <f>spliced_inflation_expectations!D38</f>
        <v>4.7164684872646516</v>
      </c>
      <c r="C38" s="2">
        <v>123456789</v>
      </c>
      <c r="D38" s="2">
        <v>123456789</v>
      </c>
    </row>
    <row r="39" spans="1:4" x14ac:dyDescent="0.45">
      <c r="A39" t="s">
        <v>172</v>
      </c>
      <c r="B39" s="11">
        <f>spliced_inflation_expectations!D39</f>
        <v>5.068377833599782</v>
      </c>
      <c r="C39" s="2">
        <v>123456789</v>
      </c>
      <c r="D39" s="2">
        <v>123456789</v>
      </c>
    </row>
    <row r="40" spans="1:4" x14ac:dyDescent="0.45">
      <c r="A40" t="s">
        <v>173</v>
      </c>
      <c r="B40" s="11">
        <f>spliced_inflation_expectations!D40</f>
        <v>6.9556641265227519</v>
      </c>
      <c r="C40" s="2">
        <v>123456789</v>
      </c>
      <c r="D40" s="2">
        <v>123456789</v>
      </c>
    </row>
    <row r="41" spans="1:4" x14ac:dyDescent="0.45">
      <c r="A41" t="s">
        <v>174</v>
      </c>
      <c r="B41" s="11">
        <f>spliced_inflation_expectations!D41</f>
        <v>7.4041629392535873</v>
      </c>
      <c r="C41" s="2">
        <v>123456789</v>
      </c>
      <c r="D41" s="2">
        <v>123456789</v>
      </c>
    </row>
    <row r="42" spans="1:4" x14ac:dyDescent="0.45">
      <c r="A42" t="s">
        <v>175</v>
      </c>
      <c r="B42" s="11">
        <f>spliced_inflation_expectations!D42</f>
        <v>8.0431476607425569</v>
      </c>
      <c r="C42" s="2">
        <v>123456789</v>
      </c>
      <c r="D42" s="2">
        <v>123456789</v>
      </c>
    </row>
    <row r="43" spans="1:4" x14ac:dyDescent="0.45">
      <c r="A43" t="s">
        <v>176</v>
      </c>
      <c r="B43" s="11">
        <f>spliced_inflation_expectations!D43</f>
        <v>8.9058996133557766</v>
      </c>
      <c r="C43" s="2">
        <v>123456789</v>
      </c>
      <c r="D43" s="2">
        <v>123456789</v>
      </c>
    </row>
    <row r="44" spans="1:4" x14ac:dyDescent="0.45">
      <c r="A44" t="s">
        <v>177</v>
      </c>
      <c r="B44" s="11">
        <f>spliced_inflation_expectations!D44</f>
        <v>7.0890519252817512</v>
      </c>
      <c r="C44" s="2">
        <v>123456789</v>
      </c>
      <c r="D44" s="2">
        <v>123456789</v>
      </c>
    </row>
    <row r="45" spans="1:4" x14ac:dyDescent="0.45">
      <c r="A45" t="s">
        <v>178</v>
      </c>
      <c r="B45" s="11">
        <f>spliced_inflation_expectations!D45</f>
        <v>6.7112930122248926</v>
      </c>
      <c r="C45" s="2">
        <v>123456789</v>
      </c>
      <c r="D45" s="2">
        <v>123456789</v>
      </c>
    </row>
    <row r="46" spans="1:4" x14ac:dyDescent="0.45">
      <c r="A46" t="s">
        <v>179</v>
      </c>
      <c r="B46" s="11">
        <f>spliced_inflation_expectations!D46</f>
        <v>5.8089971449090916</v>
      </c>
      <c r="C46" s="2">
        <v>123456789</v>
      </c>
      <c r="D46" s="2">
        <v>123456789</v>
      </c>
    </row>
    <row r="47" spans="1:4" x14ac:dyDescent="0.45">
      <c r="A47" t="s">
        <v>180</v>
      </c>
      <c r="B47" s="11">
        <f>spliced_inflation_expectations!D47</f>
        <v>5.4581866725765975</v>
      </c>
      <c r="C47" s="2">
        <v>123456789</v>
      </c>
      <c r="D47" s="2">
        <v>123456789</v>
      </c>
    </row>
    <row r="48" spans="1:4" x14ac:dyDescent="0.45">
      <c r="A48" t="s">
        <v>181</v>
      </c>
      <c r="B48" s="11">
        <f>spliced_inflation_expectations!D48</f>
        <v>5.3029146405452501</v>
      </c>
      <c r="C48" s="2">
        <v>123456789</v>
      </c>
      <c r="D48" s="2">
        <v>123456789</v>
      </c>
    </row>
    <row r="49" spans="1:4" x14ac:dyDescent="0.45">
      <c r="A49" t="s">
        <v>182</v>
      </c>
      <c r="B49" s="11">
        <f>spliced_inflation_expectations!D49</f>
        <v>5.5292415743172292</v>
      </c>
      <c r="C49" s="2">
        <v>123456789</v>
      </c>
      <c r="D49" s="2">
        <v>123456789</v>
      </c>
    </row>
    <row r="50" spans="1:4" x14ac:dyDescent="0.45">
      <c r="A50" t="s">
        <v>183</v>
      </c>
      <c r="B50" s="11">
        <f>spliced_inflation_expectations!D50</f>
        <v>5.2577985821854245</v>
      </c>
      <c r="C50" s="2">
        <v>123456789</v>
      </c>
      <c r="D50" s="2">
        <v>123456789</v>
      </c>
    </row>
    <row r="51" spans="1:4" x14ac:dyDescent="0.45">
      <c r="A51" t="s">
        <v>184</v>
      </c>
      <c r="B51" s="11">
        <f>spliced_inflation_expectations!D51</f>
        <v>4.6361563413602642</v>
      </c>
      <c r="C51" s="2">
        <v>123456789</v>
      </c>
      <c r="D51" s="2">
        <v>123456789</v>
      </c>
    </row>
    <row r="52" spans="1:4" x14ac:dyDescent="0.45">
      <c r="A52" t="s">
        <v>185</v>
      </c>
      <c r="B52" s="11">
        <f>spliced_inflation_expectations!D52</f>
        <v>4.1550865544283759</v>
      </c>
      <c r="C52" s="2">
        <v>123456789</v>
      </c>
      <c r="D52" s="2">
        <v>123456789</v>
      </c>
    </row>
    <row r="53" spans="1:4" x14ac:dyDescent="0.45">
      <c r="A53" t="s">
        <v>186</v>
      </c>
      <c r="B53" s="11">
        <f>spliced_inflation_expectations!D53</f>
        <v>3.5208730438889395</v>
      </c>
      <c r="C53" s="2">
        <v>123456789</v>
      </c>
      <c r="D53" s="2">
        <v>123456789</v>
      </c>
    </row>
    <row r="54" spans="1:4" x14ac:dyDescent="0.45">
      <c r="A54" t="s">
        <v>187</v>
      </c>
      <c r="B54" s="11">
        <f>spliced_inflation_expectations!D54</f>
        <v>3.0997276711985968</v>
      </c>
      <c r="C54" s="2">
        <v>123456789</v>
      </c>
      <c r="D54" s="2">
        <v>123456789</v>
      </c>
    </row>
    <row r="55" spans="1:4" x14ac:dyDescent="0.45">
      <c r="A55" t="s">
        <v>188</v>
      </c>
      <c r="B55" s="11">
        <f>spliced_inflation_expectations!D55</f>
        <v>2.6865412100945223</v>
      </c>
      <c r="C55" s="2">
        <v>123456789</v>
      </c>
      <c r="D55" s="2">
        <v>123456789</v>
      </c>
    </row>
    <row r="56" spans="1:4" x14ac:dyDescent="0.45">
      <c r="A56" t="s">
        <v>189</v>
      </c>
      <c r="B56" s="11">
        <f>spliced_inflation_expectations!D56</f>
        <v>2.9876342070414474</v>
      </c>
      <c r="C56" s="2">
        <v>123456789</v>
      </c>
      <c r="D56" s="2">
        <v>123456789</v>
      </c>
    </row>
    <row r="57" spans="1:4" x14ac:dyDescent="0.45">
      <c r="A57" t="s">
        <v>190</v>
      </c>
      <c r="B57" s="11">
        <f>spliced_inflation_expectations!D57</f>
        <v>3.1300307825703895</v>
      </c>
      <c r="C57" s="2">
        <v>123456789</v>
      </c>
      <c r="D57" s="2">
        <v>123456789</v>
      </c>
    </row>
    <row r="58" spans="1:4" x14ac:dyDescent="0.45">
      <c r="A58" t="s">
        <v>191</v>
      </c>
      <c r="B58" s="11">
        <f>spliced_inflation_expectations!D58</f>
        <v>3.1674137144006567</v>
      </c>
      <c r="C58" s="2">
        <v>123456789</v>
      </c>
      <c r="D58" s="2">
        <v>123456789</v>
      </c>
    </row>
    <row r="59" spans="1:4" x14ac:dyDescent="0.45">
      <c r="A59" t="s">
        <v>192</v>
      </c>
      <c r="B59" s="11">
        <f>spliced_inflation_expectations!D59</f>
        <v>3.162810851206153</v>
      </c>
      <c r="C59" s="2">
        <v>123456789</v>
      </c>
      <c r="D59" s="2">
        <v>123456789</v>
      </c>
    </row>
    <row r="60" spans="1:4" x14ac:dyDescent="0.45">
      <c r="A60" t="s">
        <v>193</v>
      </c>
      <c r="B60" s="11">
        <f>spliced_inflation_expectations!D60</f>
        <v>3.0121496868355941</v>
      </c>
      <c r="C60" s="2">
        <v>123456789</v>
      </c>
      <c r="D60" s="2">
        <v>123456789</v>
      </c>
    </row>
    <row r="61" spans="1:4" x14ac:dyDescent="0.45">
      <c r="A61" t="s">
        <v>194</v>
      </c>
      <c r="B61" s="11">
        <f>spliced_inflation_expectations!D61</f>
        <v>3.0552595819719124</v>
      </c>
      <c r="C61" s="2">
        <v>123456789</v>
      </c>
      <c r="D61" s="2">
        <v>123456789</v>
      </c>
    </row>
    <row r="62" spans="1:4" x14ac:dyDescent="0.45">
      <c r="A62" t="s">
        <v>195</v>
      </c>
      <c r="B62" s="11">
        <f>spliced_inflation_expectations!D62</f>
        <v>3.2883623726231122</v>
      </c>
      <c r="C62" s="2">
        <v>123456789</v>
      </c>
      <c r="D62" s="2">
        <v>123456789</v>
      </c>
    </row>
    <row r="63" spans="1:4" x14ac:dyDescent="0.45">
      <c r="A63" t="s">
        <v>196</v>
      </c>
      <c r="B63" s="11">
        <f>spliced_inflation_expectations!D63</f>
        <v>3.8015432037052133</v>
      </c>
      <c r="C63" s="2">
        <v>123456789</v>
      </c>
      <c r="D63" s="2">
        <v>123456789</v>
      </c>
    </row>
    <row r="64" spans="1:4" x14ac:dyDescent="0.45">
      <c r="A64" t="s">
        <v>197</v>
      </c>
      <c r="B64" s="11">
        <f>spliced_inflation_expectations!D64</f>
        <v>3.5681142012122127</v>
      </c>
      <c r="C64" s="2">
        <v>123456789</v>
      </c>
      <c r="D64" s="2">
        <v>123456789</v>
      </c>
    </row>
    <row r="65" spans="1:4" x14ac:dyDescent="0.45">
      <c r="A65" t="s">
        <v>198</v>
      </c>
      <c r="B65" s="11">
        <f>spliced_inflation_expectations!D65</f>
        <v>3.2910043599239933</v>
      </c>
      <c r="C65" s="2">
        <v>123456789</v>
      </c>
      <c r="D65" s="2">
        <v>123456789</v>
      </c>
    </row>
    <row r="66" spans="1:4" x14ac:dyDescent="0.45">
      <c r="A66" t="s">
        <v>199</v>
      </c>
      <c r="B66" s="11">
        <f>spliced_inflation_expectations!D66</f>
        <v>3.087532354755381</v>
      </c>
      <c r="C66" s="2">
        <v>123456789</v>
      </c>
      <c r="D66" s="2">
        <v>123456789</v>
      </c>
    </row>
    <row r="67" spans="1:4" x14ac:dyDescent="0.45">
      <c r="A67" t="s">
        <v>200</v>
      </c>
      <c r="B67" s="11">
        <f>spliced_inflation_expectations!D67</f>
        <v>2.3308656540424191</v>
      </c>
      <c r="C67" s="2">
        <v>123456789</v>
      </c>
      <c r="D67" s="2">
        <v>123456789</v>
      </c>
    </row>
    <row r="68" spans="1:4" x14ac:dyDescent="0.45">
      <c r="A68" t="s">
        <v>201</v>
      </c>
      <c r="B68" s="11">
        <f>spliced_inflation_expectations!D68</f>
        <v>2.2795455572364713</v>
      </c>
      <c r="C68" s="2">
        <v>123456789</v>
      </c>
      <c r="D68" s="2">
        <v>123456789</v>
      </c>
    </row>
    <row r="69" spans="1:4" x14ac:dyDescent="0.45">
      <c r="A69" t="s">
        <v>202</v>
      </c>
      <c r="B69" s="11">
        <f>spliced_inflation_expectations!D69</f>
        <v>2.5673374268969678</v>
      </c>
      <c r="C69" s="2">
        <v>123456789</v>
      </c>
      <c r="D69" s="2">
        <v>123456789</v>
      </c>
    </row>
    <row r="70" spans="1:4" x14ac:dyDescent="0.45">
      <c r="A70" t="s">
        <v>203</v>
      </c>
      <c r="B70" s="11">
        <f>spliced_inflation_expectations!D70</f>
        <v>2.7525024442236372</v>
      </c>
      <c r="C70" s="2">
        <v>123456789</v>
      </c>
      <c r="D70" s="2">
        <v>123456789</v>
      </c>
    </row>
    <row r="71" spans="1:4" x14ac:dyDescent="0.45">
      <c r="A71" t="s">
        <v>204</v>
      </c>
      <c r="B71" s="11">
        <f>spliced_inflation_expectations!D71</f>
        <v>2.82997886763469</v>
      </c>
      <c r="C71" s="2">
        <v>123456789</v>
      </c>
      <c r="D71" s="2">
        <v>123456789</v>
      </c>
    </row>
    <row r="72" spans="1:4" x14ac:dyDescent="0.45">
      <c r="A72" t="s">
        <v>205</v>
      </c>
      <c r="B72" s="11">
        <f>spliced_inflation_expectations!D72</f>
        <v>2.876177164408638</v>
      </c>
      <c r="C72" s="2">
        <v>123456789</v>
      </c>
      <c r="D72" s="2">
        <v>123456789</v>
      </c>
    </row>
    <row r="73" spans="1:4" x14ac:dyDescent="0.45">
      <c r="A73" t="s">
        <v>206</v>
      </c>
      <c r="B73" s="11">
        <f>spliced_inflation_expectations!D73</f>
        <v>2.7979663229837195</v>
      </c>
      <c r="C73" s="2">
        <v>123456789</v>
      </c>
      <c r="D73" s="2">
        <v>123456789</v>
      </c>
    </row>
    <row r="74" spans="1:4" x14ac:dyDescent="0.45">
      <c r="A74" t="s">
        <v>207</v>
      </c>
      <c r="B74" s="11">
        <f>spliced_inflation_expectations!D74</f>
        <v>2.4994305231369642</v>
      </c>
      <c r="C74" s="2">
        <v>123456789</v>
      </c>
      <c r="D74" s="2">
        <v>123456789</v>
      </c>
    </row>
    <row r="75" spans="1:4" x14ac:dyDescent="0.45">
      <c r="A75" t="s">
        <v>208</v>
      </c>
      <c r="B75" s="11">
        <f>spliced_inflation_expectations!D75</f>
        <v>2.6870765940891816</v>
      </c>
      <c r="C75" s="2">
        <v>123456789</v>
      </c>
      <c r="D75" s="2">
        <v>123456789</v>
      </c>
    </row>
    <row r="76" spans="1:4" x14ac:dyDescent="0.45">
      <c r="A76" t="s">
        <v>209</v>
      </c>
      <c r="B76" s="11">
        <f>spliced_inflation_expectations!D76</f>
        <v>2.9564897426360064</v>
      </c>
      <c r="C76" s="2">
        <v>123456789</v>
      </c>
      <c r="D76" s="2">
        <v>123456789</v>
      </c>
    </row>
    <row r="77" spans="1:4" x14ac:dyDescent="0.45">
      <c r="A77" t="s">
        <v>210</v>
      </c>
      <c r="B77" s="11">
        <f>spliced_inflation_expectations!D77</f>
        <v>3.1142764051860317</v>
      </c>
      <c r="C77" s="2">
        <v>123456789</v>
      </c>
      <c r="D77" s="2">
        <v>123456789</v>
      </c>
    </row>
    <row r="78" spans="1:4" x14ac:dyDescent="0.45">
      <c r="A78" t="s">
        <v>211</v>
      </c>
      <c r="B78" s="11">
        <f>spliced_inflation_expectations!D78</f>
        <v>3.3715673039981029</v>
      </c>
      <c r="C78" s="2">
        <v>123456789</v>
      </c>
      <c r="D78" s="2">
        <v>123456789</v>
      </c>
    </row>
    <row r="79" spans="1:4" x14ac:dyDescent="0.45">
      <c r="A79" t="s">
        <v>212</v>
      </c>
      <c r="B79" s="11">
        <f>spliced_inflation_expectations!D79</f>
        <v>3.404030066429347</v>
      </c>
      <c r="C79" s="2">
        <v>123456789</v>
      </c>
      <c r="D79" s="2">
        <v>123456789</v>
      </c>
    </row>
    <row r="80" spans="1:4" x14ac:dyDescent="0.45">
      <c r="A80" t="s">
        <v>213</v>
      </c>
      <c r="B80" s="11">
        <f>spliced_inflation_expectations!D80</f>
        <v>3.3362089196995508</v>
      </c>
      <c r="C80" s="2">
        <v>123456789</v>
      </c>
      <c r="D80" s="2">
        <v>123456789</v>
      </c>
    </row>
    <row r="81" spans="1:4" x14ac:dyDescent="0.45">
      <c r="A81" t="s">
        <v>214</v>
      </c>
      <c r="B81" s="11">
        <f>spliced_inflation_expectations!D81</f>
        <v>4.4913049999999997</v>
      </c>
      <c r="C81" s="2">
        <v>123456789</v>
      </c>
      <c r="D81" s="2">
        <v>123456789</v>
      </c>
    </row>
    <row r="82" spans="1:4" x14ac:dyDescent="0.45">
      <c r="A82" t="s">
        <v>215</v>
      </c>
      <c r="B82" s="11">
        <f>spliced_inflation_expectations!D82</f>
        <v>4.1166799999999997</v>
      </c>
      <c r="C82" s="2">
        <v>123456789</v>
      </c>
      <c r="D82" s="2">
        <v>123456789</v>
      </c>
    </row>
    <row r="83" spans="1:4" x14ac:dyDescent="0.45">
      <c r="A83" t="s">
        <v>216</v>
      </c>
      <c r="B83" s="11">
        <f>spliced_inflation_expectations!D83</f>
        <v>4.1436149999999996</v>
      </c>
      <c r="C83" s="2">
        <v>123456789</v>
      </c>
      <c r="D83" s="2">
        <v>123456789</v>
      </c>
    </row>
    <row r="84" spans="1:4" x14ac:dyDescent="0.45">
      <c r="A84" t="s">
        <v>217</v>
      </c>
      <c r="B84" s="11">
        <f>spliced_inflation_expectations!D84</f>
        <v>4.4085219999999996</v>
      </c>
      <c r="C84" s="2">
        <v>123456789</v>
      </c>
      <c r="D84" s="2">
        <v>123456789</v>
      </c>
    </row>
    <row r="85" spans="1:4" x14ac:dyDescent="0.45">
      <c r="A85" t="s">
        <v>218</v>
      </c>
      <c r="B85" s="11">
        <f>spliced_inflation_expectations!D85</f>
        <v>4.9118940000000002</v>
      </c>
      <c r="C85" s="2">
        <v>123456789</v>
      </c>
      <c r="D85" s="2">
        <v>123456789</v>
      </c>
    </row>
    <row r="86" spans="1:4" x14ac:dyDescent="0.45">
      <c r="A86" t="s">
        <v>219</v>
      </c>
      <c r="B86" s="11">
        <f>spliced_inflation_expectations!D86</f>
        <v>3.6081180000000002</v>
      </c>
      <c r="C86" s="2">
        <v>123456789</v>
      </c>
      <c r="D86" s="2">
        <v>123456789</v>
      </c>
    </row>
    <row r="87" spans="1:4" x14ac:dyDescent="0.45">
      <c r="A87" t="s">
        <v>220</v>
      </c>
      <c r="B87" s="11">
        <f>spliced_inflation_expectations!D87</f>
        <v>3.3600150000000002</v>
      </c>
      <c r="C87" s="2">
        <v>123456789</v>
      </c>
      <c r="D87" s="2">
        <v>123456789</v>
      </c>
    </row>
    <row r="88" spans="1:4" x14ac:dyDescent="0.45">
      <c r="A88" t="s">
        <v>221</v>
      </c>
      <c r="B88" s="11">
        <f>spliced_inflation_expectations!D88</f>
        <v>3.2114989999999999</v>
      </c>
      <c r="C88" s="2">
        <v>123456789</v>
      </c>
      <c r="D88" s="2">
        <v>123456789</v>
      </c>
    </row>
    <row r="89" spans="1:4" x14ac:dyDescent="0.45">
      <c r="A89" t="s">
        <v>222</v>
      </c>
      <c r="B89" s="11">
        <f>spliced_inflation_expectations!D89</f>
        <v>2.9987339999999998</v>
      </c>
      <c r="C89" s="2">
        <v>123456789</v>
      </c>
      <c r="D89" s="2">
        <v>123456789</v>
      </c>
    </row>
    <row r="90" spans="1:4" x14ac:dyDescent="0.45">
      <c r="A90" t="s">
        <v>223</v>
      </c>
      <c r="B90" s="11">
        <f>spliced_inflation_expectations!D90</f>
        <v>2.8447819999999999</v>
      </c>
      <c r="C90" s="2">
        <v>123456789</v>
      </c>
      <c r="D90" s="2">
        <v>123456789</v>
      </c>
    </row>
    <row r="91" spans="1:4" x14ac:dyDescent="0.45">
      <c r="A91" t="s">
        <v>224</v>
      </c>
      <c r="B91" s="11">
        <f>spliced_inflation_expectations!D91</f>
        <v>2.7362980000000001</v>
      </c>
      <c r="C91" s="2">
        <v>123456789</v>
      </c>
      <c r="D91" s="2">
        <v>123456789</v>
      </c>
    </row>
    <row r="92" spans="1:4" x14ac:dyDescent="0.45">
      <c r="A92" t="s">
        <v>225</v>
      </c>
      <c r="B92" s="11">
        <f>spliced_inflation_expectations!D92</f>
        <v>2.5262509999999998</v>
      </c>
      <c r="C92" s="2">
        <v>123456789</v>
      </c>
      <c r="D92" s="2">
        <v>123456789</v>
      </c>
    </row>
    <row r="93" spans="1:4" x14ac:dyDescent="0.45">
      <c r="A93" t="s">
        <v>226</v>
      </c>
      <c r="B93" s="11">
        <f>spliced_inflation_expectations!D93</f>
        <v>2.2811129999999999</v>
      </c>
      <c r="C93" s="2">
        <v>123456789</v>
      </c>
      <c r="D93" s="2">
        <v>123456789</v>
      </c>
    </row>
    <row r="94" spans="1:4" x14ac:dyDescent="0.45">
      <c r="A94" t="s">
        <v>227</v>
      </c>
      <c r="B94" s="11">
        <f>spliced_inflation_expectations!D94</f>
        <v>3.4035069999999998</v>
      </c>
      <c r="C94" s="2">
        <v>123456789</v>
      </c>
      <c r="D94" s="2">
        <v>123456789</v>
      </c>
    </row>
    <row r="95" spans="1:4" x14ac:dyDescent="0.45">
      <c r="A95" t="s">
        <v>228</v>
      </c>
      <c r="B95" s="11">
        <f>spliced_inflation_expectations!D95</f>
        <v>3.1756679999999999</v>
      </c>
      <c r="C95" s="2">
        <v>123456789</v>
      </c>
      <c r="D95" s="2">
        <v>123456789</v>
      </c>
    </row>
    <row r="96" spans="1:4" x14ac:dyDescent="0.45">
      <c r="A96" t="s">
        <v>229</v>
      </c>
      <c r="B96" s="11">
        <f>spliced_inflation_expectations!D96</f>
        <v>2.842063</v>
      </c>
      <c r="C96" s="2">
        <v>123456789</v>
      </c>
      <c r="D96" s="2">
        <v>123456789</v>
      </c>
    </row>
    <row r="97" spans="1:4" x14ac:dyDescent="0.45">
      <c r="A97" t="s">
        <v>230</v>
      </c>
      <c r="B97" s="11">
        <f>spliced_inflation_expectations!D97</f>
        <v>2.5897589999999999</v>
      </c>
      <c r="C97" s="2">
        <v>123456789</v>
      </c>
      <c r="D97" s="2">
        <v>123456789</v>
      </c>
    </row>
    <row r="98" spans="1:4" x14ac:dyDescent="0.45">
      <c r="A98" t="s">
        <v>231</v>
      </c>
      <c r="B98" s="11">
        <f>spliced_inflation_expectations!D98</f>
        <v>2.7313559999999999</v>
      </c>
      <c r="C98" s="2">
        <v>123456789</v>
      </c>
      <c r="D98" s="2">
        <v>123456789</v>
      </c>
    </row>
    <row r="99" spans="1:4" x14ac:dyDescent="0.45">
      <c r="A99" t="s">
        <v>232</v>
      </c>
      <c r="B99" s="11">
        <f>spliced_inflation_expectations!D99</f>
        <v>2.643383</v>
      </c>
      <c r="C99" s="2">
        <v>123456789</v>
      </c>
      <c r="D99" s="2">
        <v>123456789</v>
      </c>
    </row>
    <row r="100" spans="1:4" x14ac:dyDescent="0.45">
      <c r="A100" t="s">
        <v>233</v>
      </c>
      <c r="B100" s="11">
        <f>spliced_inflation_expectations!D100</f>
        <v>2.6913239999999998</v>
      </c>
      <c r="C100" s="2">
        <v>123456789</v>
      </c>
      <c r="D100" s="2">
        <v>123456789</v>
      </c>
    </row>
    <row r="101" spans="1:4" x14ac:dyDescent="0.45">
      <c r="A101" t="s">
        <v>234</v>
      </c>
      <c r="B101" s="11">
        <f>spliced_inflation_expectations!D101</f>
        <v>2.5497269999999999</v>
      </c>
      <c r="C101" s="2">
        <v>123456789</v>
      </c>
      <c r="D101" s="2">
        <v>123456789</v>
      </c>
    </row>
    <row r="102" spans="1:4" x14ac:dyDescent="0.45">
      <c r="A102" t="s">
        <v>235</v>
      </c>
      <c r="B102" s="11">
        <f>spliced_inflation_expectations!D102</f>
        <v>2.5746850000000001</v>
      </c>
      <c r="C102" s="2">
        <v>123456789</v>
      </c>
      <c r="D102" s="2">
        <v>123456789</v>
      </c>
    </row>
    <row r="103" spans="1:4" x14ac:dyDescent="0.45">
      <c r="A103" t="s">
        <v>236</v>
      </c>
      <c r="B103" s="11">
        <f>spliced_inflation_expectations!D103</f>
        <v>2.5843229999999999</v>
      </c>
      <c r="C103" s="2">
        <v>123456789</v>
      </c>
      <c r="D103" s="2">
        <v>123456789</v>
      </c>
    </row>
    <row r="104" spans="1:4" x14ac:dyDescent="0.45">
      <c r="A104" t="s">
        <v>237</v>
      </c>
      <c r="B104" s="11">
        <f>spliced_inflation_expectations!D104</f>
        <v>2.5578820000000002</v>
      </c>
      <c r="C104" s="2">
        <v>123456789</v>
      </c>
      <c r="D104" s="2">
        <v>123456789</v>
      </c>
    </row>
    <row r="105" spans="1:4" x14ac:dyDescent="0.45">
      <c r="A105" t="s">
        <v>238</v>
      </c>
      <c r="B105" s="11">
        <f>spliced_inflation_expectations!D105</f>
        <v>2.0794679999999999</v>
      </c>
      <c r="C105" s="2">
        <v>123456789</v>
      </c>
      <c r="D105" s="2">
        <v>123456789</v>
      </c>
    </row>
    <row r="106" spans="1:4" x14ac:dyDescent="0.45">
      <c r="A106" t="s">
        <v>239</v>
      </c>
      <c r="B106" s="11">
        <f>spliced_inflation_expectations!D106</f>
        <v>2.2984110000000002</v>
      </c>
      <c r="C106" s="2">
        <v>123456789</v>
      </c>
      <c r="D106" s="2">
        <v>123456789</v>
      </c>
    </row>
    <row r="107" spans="1:4" x14ac:dyDescent="0.45">
      <c r="A107" t="s">
        <v>240</v>
      </c>
      <c r="B107" s="11">
        <f>spliced_inflation_expectations!D107</f>
        <v>2.2732060000000001</v>
      </c>
      <c r="C107" s="2">
        <v>123456789</v>
      </c>
      <c r="D107" s="2">
        <v>123456789</v>
      </c>
    </row>
    <row r="108" spans="1:4" x14ac:dyDescent="0.45">
      <c r="A108" t="s">
        <v>241</v>
      </c>
      <c r="B108" s="11">
        <f>spliced_inflation_expectations!D108</f>
        <v>2.194623</v>
      </c>
      <c r="C108" s="2">
        <v>123456789</v>
      </c>
      <c r="D108" s="2">
        <v>123456789</v>
      </c>
    </row>
    <row r="109" spans="1:4" x14ac:dyDescent="0.45">
      <c r="A109" t="s">
        <v>242</v>
      </c>
      <c r="B109" s="11">
        <f>spliced_inflation_expectations!D109</f>
        <v>2.2210649999999998</v>
      </c>
      <c r="C109" s="2">
        <v>123456789</v>
      </c>
      <c r="D109" s="2">
        <v>123456789</v>
      </c>
    </row>
    <row r="110" spans="1:4" x14ac:dyDescent="0.45">
      <c r="A110" t="s">
        <v>243</v>
      </c>
      <c r="B110" s="11">
        <f>spliced_inflation_expectations!D110</f>
        <v>2.5981610000000002</v>
      </c>
      <c r="C110" s="2">
        <v>123456789</v>
      </c>
      <c r="D110" s="2">
        <v>123456789</v>
      </c>
    </row>
    <row r="111" spans="1:4" x14ac:dyDescent="0.45">
      <c r="A111" t="s">
        <v>244</v>
      </c>
      <c r="B111" s="11">
        <f>spliced_inflation_expectations!D111</f>
        <v>2.2732060000000001</v>
      </c>
      <c r="C111" s="2">
        <v>123456789</v>
      </c>
      <c r="D111" s="2">
        <v>123456789</v>
      </c>
    </row>
    <row r="112" spans="1:4" x14ac:dyDescent="0.45">
      <c r="A112" t="s">
        <v>245</v>
      </c>
      <c r="B112" s="11">
        <f>spliced_inflation_expectations!D112</f>
        <v>2.1395170000000001</v>
      </c>
      <c r="C112" s="2">
        <v>123456789</v>
      </c>
      <c r="D112" s="2">
        <v>123456789</v>
      </c>
    </row>
    <row r="113" spans="1:4" x14ac:dyDescent="0.45">
      <c r="A113" t="s">
        <v>246</v>
      </c>
      <c r="B113" s="11">
        <f>spliced_inflation_expectations!D113</f>
        <v>2.1172770000000001</v>
      </c>
      <c r="C113" s="2">
        <v>123456789</v>
      </c>
      <c r="D113" s="2">
        <v>123456789</v>
      </c>
    </row>
    <row r="114" spans="1:4" x14ac:dyDescent="0.45">
      <c r="A114" t="s">
        <v>247</v>
      </c>
      <c r="B114" s="11">
        <f>spliced_inflation_expectations!D114</f>
        <v>2.0599460000000001</v>
      </c>
      <c r="C114" s="2">
        <v>123456789</v>
      </c>
      <c r="D114" s="2">
        <v>123456789</v>
      </c>
    </row>
    <row r="115" spans="1:4" x14ac:dyDescent="0.45">
      <c r="A115" t="s">
        <v>248</v>
      </c>
      <c r="B115" s="11">
        <f>spliced_inflation_expectations!D115</f>
        <v>2.0176889999999998</v>
      </c>
      <c r="C115" s="2">
        <v>123456789</v>
      </c>
      <c r="D115" s="2">
        <v>123456789</v>
      </c>
    </row>
    <row r="116" spans="1:4" x14ac:dyDescent="0.45">
      <c r="A116" t="s">
        <v>249</v>
      </c>
      <c r="B116" s="11">
        <f>spliced_inflation_expectations!D116</f>
        <v>1.962583</v>
      </c>
      <c r="C116" s="2">
        <v>123456789</v>
      </c>
      <c r="D116" s="2">
        <v>123456789</v>
      </c>
    </row>
    <row r="117" spans="1:4" x14ac:dyDescent="0.45">
      <c r="A117" t="s">
        <v>250</v>
      </c>
      <c r="B117" s="11">
        <f>spliced_inflation_expectations!D117</f>
        <v>1.7629140000000001</v>
      </c>
      <c r="C117" s="2">
        <v>123456789</v>
      </c>
      <c r="D117" s="2">
        <v>123456789</v>
      </c>
    </row>
    <row r="118" spans="1:4" x14ac:dyDescent="0.45">
      <c r="A118" t="s">
        <v>251</v>
      </c>
      <c r="B118" s="11">
        <f>spliced_inflation_expectations!D118</f>
        <v>1.6420760000000001</v>
      </c>
      <c r="C118" s="2">
        <v>123456789</v>
      </c>
      <c r="D118" s="2">
        <v>123456789</v>
      </c>
    </row>
    <row r="119" spans="1:4" x14ac:dyDescent="0.45">
      <c r="A119" t="s">
        <v>252</v>
      </c>
      <c r="B119" s="11">
        <f>spliced_inflation_expectations!D119</f>
        <v>1.7053370000000001</v>
      </c>
      <c r="C119" s="2">
        <v>123456789</v>
      </c>
      <c r="D119" s="2">
        <v>123456789</v>
      </c>
    </row>
    <row r="120" spans="1:4" x14ac:dyDescent="0.45">
      <c r="A120" t="s">
        <v>253</v>
      </c>
      <c r="B120" s="11">
        <f>spliced_inflation_expectations!D120</f>
        <v>1.70163</v>
      </c>
      <c r="C120" s="2">
        <v>123456789</v>
      </c>
      <c r="D120" s="2">
        <v>123456789</v>
      </c>
    </row>
    <row r="121" spans="1:4" x14ac:dyDescent="0.45">
      <c r="A121" t="s">
        <v>254</v>
      </c>
      <c r="B121" s="11">
        <f>spliced_inflation_expectations!D121</f>
        <v>1.6541840000000001</v>
      </c>
      <c r="C121" s="2">
        <v>123456789</v>
      </c>
      <c r="D121" s="2">
        <v>123456789</v>
      </c>
    </row>
    <row r="122" spans="1:4" x14ac:dyDescent="0.45">
      <c r="A122" t="s">
        <v>255</v>
      </c>
      <c r="B122" s="11">
        <f>spliced_inflation_expectations!D122</f>
        <v>1.751547</v>
      </c>
      <c r="C122" s="2">
        <v>123456789</v>
      </c>
      <c r="D122" s="2">
        <v>123456789</v>
      </c>
    </row>
    <row r="123" spans="1:4" x14ac:dyDescent="0.45">
      <c r="A123" t="s">
        <v>256</v>
      </c>
      <c r="B123" s="11">
        <f>spliced_inflation_expectations!D123</f>
        <v>1.7280709999999999</v>
      </c>
      <c r="C123" s="2">
        <v>123456789</v>
      </c>
      <c r="D123" s="2">
        <v>123456789</v>
      </c>
    </row>
    <row r="124" spans="1:4" x14ac:dyDescent="0.45">
      <c r="A124" t="s">
        <v>257</v>
      </c>
      <c r="B124" s="11">
        <f>spliced_inflation_expectations!D124</f>
        <v>1.7557480000000001</v>
      </c>
      <c r="C124" s="2">
        <v>123456789</v>
      </c>
      <c r="D124" s="2">
        <v>123456789</v>
      </c>
    </row>
    <row r="125" spans="1:4" x14ac:dyDescent="0.45">
      <c r="A125" t="s">
        <v>258</v>
      </c>
      <c r="B125" s="11">
        <f>spliced_inflation_expectations!D125</f>
        <v>1.6947110000000001</v>
      </c>
      <c r="C125" s="2">
        <v>123456789</v>
      </c>
      <c r="D125" s="2">
        <v>123456789</v>
      </c>
    </row>
    <row r="126" spans="1:4" x14ac:dyDescent="0.45">
      <c r="A126" t="s">
        <v>259</v>
      </c>
      <c r="B126" s="11">
        <f>spliced_inflation_expectations!D126</f>
        <v>1.72906</v>
      </c>
      <c r="C126" s="2">
        <v>123456789</v>
      </c>
      <c r="D126" s="2">
        <v>123456789</v>
      </c>
    </row>
    <row r="127" spans="1:4" x14ac:dyDescent="0.45">
      <c r="A127" t="s">
        <v>260</v>
      </c>
      <c r="B127" s="11">
        <f>spliced_inflation_expectations!D127</f>
        <v>1.6791430000000001</v>
      </c>
      <c r="C127" s="2">
        <v>123456789</v>
      </c>
      <c r="D127" s="2">
        <v>123456789</v>
      </c>
    </row>
    <row r="128" spans="1:4" x14ac:dyDescent="0.45">
      <c r="A128" t="s">
        <v>261</v>
      </c>
      <c r="B128" s="11">
        <f>spliced_inflation_expectations!D128</f>
        <v>1.7508060000000001</v>
      </c>
      <c r="C128" s="2">
        <v>123456789</v>
      </c>
      <c r="D128" s="2">
        <v>123456789</v>
      </c>
    </row>
    <row r="129" spans="1:4" x14ac:dyDescent="0.45">
      <c r="A129" t="s">
        <v>262</v>
      </c>
      <c r="B129" s="11">
        <f>spliced_inflation_expectations!D129</f>
        <v>1.701136</v>
      </c>
      <c r="C129" s="2">
        <v>123456789</v>
      </c>
      <c r="D129" s="2">
        <v>123456789</v>
      </c>
    </row>
    <row r="130" spans="1:4" x14ac:dyDescent="0.45">
      <c r="A130" t="s">
        <v>263</v>
      </c>
      <c r="B130" s="11">
        <f>spliced_inflation_expectations!D130</f>
        <v>1.6964410000000001</v>
      </c>
      <c r="C130" s="2">
        <v>123456789</v>
      </c>
      <c r="D130" s="2">
        <v>123456789</v>
      </c>
    </row>
    <row r="131" spans="1:4" x14ac:dyDescent="0.45">
      <c r="A131" t="s">
        <v>264</v>
      </c>
      <c r="B131" s="11">
        <f>spliced_inflation_expectations!D131</f>
        <v>1.742157</v>
      </c>
      <c r="C131" s="2">
        <v>123456789</v>
      </c>
      <c r="D131" s="2">
        <v>123456789</v>
      </c>
    </row>
    <row r="132" spans="1:4" x14ac:dyDescent="0.45">
      <c r="A132" t="s">
        <v>265</v>
      </c>
      <c r="B132" s="11">
        <f>spliced_inflation_expectations!D132</f>
        <v>1.70682</v>
      </c>
      <c r="C132" s="2">
        <v>123456789</v>
      </c>
      <c r="D132" s="2">
        <v>123456789</v>
      </c>
    </row>
    <row r="133" spans="1:4" x14ac:dyDescent="0.45">
      <c r="A133" t="s">
        <v>266</v>
      </c>
      <c r="B133" s="11">
        <f>spliced_inflation_expectations!D133</f>
        <v>1.7258469999999999</v>
      </c>
      <c r="C133" s="2">
        <v>123456789</v>
      </c>
      <c r="D133" s="2">
        <v>123456789</v>
      </c>
    </row>
    <row r="134" spans="1:4" x14ac:dyDescent="0.45">
      <c r="A134" t="s">
        <v>267</v>
      </c>
      <c r="B134" s="11">
        <f>spliced_inflation_expectations!D134</f>
        <v>1.721646</v>
      </c>
      <c r="C134" s="2">
        <v>123456789</v>
      </c>
      <c r="D134" s="2">
        <v>123456789</v>
      </c>
    </row>
    <row r="135" spans="1:4" x14ac:dyDescent="0.45">
      <c r="A135" t="s">
        <v>268</v>
      </c>
      <c r="B135" s="11">
        <f>spliced_inflation_expectations!D135</f>
        <v>1.7431449999999999</v>
      </c>
      <c r="C135" s="2">
        <v>123456789</v>
      </c>
      <c r="D135" s="2">
        <v>123456789</v>
      </c>
    </row>
    <row r="136" spans="1:4" x14ac:dyDescent="0.45">
      <c r="A136" t="s">
        <v>269</v>
      </c>
      <c r="B136" s="11">
        <f>spliced_inflation_expectations!D136</f>
        <v>1.728566</v>
      </c>
      <c r="C136" s="2">
        <v>123456789</v>
      </c>
      <c r="D136" s="2">
        <v>123456789</v>
      </c>
    </row>
    <row r="137" spans="1:4" x14ac:dyDescent="0.45">
      <c r="A137" t="s">
        <v>270</v>
      </c>
      <c r="B137" s="11">
        <f>spliced_inflation_expectations!D137</f>
        <v>1.8296349999999999</v>
      </c>
      <c r="C137" s="2">
        <v>123456789</v>
      </c>
      <c r="D137" s="2">
        <v>123456789</v>
      </c>
    </row>
    <row r="138" spans="1:4" x14ac:dyDescent="0.45">
      <c r="A138" t="s">
        <v>271</v>
      </c>
      <c r="B138" s="11">
        <f>spliced_inflation_expectations!D138</f>
        <v>1.760667</v>
      </c>
      <c r="C138" s="2">
        <v>123456789</v>
      </c>
      <c r="D138" s="2">
        <v>123456789</v>
      </c>
    </row>
    <row r="139" spans="1:4" x14ac:dyDescent="0.45">
      <c r="A139" t="s">
        <v>272</v>
      </c>
      <c r="B139" s="11">
        <f>spliced_inflation_expectations!D139</f>
        <v>1.7669999999999999</v>
      </c>
      <c r="C139" s="2">
        <v>123456789</v>
      </c>
      <c r="D139" s="2">
        <v>123456789</v>
      </c>
    </row>
    <row r="140" spans="1:4" x14ac:dyDescent="0.45">
      <c r="A140" t="s">
        <v>273</v>
      </c>
      <c r="B140" s="11">
        <f>spliced_inflation_expectations!D140</f>
        <v>1.8033330000000001</v>
      </c>
      <c r="C140" s="2">
        <v>123456789</v>
      </c>
      <c r="D140" s="2">
        <v>123456789</v>
      </c>
    </row>
    <row r="141" spans="1:4" x14ac:dyDescent="0.45">
      <c r="A141" t="s">
        <v>274</v>
      </c>
      <c r="B141" s="11">
        <f>spliced_inflation_expectations!D141</f>
        <v>1.705667</v>
      </c>
      <c r="C141" s="2">
        <v>123456789</v>
      </c>
      <c r="D141" s="2">
        <v>123456789</v>
      </c>
    </row>
    <row r="142" spans="1:4" x14ac:dyDescent="0.45">
      <c r="A142" t="s">
        <v>275</v>
      </c>
      <c r="B142" s="11">
        <f>spliced_inflation_expectations!D142</f>
        <v>1.8356669999999999</v>
      </c>
      <c r="C142" s="2">
        <v>123456789</v>
      </c>
      <c r="D142" s="2">
        <v>123456789</v>
      </c>
    </row>
    <row r="143" spans="1:4" x14ac:dyDescent="0.45">
      <c r="A143" t="s">
        <v>276</v>
      </c>
      <c r="B143" s="11">
        <f>spliced_inflation_expectations!D143</f>
        <v>1.864333</v>
      </c>
      <c r="C143" s="2">
        <v>123456789</v>
      </c>
      <c r="D143" s="2">
        <v>123456789</v>
      </c>
    </row>
    <row r="144" spans="1:4" x14ac:dyDescent="0.45">
      <c r="A144" t="s">
        <v>277</v>
      </c>
      <c r="B144" s="11">
        <f>spliced_inflation_expectations!D144</f>
        <v>1.9430000000000001</v>
      </c>
      <c r="C144" s="2">
        <v>123456789</v>
      </c>
      <c r="D144" s="2">
        <v>123456789</v>
      </c>
    </row>
    <row r="145" spans="1:4" x14ac:dyDescent="0.45">
      <c r="A145" t="s">
        <v>278</v>
      </c>
      <c r="B145" s="11">
        <f>spliced_inflation_expectations!D145</f>
        <v>2.0186670000000002</v>
      </c>
      <c r="C145" s="2">
        <v>123456789</v>
      </c>
      <c r="D145" s="2">
        <v>123456789</v>
      </c>
    </row>
    <row r="146" spans="1:4" x14ac:dyDescent="0.45">
      <c r="A146" t="s">
        <v>279</v>
      </c>
      <c r="B146" s="11">
        <f>spliced_inflation_expectations!D146</f>
        <v>1.948</v>
      </c>
      <c r="C146" s="2">
        <v>123456789</v>
      </c>
      <c r="D146" s="2">
        <v>123456789</v>
      </c>
    </row>
    <row r="147" spans="1:4" x14ac:dyDescent="0.45">
      <c r="A147" t="s">
        <v>280</v>
      </c>
      <c r="B147" s="11">
        <f>spliced_inflation_expectations!D147</f>
        <v>1.959667</v>
      </c>
      <c r="C147" s="2">
        <v>123456789</v>
      </c>
      <c r="D147" s="2">
        <v>123456789</v>
      </c>
    </row>
    <row r="148" spans="1:4" x14ac:dyDescent="0.45">
      <c r="A148" t="s">
        <v>281</v>
      </c>
      <c r="B148" s="11">
        <f>spliced_inflation_expectations!D148</f>
        <v>2.093</v>
      </c>
      <c r="C148" s="2">
        <v>123456789</v>
      </c>
      <c r="D148" s="2">
        <v>123456789</v>
      </c>
    </row>
    <row r="149" spans="1:4" x14ac:dyDescent="0.45">
      <c r="A149" t="s">
        <v>282</v>
      </c>
      <c r="B149" s="11">
        <f>spliced_inflation_expectations!D149</f>
        <v>2.1903329999999999</v>
      </c>
      <c r="C149" s="2">
        <v>123456789</v>
      </c>
      <c r="D149" s="2">
        <v>123456789</v>
      </c>
    </row>
    <row r="150" spans="1:4" x14ac:dyDescent="0.45">
      <c r="A150" t="s">
        <v>283</v>
      </c>
      <c r="B150" s="11">
        <f>spliced_inflation_expectations!D150</f>
        <v>1.949333</v>
      </c>
      <c r="C150" s="2">
        <v>123456789</v>
      </c>
      <c r="D150" s="2">
        <v>123456789</v>
      </c>
    </row>
    <row r="151" spans="1:4" x14ac:dyDescent="0.45">
      <c r="A151" t="s">
        <v>284</v>
      </c>
      <c r="B151" s="11">
        <f>spliced_inflation_expectations!D151</f>
        <v>1.9410000000000001</v>
      </c>
      <c r="C151" s="2">
        <v>123456789</v>
      </c>
      <c r="D151" s="2">
        <v>123456789</v>
      </c>
    </row>
    <row r="152" spans="1:4" x14ac:dyDescent="0.45">
      <c r="A152" t="s">
        <v>285</v>
      </c>
      <c r="B152" s="11">
        <f>spliced_inflation_expectations!D152</f>
        <v>1.9903329999999999</v>
      </c>
      <c r="C152" s="2">
        <v>123456789</v>
      </c>
      <c r="D152" s="2">
        <v>123456789</v>
      </c>
    </row>
    <row r="153" spans="1:4" x14ac:dyDescent="0.45">
      <c r="A153" t="s">
        <v>286</v>
      </c>
      <c r="B153" s="11">
        <f>spliced_inflation_expectations!D153</f>
        <v>2.0396670000000001</v>
      </c>
      <c r="C153" s="2">
        <v>123456789</v>
      </c>
      <c r="D153" s="2">
        <v>123456789</v>
      </c>
    </row>
    <row r="154" spans="1:4" x14ac:dyDescent="0.45">
      <c r="A154" t="s">
        <v>287</v>
      </c>
      <c r="B154" s="11">
        <f>spliced_inflation_expectations!D154</f>
        <v>1.9896670000000001</v>
      </c>
      <c r="C154" s="2">
        <v>123456789</v>
      </c>
      <c r="D154" s="2">
        <v>123456789</v>
      </c>
    </row>
    <row r="155" spans="1:4" x14ac:dyDescent="0.45">
      <c r="A155" t="s">
        <v>288</v>
      </c>
      <c r="B155" s="11">
        <f>spliced_inflation_expectations!D155</f>
        <v>2.197333</v>
      </c>
      <c r="C155" s="2">
        <v>123456789</v>
      </c>
      <c r="D155" s="2">
        <v>123456789</v>
      </c>
    </row>
    <row r="156" spans="1:4" x14ac:dyDescent="0.45">
      <c r="A156" t="s">
        <v>289</v>
      </c>
      <c r="B156" s="11">
        <f>spliced_inflation_expectations!D156</f>
        <v>2.862333</v>
      </c>
      <c r="C156" s="2">
        <v>123456789</v>
      </c>
      <c r="D156" s="2">
        <v>123456789</v>
      </c>
    </row>
    <row r="157" spans="1:4" x14ac:dyDescent="0.45">
      <c r="A157" t="s">
        <v>290</v>
      </c>
      <c r="B157" s="11">
        <f>spliced_inflation_expectations!D157</f>
        <v>2.2003330000000001</v>
      </c>
      <c r="C157" s="2">
        <v>123456789</v>
      </c>
      <c r="D157" s="2">
        <v>123456789</v>
      </c>
    </row>
    <row r="158" spans="1:4" x14ac:dyDescent="0.45">
      <c r="A158" t="s">
        <v>291</v>
      </c>
      <c r="B158" s="11">
        <f>spliced_inflation_expectations!D158</f>
        <v>1.8433330000000001</v>
      </c>
      <c r="C158" s="2">
        <v>123456789</v>
      </c>
      <c r="D158" s="2">
        <v>123456789</v>
      </c>
    </row>
    <row r="159" spans="1:4" x14ac:dyDescent="0.45">
      <c r="A159" t="s">
        <v>292</v>
      </c>
      <c r="B159" s="11">
        <f>spliced_inflation_expectations!D159</f>
        <v>1.7263329999999999</v>
      </c>
      <c r="C159" s="2">
        <v>123456789</v>
      </c>
      <c r="D159" s="2">
        <v>123456789</v>
      </c>
    </row>
    <row r="160" spans="1:4" x14ac:dyDescent="0.45">
      <c r="A160" t="s">
        <v>293</v>
      </c>
      <c r="B160" s="11">
        <f>spliced_inflation_expectations!D160</f>
        <v>1.7556670000000001</v>
      </c>
      <c r="C160" s="2">
        <v>123456789</v>
      </c>
      <c r="D160" s="2">
        <v>123456789</v>
      </c>
    </row>
    <row r="161" spans="1:4" x14ac:dyDescent="0.45">
      <c r="A161" t="s">
        <v>294</v>
      </c>
      <c r="B161" s="11">
        <f>spliced_inflation_expectations!D161</f>
        <v>2.093</v>
      </c>
      <c r="C161" s="2">
        <v>123456789</v>
      </c>
      <c r="D161" s="2">
        <v>123456789</v>
      </c>
    </row>
    <row r="162" spans="1:4" x14ac:dyDescent="0.45">
      <c r="A162" t="s">
        <v>295</v>
      </c>
      <c r="B162" s="11">
        <f>spliced_inflation_expectations!D162</f>
        <v>1.7126669999999999</v>
      </c>
      <c r="C162" s="2">
        <v>123456789</v>
      </c>
      <c r="D162" s="2">
        <v>123456789</v>
      </c>
    </row>
    <row r="163" spans="1:4" x14ac:dyDescent="0.45">
      <c r="A163" t="s">
        <v>296</v>
      </c>
      <c r="B163" s="11">
        <f>spliced_inflation_expectations!D163</f>
        <v>1.825</v>
      </c>
      <c r="C163" s="2">
        <v>123456789</v>
      </c>
      <c r="D163" s="2">
        <v>123456789</v>
      </c>
    </row>
    <row r="164" spans="1:4" x14ac:dyDescent="0.45">
      <c r="A164" t="s">
        <v>297</v>
      </c>
      <c r="B164" s="11">
        <f>spliced_inflation_expectations!D164</f>
        <v>2.4863330000000001</v>
      </c>
      <c r="C164" s="2">
        <v>123456789</v>
      </c>
      <c r="D164" s="2">
        <v>123456789</v>
      </c>
    </row>
    <row r="165" spans="1:4" x14ac:dyDescent="0.45">
      <c r="A165" t="s">
        <v>298</v>
      </c>
      <c r="B165" s="11">
        <f>spliced_inflation_expectations!D165</f>
        <v>2.7723330000000002</v>
      </c>
      <c r="C165" s="2">
        <v>123456789</v>
      </c>
      <c r="D165" s="2">
        <v>123456789</v>
      </c>
    </row>
    <row r="166" spans="1:4" x14ac:dyDescent="0.45">
      <c r="A166" t="s">
        <v>299</v>
      </c>
      <c r="B166" s="11">
        <f>spliced_inflation_expectations!D166</f>
        <v>2.0306670000000002</v>
      </c>
      <c r="C166" s="2">
        <v>123456789</v>
      </c>
      <c r="D166" s="2">
        <v>123456789</v>
      </c>
    </row>
    <row r="167" spans="1:4" x14ac:dyDescent="0.45">
      <c r="A167" t="s">
        <v>300</v>
      </c>
      <c r="B167" s="11">
        <f>spliced_inflation_expectations!D167</f>
        <v>2.3156669999999999</v>
      </c>
      <c r="C167" s="2">
        <v>123456789</v>
      </c>
      <c r="D167" s="2">
        <v>123456789</v>
      </c>
    </row>
    <row r="168" spans="1:4" x14ac:dyDescent="0.45">
      <c r="A168" t="s">
        <v>301</v>
      </c>
      <c r="B168" s="11">
        <f>spliced_inflation_expectations!D168</f>
        <v>2.6476670000000002</v>
      </c>
      <c r="C168" s="2">
        <v>123456789</v>
      </c>
      <c r="D168" s="2">
        <v>123456789</v>
      </c>
    </row>
    <row r="169" spans="1:4" x14ac:dyDescent="0.45">
      <c r="A169" t="s">
        <v>302</v>
      </c>
      <c r="B169" s="11">
        <f>spliced_inflation_expectations!D169</f>
        <v>2.7280000000000002</v>
      </c>
      <c r="C169" s="2">
        <v>123456789</v>
      </c>
      <c r="D169" s="2">
        <v>123456789</v>
      </c>
    </row>
    <row r="170" spans="1:4" x14ac:dyDescent="0.45">
      <c r="A170" t="s">
        <v>303</v>
      </c>
      <c r="B170" s="11">
        <f>spliced_inflation_expectations!D170</f>
        <v>2.0356670000000001</v>
      </c>
      <c r="C170" s="2">
        <v>123456789</v>
      </c>
      <c r="D170" s="2">
        <v>123456789</v>
      </c>
    </row>
    <row r="171" spans="1:4" x14ac:dyDescent="0.45">
      <c r="A171" t="s">
        <v>304</v>
      </c>
      <c r="B171" s="11">
        <f>spliced_inflation_expectations!D171</f>
        <v>2.0663330000000002</v>
      </c>
      <c r="C171" s="2">
        <v>123456789</v>
      </c>
      <c r="D171" s="2">
        <v>123456789</v>
      </c>
    </row>
    <row r="172" spans="1:4" x14ac:dyDescent="0.45">
      <c r="A172" t="s">
        <v>305</v>
      </c>
      <c r="B172" s="11">
        <f>spliced_inflation_expectations!D172</f>
        <v>1.9996670000000001</v>
      </c>
      <c r="C172" s="2">
        <v>123456789</v>
      </c>
      <c r="D172" s="2">
        <v>123456789</v>
      </c>
    </row>
    <row r="173" spans="1:4" x14ac:dyDescent="0.45">
      <c r="A173" t="s">
        <v>306</v>
      </c>
      <c r="B173" s="11">
        <f>spliced_inflation_expectations!D173</f>
        <v>2.3460000000000001</v>
      </c>
      <c r="C173" s="2">
        <v>123456789</v>
      </c>
      <c r="D173" s="2">
        <v>123456789</v>
      </c>
    </row>
    <row r="174" spans="1:4" x14ac:dyDescent="0.45">
      <c r="A174" t="s">
        <v>307</v>
      </c>
      <c r="B174" s="11">
        <f>spliced_inflation_expectations!D174</f>
        <v>2.3753329999999999</v>
      </c>
      <c r="C174" s="2">
        <v>123456789</v>
      </c>
      <c r="D174" s="2">
        <v>123456789</v>
      </c>
    </row>
    <row r="175" spans="1:4" x14ac:dyDescent="0.45">
      <c r="A175" t="s">
        <v>308</v>
      </c>
      <c r="B175" s="11">
        <f>spliced_inflation_expectations!D175</f>
        <v>2.515333</v>
      </c>
      <c r="C175" s="2">
        <v>123456789</v>
      </c>
      <c r="D175" s="2">
        <v>123456789</v>
      </c>
    </row>
    <row r="176" spans="1:4" x14ac:dyDescent="0.45">
      <c r="A176" t="s">
        <v>309</v>
      </c>
      <c r="B176" s="11">
        <f>spliced_inflation_expectations!D176</f>
        <v>2.46</v>
      </c>
      <c r="C176" s="2">
        <v>123456789</v>
      </c>
      <c r="D176" s="2">
        <v>123456789</v>
      </c>
    </row>
    <row r="177" spans="1:4" x14ac:dyDescent="0.45">
      <c r="A177" t="s">
        <v>310</v>
      </c>
      <c r="B177" s="11">
        <f>spliced_inflation_expectations!D177</f>
        <v>2.4729999999999999</v>
      </c>
      <c r="C177" s="2">
        <v>123456789</v>
      </c>
      <c r="D177" s="2">
        <v>123456789</v>
      </c>
    </row>
    <row r="178" spans="1:4" x14ac:dyDescent="0.45">
      <c r="A178" t="s">
        <v>311</v>
      </c>
      <c r="B178" s="11">
        <f>spliced_inflation_expectations!D178</f>
        <v>2.245333</v>
      </c>
      <c r="C178" s="2">
        <v>123456789</v>
      </c>
      <c r="D178" s="2">
        <v>123456789</v>
      </c>
    </row>
    <row r="179" spans="1:4" x14ac:dyDescent="0.45">
      <c r="A179" t="s">
        <v>312</v>
      </c>
      <c r="B179" s="11">
        <f>spliced_inflation_expectations!D179</f>
        <v>2.0611000000000002</v>
      </c>
      <c r="C179" s="2">
        <v>123456789</v>
      </c>
      <c r="D179" s="2">
        <v>123456789</v>
      </c>
    </row>
    <row r="180" spans="1:4" x14ac:dyDescent="0.45">
      <c r="A180" t="s">
        <v>313</v>
      </c>
      <c r="B180" s="11">
        <f>spliced_inflation_expectations!D180</f>
        <v>1.944733</v>
      </c>
      <c r="C180" s="2">
        <v>123456789</v>
      </c>
      <c r="D180" s="2">
        <v>123456789</v>
      </c>
    </row>
    <row r="181" spans="1:4" x14ac:dyDescent="0.45">
      <c r="A181" t="s">
        <v>314</v>
      </c>
      <c r="B181" s="11">
        <f>spliced_inflation_expectations!D181</f>
        <v>1.6174999999999999</v>
      </c>
      <c r="C181" s="2">
        <v>123456789</v>
      </c>
      <c r="D181" s="2">
        <v>123456789</v>
      </c>
    </row>
    <row r="182" spans="1:4" x14ac:dyDescent="0.45">
      <c r="A182" t="s">
        <v>315</v>
      </c>
      <c r="B182" s="11">
        <f>spliced_inflation_expectations!D182</f>
        <v>1.757633</v>
      </c>
      <c r="C182" s="2">
        <v>123456789</v>
      </c>
      <c r="D182" s="2">
        <v>123456789</v>
      </c>
    </row>
    <row r="183" spans="1:4" x14ac:dyDescent="0.45">
      <c r="A183" t="s">
        <v>316</v>
      </c>
      <c r="B183" s="11">
        <f>spliced_inflation_expectations!D183</f>
        <v>1.624833</v>
      </c>
      <c r="C183" s="2">
        <v>123456789</v>
      </c>
      <c r="D183" s="2">
        <v>123456789</v>
      </c>
    </row>
    <row r="184" spans="1:4" x14ac:dyDescent="0.45">
      <c r="A184" t="s">
        <v>317</v>
      </c>
      <c r="B184" s="11">
        <f>spliced_inflation_expectations!D184</f>
        <v>1.4784999999999999</v>
      </c>
      <c r="C184" s="2">
        <v>123456789</v>
      </c>
      <c r="D184" s="2">
        <v>123456789</v>
      </c>
    </row>
    <row r="185" spans="1:4" x14ac:dyDescent="0.45">
      <c r="A185" t="s">
        <v>318</v>
      </c>
      <c r="B185" s="11">
        <f>spliced_inflation_expectations!D185</f>
        <v>1.262033</v>
      </c>
      <c r="C185" s="2">
        <v>123456789</v>
      </c>
      <c r="D185" s="2">
        <v>123456789</v>
      </c>
    </row>
    <row r="186" spans="1:4" x14ac:dyDescent="0.45">
      <c r="A186" t="s">
        <v>319</v>
      </c>
      <c r="B186" s="11">
        <f>spliced_inflation_expectations!D186</f>
        <v>1.798567</v>
      </c>
      <c r="C186" s="2">
        <v>123456789</v>
      </c>
      <c r="D186" s="2">
        <v>123456789</v>
      </c>
    </row>
    <row r="187" spans="1:4" x14ac:dyDescent="0.45">
      <c r="A187" t="s">
        <v>320</v>
      </c>
      <c r="B187" s="11">
        <f>spliced_inflation_expectations!D187</f>
        <v>1.678633</v>
      </c>
      <c r="C187" s="2">
        <v>123456789</v>
      </c>
      <c r="D187" s="2">
        <v>123456789</v>
      </c>
    </row>
    <row r="188" spans="1:4" x14ac:dyDescent="0.45">
      <c r="A188" t="s">
        <v>321</v>
      </c>
      <c r="B188" s="11">
        <f>spliced_inflation_expectations!D188</f>
        <v>2.3626</v>
      </c>
      <c r="C188" s="2">
        <v>123456789</v>
      </c>
      <c r="D188" s="2">
        <v>123456789</v>
      </c>
    </row>
    <row r="189" spans="1:4" x14ac:dyDescent="0.45">
      <c r="A189" t="s">
        <v>322</v>
      </c>
      <c r="B189" s="11">
        <f>spliced_inflation_expectations!D189</f>
        <v>2.452467</v>
      </c>
      <c r="C189" s="2">
        <v>123456789</v>
      </c>
      <c r="D189" s="2">
        <v>123456789</v>
      </c>
    </row>
    <row r="190" spans="1:4" x14ac:dyDescent="0.45">
      <c r="A190" t="s">
        <v>323</v>
      </c>
      <c r="B190" s="11">
        <f>spliced_inflation_expectations!D190</f>
        <v>2.6566000000000001</v>
      </c>
      <c r="C190" s="2">
        <v>123456789</v>
      </c>
      <c r="D190" s="2">
        <v>123456789</v>
      </c>
    </row>
    <row r="191" spans="1:4" x14ac:dyDescent="0.45">
      <c r="A191" t="s">
        <v>324</v>
      </c>
      <c r="B191" s="11">
        <f>spliced_inflation_expectations!D191</f>
        <v>2.6812330000000002</v>
      </c>
      <c r="C191" s="2">
        <v>123456789</v>
      </c>
      <c r="D191" s="2">
        <v>123456789</v>
      </c>
    </row>
    <row r="192" spans="1:4" x14ac:dyDescent="0.45">
      <c r="A192" t="s">
        <v>325</v>
      </c>
      <c r="B192" s="11">
        <f>spliced_inflation_expectations!D192</f>
        <v>2.629267</v>
      </c>
      <c r="C192" s="2">
        <v>123456789</v>
      </c>
      <c r="D192" s="2">
        <v>123456789</v>
      </c>
    </row>
    <row r="193" spans="1:4" x14ac:dyDescent="0.45">
      <c r="A193" t="s">
        <v>326</v>
      </c>
      <c r="B193" s="11">
        <f>spliced_inflation_expectations!D193</f>
        <v>2.5758329999999998</v>
      </c>
      <c r="C193" s="2">
        <v>123456789</v>
      </c>
      <c r="D193" s="2">
        <v>123456789</v>
      </c>
    </row>
    <row r="194" spans="1:4" x14ac:dyDescent="0.45">
      <c r="A194" t="s">
        <v>327</v>
      </c>
      <c r="B194" s="11">
        <f>spliced_inflation_expectations!D194</f>
        <v>2.1979669999999998</v>
      </c>
      <c r="C194" s="2">
        <v>123456789</v>
      </c>
      <c r="D194" s="2">
        <v>123456789</v>
      </c>
    </row>
    <row r="195" spans="1:4" x14ac:dyDescent="0.45">
      <c r="A195" t="s">
        <v>328</v>
      </c>
      <c r="B195" s="11">
        <f>spliced_inflation_expectations!D195</f>
        <v>2.1546669999999999</v>
      </c>
      <c r="C195" s="2">
        <v>123456789</v>
      </c>
      <c r="D195" s="2">
        <v>123456789</v>
      </c>
    </row>
    <row r="196" spans="1:4" x14ac:dyDescent="0.45">
      <c r="A196" t="s">
        <v>329</v>
      </c>
      <c r="B196" s="11">
        <f>spliced_inflation_expectations!D196</f>
        <v>2.1192000000000002</v>
      </c>
      <c r="C196" s="2">
        <v>123456789</v>
      </c>
      <c r="D196" s="2">
        <v>123456789</v>
      </c>
    </row>
    <row r="197" spans="1:4" x14ac:dyDescent="0.45">
      <c r="A197" t="s">
        <v>330</v>
      </c>
      <c r="B197" s="11">
        <f>spliced_inflation_expectations!D197</f>
        <v>2.1604670000000001</v>
      </c>
      <c r="C197" s="2">
        <v>123456789</v>
      </c>
      <c r="D197" s="2">
        <v>123456789</v>
      </c>
    </row>
    <row r="198" spans="1:4" x14ac:dyDescent="0.45">
      <c r="A198" t="s">
        <v>331</v>
      </c>
      <c r="B198" s="11">
        <f>spliced_inflation_expectations!D198</f>
        <v>2.0763669999999999</v>
      </c>
      <c r="C198" s="2">
        <v>123456789</v>
      </c>
      <c r="D198" s="2">
        <v>123456789</v>
      </c>
    </row>
    <row r="199" spans="1:4" x14ac:dyDescent="0.45">
      <c r="A199" t="s">
        <v>332</v>
      </c>
      <c r="B199" s="11">
        <f>spliced_inflation_expectations!D199</f>
        <v>2.0377329999999998</v>
      </c>
      <c r="C199" s="2">
        <v>123456789</v>
      </c>
      <c r="D199" s="2">
        <v>123456789</v>
      </c>
    </row>
    <row r="200" spans="1:4" x14ac:dyDescent="0.45">
      <c r="A200" t="s">
        <v>333</v>
      </c>
      <c r="B200" s="11">
        <f>spliced_inflation_expectations!D200</f>
        <v>2.0667330000000002</v>
      </c>
      <c r="C200" s="2">
        <v>123456789</v>
      </c>
      <c r="D200" s="2">
        <v>123456789</v>
      </c>
    </row>
    <row r="201" spans="1:4" x14ac:dyDescent="0.45">
      <c r="A201" t="s">
        <v>334</v>
      </c>
      <c r="B201" s="11">
        <f>spliced_inflation_expectations!D201</f>
        <v>1.933867</v>
      </c>
      <c r="C201" s="2">
        <v>123456789</v>
      </c>
      <c r="D201" s="2">
        <v>123456789</v>
      </c>
    </row>
    <row r="202" spans="1:4" x14ac:dyDescent="0.45">
      <c r="A202" t="s">
        <v>335</v>
      </c>
      <c r="B202" s="11">
        <f>spliced_inflation_expectations!D202</f>
        <v>1.877567</v>
      </c>
      <c r="C202" s="2">
        <v>123456789</v>
      </c>
      <c r="D202" s="2">
        <v>123456789</v>
      </c>
    </row>
    <row r="203" spans="1:4" x14ac:dyDescent="0.45">
      <c r="A203" t="s">
        <v>336</v>
      </c>
      <c r="B203" s="11">
        <f>spliced_inflation_expectations!D203</f>
        <v>1.409767</v>
      </c>
      <c r="C203" s="2">
        <v>123456789</v>
      </c>
      <c r="D203" s="2">
        <v>123456789</v>
      </c>
    </row>
    <row r="204" spans="1:4" x14ac:dyDescent="0.45">
      <c r="A204" t="s">
        <v>337</v>
      </c>
      <c r="B204" s="11">
        <f>spliced_inflation_expectations!D204</f>
        <v>1.421033</v>
      </c>
      <c r="C204" s="2">
        <v>123456789</v>
      </c>
      <c r="D204" s="2">
        <v>123456789</v>
      </c>
    </row>
    <row r="205" spans="1:4" x14ac:dyDescent="0.45">
      <c r="A205" t="s">
        <v>338</v>
      </c>
      <c r="B205" s="11">
        <f>spliced_inflation_expectations!D205</f>
        <v>1.542333</v>
      </c>
      <c r="C205" s="2">
        <v>123456789</v>
      </c>
      <c r="D205" s="2">
        <v>123456789</v>
      </c>
    </row>
    <row r="206" spans="1:4" x14ac:dyDescent="0.45">
      <c r="A206" t="s">
        <v>339</v>
      </c>
      <c r="B206" s="11">
        <f>spliced_inflation_expectations!D206</f>
        <v>1.9750000000000001</v>
      </c>
      <c r="C206" s="2">
        <v>123456789</v>
      </c>
      <c r="D206" s="2">
        <v>123456789</v>
      </c>
    </row>
    <row r="207" spans="1:4" x14ac:dyDescent="0.45">
      <c r="A207" t="s">
        <v>340</v>
      </c>
      <c r="B207" s="11">
        <f>spliced_inflation_expectations!D207</f>
        <v>2.191033</v>
      </c>
      <c r="C207" s="2">
        <v>123456789</v>
      </c>
      <c r="D207" s="2">
        <v>123456789</v>
      </c>
    </row>
    <row r="208" spans="1:4" x14ac:dyDescent="0.45">
      <c r="A208" t="s">
        <v>341</v>
      </c>
      <c r="B208" s="11">
        <f>spliced_inflation_expectations!D208</f>
        <v>2.6218330000000001</v>
      </c>
      <c r="C208" s="2">
        <v>123456789</v>
      </c>
      <c r="D208" s="2">
        <v>123456789</v>
      </c>
    </row>
    <row r="209" spans="1:4" x14ac:dyDescent="0.45">
      <c r="A209" t="s">
        <v>342</v>
      </c>
      <c r="B209" s="11">
        <f>spliced_inflation_expectations!D209</f>
        <v>3.6949999999999998</v>
      </c>
      <c r="C209" s="2">
        <v>123456789</v>
      </c>
      <c r="D209" s="2">
        <v>123456789</v>
      </c>
    </row>
    <row r="210" spans="1:4" x14ac:dyDescent="0.45">
      <c r="A210" t="s">
        <v>343</v>
      </c>
      <c r="B210" s="11">
        <f>spliced_inflation_expectations!D210</f>
        <v>2.9231669999999998</v>
      </c>
      <c r="C210" s="2">
        <v>123456789</v>
      </c>
      <c r="D210" s="2">
        <v>123456789</v>
      </c>
    </row>
    <row r="211" spans="1:4" x14ac:dyDescent="0.45">
      <c r="A211" t="s">
        <v>344</v>
      </c>
      <c r="B211" s="11">
        <f>spliced_inflation_expectations!D211</f>
        <v>4.4743000000000004</v>
      </c>
      <c r="C211" s="2">
        <v>123456789</v>
      </c>
      <c r="D211" s="2">
        <v>123456789</v>
      </c>
    </row>
    <row r="212" spans="1:4" x14ac:dyDescent="0.45">
      <c r="A212" t="s">
        <v>345</v>
      </c>
      <c r="B212" s="11">
        <f>spliced_inflation_expectations!D212</f>
        <v>6.4272330000000002</v>
      </c>
      <c r="C212" s="2">
        <v>123456789</v>
      </c>
      <c r="D212" s="2">
        <v>123456789</v>
      </c>
    </row>
    <row r="213" spans="1:4" x14ac:dyDescent="0.45">
      <c r="A213" t="s">
        <v>346</v>
      </c>
      <c r="B213" s="11">
        <f>spliced_inflation_expectations!D213</f>
        <v>6.9379330000000001</v>
      </c>
      <c r="C213" s="2">
        <v>123456789</v>
      </c>
      <c r="D213" s="2">
        <v>123456789</v>
      </c>
    </row>
    <row r="214" spans="1:4" x14ac:dyDescent="0.45">
      <c r="A214" t="s">
        <v>347</v>
      </c>
      <c r="B214" s="11">
        <f>spliced_inflation_expectations!D214</f>
        <v>2.9924330000000001</v>
      </c>
      <c r="C214" s="2">
        <v>123456789</v>
      </c>
      <c r="D214" s="2">
        <v>123456789</v>
      </c>
    </row>
    <row r="215" spans="1:4" x14ac:dyDescent="0.45">
      <c r="A215" t="s">
        <v>348</v>
      </c>
      <c r="B215" s="11">
        <f>spliced_inflation_expectations!D215</f>
        <v>2.9180999999999999</v>
      </c>
      <c r="C215" s="2">
        <v>123456789</v>
      </c>
      <c r="D215" s="2">
        <v>123456789</v>
      </c>
    </row>
    <row r="216" spans="1:4" x14ac:dyDescent="0.45">
      <c r="A216" t="s">
        <v>349</v>
      </c>
      <c r="B216" s="11">
        <f>spliced_inflation_expectations!D216</f>
        <v>3.1230329999999999</v>
      </c>
      <c r="C216" s="2">
        <v>123456789</v>
      </c>
      <c r="D216" s="2">
        <v>123456789</v>
      </c>
    </row>
    <row r="217" spans="1:4" x14ac:dyDescent="0.45">
      <c r="A217" t="s">
        <v>350</v>
      </c>
      <c r="B217" s="11">
        <f>spliced_inflation_expectations!D217</f>
        <v>3.1106669999999998</v>
      </c>
      <c r="C217" s="2">
        <v>123456789</v>
      </c>
      <c r="D217" s="2">
        <v>123456789</v>
      </c>
    </row>
    <row r="218" spans="1:4" x14ac:dyDescent="0.45">
      <c r="A218" t="s">
        <v>351</v>
      </c>
      <c r="B218" s="11">
        <f>spliced_inflation_expectations!D218</f>
        <v>2.1744330000000001</v>
      </c>
      <c r="C218" s="2">
        <v>123456789</v>
      </c>
      <c r="D218" s="2">
        <v>123456789</v>
      </c>
    </row>
    <row r="219" spans="1:4" x14ac:dyDescent="0.45">
      <c r="A219" t="s">
        <v>352</v>
      </c>
      <c r="B219" s="11">
        <f>spliced_inflation_expectations!D219</f>
        <v>2.2317330000000002</v>
      </c>
      <c r="C219" s="2">
        <v>123456789</v>
      </c>
      <c r="D219" s="2">
        <v>123456789</v>
      </c>
    </row>
    <row r="220" spans="1:4" x14ac:dyDescent="0.45">
      <c r="A220" t="s">
        <v>353</v>
      </c>
      <c r="B220" s="11">
        <f>spliced_inflation_expectations!D220</f>
        <v>2.3441670000000001</v>
      </c>
      <c r="C220" s="2">
        <v>123456789</v>
      </c>
      <c r="D220" s="2">
        <v>123456789</v>
      </c>
    </row>
    <row r="221" spans="1:4" x14ac:dyDescent="0.45">
      <c r="A221" t="s">
        <v>354</v>
      </c>
      <c r="B221" s="11">
        <f>spliced_inflation_expectations!D221</f>
        <v>2.4459330000000001</v>
      </c>
      <c r="C221" s="2">
        <v>123456789</v>
      </c>
      <c r="D221" s="2">
        <v>123456789</v>
      </c>
    </row>
    <row r="222" spans="1:4" x14ac:dyDescent="0.45">
      <c r="A222" t="s">
        <v>355</v>
      </c>
      <c r="B222" s="11">
        <f>spliced_inflation_expectations!D222</f>
        <v>2.352233</v>
      </c>
      <c r="C222" s="2">
        <v>123456789</v>
      </c>
      <c r="D222" s="2">
        <v>123456789</v>
      </c>
    </row>
    <row r="223" spans="1:4" x14ac:dyDescent="0.45">
      <c r="A223" t="s">
        <v>356</v>
      </c>
      <c r="B223" s="11">
        <f>spliced_inflation_expectations!D223</f>
        <v>2.3450000000000002</v>
      </c>
      <c r="C223" s="2">
        <v>123456789</v>
      </c>
      <c r="D223" s="2">
        <v>123456789</v>
      </c>
    </row>
    <row r="224" spans="1:4" x14ac:dyDescent="0.45">
      <c r="A224" t="s">
        <v>357</v>
      </c>
      <c r="B224" s="11">
        <f>spliced_inflation_expectations!D224</f>
        <v>2.4864666666666668</v>
      </c>
      <c r="C224" s="2">
        <v>123456789</v>
      </c>
      <c r="D224" s="2">
        <v>123456789</v>
      </c>
    </row>
    <row r="225" spans="1:4" x14ac:dyDescent="0.45">
      <c r="A225" t="s">
        <v>438</v>
      </c>
      <c r="B225" s="11">
        <v>2.4900000000000002</v>
      </c>
      <c r="C225" s="2">
        <v>123456789</v>
      </c>
      <c r="D225" s="2">
        <v>123456789</v>
      </c>
    </row>
    <row r="226" spans="1:4" x14ac:dyDescent="0.45">
      <c r="A226" t="s">
        <v>441</v>
      </c>
      <c r="B226" s="11">
        <v>2.4900000000000002</v>
      </c>
      <c r="C226" s="2">
        <v>123456789</v>
      </c>
      <c r="D226" s="2">
        <v>123456789</v>
      </c>
    </row>
  </sheetData>
  <phoneticPr fontId="3"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927E-3500-4B72-89B7-0D28ECC09C01}">
  <sheetPr>
    <tabColor theme="9" tint="0.79998168889431442"/>
  </sheetPr>
  <dimension ref="A1:E226"/>
  <sheetViews>
    <sheetView topLeftCell="A210" workbookViewId="0">
      <selection activeCell="F221" sqref="F221"/>
    </sheetView>
  </sheetViews>
  <sheetFormatPr defaultRowHeight="14.25" x14ac:dyDescent="0.45"/>
  <cols>
    <col min="5" max="5" width="15.73046875" customWidth="1"/>
    <col min="6" max="6" width="15.19921875" customWidth="1"/>
  </cols>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v>11.5199</v>
      </c>
      <c r="C42" s="2">
        <v>123456789</v>
      </c>
      <c r="D42" s="2">
        <v>123456789</v>
      </c>
    </row>
    <row r="43" spans="1:4" x14ac:dyDescent="0.45">
      <c r="A43" t="s">
        <v>176</v>
      </c>
      <c r="B43">
        <v>12.6624</v>
      </c>
      <c r="C43" s="2">
        <v>123456789</v>
      </c>
      <c r="D43" s="2">
        <v>123456789</v>
      </c>
    </row>
    <row r="44" spans="1:4" x14ac:dyDescent="0.45">
      <c r="A44" t="s">
        <v>177</v>
      </c>
      <c r="B44">
        <v>12.6135</v>
      </c>
      <c r="C44" s="2">
        <v>123456789</v>
      </c>
      <c r="D44" s="2">
        <v>123456789</v>
      </c>
    </row>
    <row r="45" spans="1:4" x14ac:dyDescent="0.45">
      <c r="A45" t="s">
        <v>178</v>
      </c>
      <c r="B45">
        <v>13.1677</v>
      </c>
      <c r="C45" s="2">
        <v>123456789</v>
      </c>
      <c r="D45" s="2">
        <v>123456789</v>
      </c>
    </row>
    <row r="46" spans="1:4" x14ac:dyDescent="0.45">
      <c r="A46" t="s">
        <v>179</v>
      </c>
      <c r="B46">
        <v>14.201599999999999</v>
      </c>
      <c r="C46" s="2">
        <v>123456789</v>
      </c>
      <c r="D46" s="2">
        <v>123456789</v>
      </c>
    </row>
    <row r="47" spans="1:4" x14ac:dyDescent="0.45">
      <c r="A47" t="s">
        <v>180</v>
      </c>
      <c r="B47">
        <v>15.212899999999999</v>
      </c>
      <c r="C47" s="2">
        <v>123456789</v>
      </c>
      <c r="D47" s="2">
        <v>123456789</v>
      </c>
    </row>
    <row r="48" spans="1:4" x14ac:dyDescent="0.45">
      <c r="A48" t="s">
        <v>181</v>
      </c>
      <c r="B48">
        <v>16.3795</v>
      </c>
      <c r="C48" s="2">
        <v>123456789</v>
      </c>
      <c r="D48" s="2">
        <v>123456789</v>
      </c>
    </row>
    <row r="49" spans="1:4" x14ac:dyDescent="0.45">
      <c r="A49" t="s">
        <v>182</v>
      </c>
      <c r="B49">
        <v>17.1921</v>
      </c>
      <c r="C49" s="2">
        <v>123456789</v>
      </c>
      <c r="D49" s="2">
        <v>123456789</v>
      </c>
    </row>
    <row r="50" spans="1:4" x14ac:dyDescent="0.45">
      <c r="A50" t="s">
        <v>183</v>
      </c>
      <c r="B50">
        <v>18.089400000000001</v>
      </c>
      <c r="C50" s="2">
        <v>123456789</v>
      </c>
      <c r="D50" s="2">
        <v>123456789</v>
      </c>
    </row>
    <row r="51" spans="1:4" x14ac:dyDescent="0.45">
      <c r="A51" t="s">
        <v>184</v>
      </c>
      <c r="B51">
        <v>17.220099999999999</v>
      </c>
      <c r="C51" s="2">
        <v>123456789</v>
      </c>
      <c r="D51" s="2">
        <v>123456789</v>
      </c>
    </row>
    <row r="52" spans="1:4" x14ac:dyDescent="0.45">
      <c r="A52" t="s">
        <v>185</v>
      </c>
      <c r="B52">
        <v>17.831499999999998</v>
      </c>
      <c r="C52" s="2">
        <v>123456789</v>
      </c>
      <c r="D52" s="2">
        <v>123456789</v>
      </c>
    </row>
    <row r="53" spans="1:4" x14ac:dyDescent="0.45">
      <c r="A53" t="s">
        <v>186</v>
      </c>
      <c r="B53">
        <v>19.0288</v>
      </c>
      <c r="C53" s="2">
        <v>123456789</v>
      </c>
      <c r="D53" s="2">
        <v>123456789</v>
      </c>
    </row>
    <row r="54" spans="1:4" x14ac:dyDescent="0.45">
      <c r="A54" t="s">
        <v>187</v>
      </c>
      <c r="B54">
        <v>19.429300000000001</v>
      </c>
      <c r="C54" s="2">
        <v>123456789</v>
      </c>
      <c r="D54" s="2">
        <v>123456789</v>
      </c>
    </row>
    <row r="55" spans="1:4" x14ac:dyDescent="0.45">
      <c r="A55" t="s">
        <v>188</v>
      </c>
      <c r="B55">
        <v>18.4254</v>
      </c>
      <c r="C55" s="2">
        <v>123456789</v>
      </c>
      <c r="D55" s="2">
        <v>123456789</v>
      </c>
    </row>
    <row r="56" spans="1:4" x14ac:dyDescent="0.45">
      <c r="A56" t="s">
        <v>189</v>
      </c>
      <c r="B56">
        <v>18.5047</v>
      </c>
      <c r="C56" s="2">
        <v>123456789</v>
      </c>
      <c r="D56" s="2">
        <v>123456789</v>
      </c>
    </row>
    <row r="57" spans="1:4" x14ac:dyDescent="0.45">
      <c r="A57" t="s">
        <v>190</v>
      </c>
      <c r="B57">
        <v>19.111999999999998</v>
      </c>
      <c r="C57" s="2">
        <v>123456789</v>
      </c>
      <c r="D57" s="2">
        <v>123456789</v>
      </c>
    </row>
    <row r="58" spans="1:4" x14ac:dyDescent="0.45">
      <c r="A58" t="s">
        <v>191</v>
      </c>
      <c r="B58">
        <v>20.2103</v>
      </c>
      <c r="C58" s="2">
        <v>123456789</v>
      </c>
      <c r="D58" s="2">
        <v>123456789</v>
      </c>
    </row>
    <row r="59" spans="1:4" x14ac:dyDescent="0.45">
      <c r="A59" t="s">
        <v>192</v>
      </c>
      <c r="B59">
        <v>20.7882</v>
      </c>
      <c r="C59" s="2">
        <v>123456789</v>
      </c>
      <c r="D59" s="2">
        <v>123456789</v>
      </c>
    </row>
    <row r="60" spans="1:4" x14ac:dyDescent="0.45">
      <c r="A60" t="s">
        <v>193</v>
      </c>
      <c r="B60">
        <v>21.572800000000001</v>
      </c>
      <c r="C60" s="2">
        <v>123456789</v>
      </c>
      <c r="D60" s="2">
        <v>123456789</v>
      </c>
    </row>
    <row r="61" spans="1:4" x14ac:dyDescent="0.45">
      <c r="A61" t="s">
        <v>194</v>
      </c>
      <c r="B61">
        <v>22.487100000000002</v>
      </c>
      <c r="C61" s="2">
        <v>123456789</v>
      </c>
      <c r="D61" s="2">
        <v>123456789</v>
      </c>
    </row>
    <row r="62" spans="1:4" x14ac:dyDescent="0.45">
      <c r="A62" t="s">
        <v>195</v>
      </c>
      <c r="B62">
        <v>24.9773</v>
      </c>
      <c r="C62" s="2">
        <v>123456789</v>
      </c>
      <c r="D62" s="2">
        <v>123456789</v>
      </c>
    </row>
    <row r="63" spans="1:4" x14ac:dyDescent="0.45">
      <c r="A63" t="s">
        <v>196</v>
      </c>
      <c r="B63">
        <v>23.3385</v>
      </c>
      <c r="C63" s="2">
        <v>123456789</v>
      </c>
      <c r="D63" s="2">
        <v>123456789</v>
      </c>
    </row>
    <row r="64" spans="1:4" x14ac:dyDescent="0.45">
      <c r="A64" t="s">
        <v>197</v>
      </c>
      <c r="B64">
        <v>21.072700000000001</v>
      </c>
      <c r="C64" s="2">
        <v>123456789</v>
      </c>
      <c r="D64" s="2">
        <v>123456789</v>
      </c>
    </row>
    <row r="65" spans="1:4" x14ac:dyDescent="0.45">
      <c r="A65" t="s">
        <v>198</v>
      </c>
      <c r="B65">
        <v>19.882200000000001</v>
      </c>
      <c r="C65" s="2">
        <v>123456789</v>
      </c>
      <c r="D65" s="2">
        <v>123456789</v>
      </c>
    </row>
    <row r="66" spans="1:4" x14ac:dyDescent="0.45">
      <c r="A66" t="s">
        <v>199</v>
      </c>
      <c r="B66">
        <v>17.0779</v>
      </c>
      <c r="C66" s="2">
        <v>123456789</v>
      </c>
      <c r="D66" s="2">
        <v>123456789</v>
      </c>
    </row>
    <row r="67" spans="1:4" x14ac:dyDescent="0.45">
      <c r="A67" t="s">
        <v>200</v>
      </c>
      <c r="B67">
        <v>12.922599999999999</v>
      </c>
      <c r="C67" s="2">
        <v>123456789</v>
      </c>
      <c r="D67" s="2">
        <v>123456789</v>
      </c>
    </row>
    <row r="68" spans="1:4" x14ac:dyDescent="0.45">
      <c r="A68" t="s">
        <v>201</v>
      </c>
      <c r="B68">
        <v>9.9581999999999997</v>
      </c>
      <c r="C68" s="2">
        <v>123456789</v>
      </c>
      <c r="D68" s="2">
        <v>123456789</v>
      </c>
    </row>
    <row r="69" spans="1:4" x14ac:dyDescent="0.45">
      <c r="A69" t="s">
        <v>202</v>
      </c>
      <c r="B69">
        <v>11.382099999999999</v>
      </c>
      <c r="C69" s="2">
        <v>123456789</v>
      </c>
      <c r="D69" s="2">
        <v>123456789</v>
      </c>
    </row>
    <row r="70" spans="1:4" x14ac:dyDescent="0.45">
      <c r="A70" t="s">
        <v>203</v>
      </c>
      <c r="B70">
        <v>12.716200000000001</v>
      </c>
      <c r="C70" s="2">
        <v>123456789</v>
      </c>
      <c r="D70" s="2">
        <v>123456789</v>
      </c>
    </row>
    <row r="71" spans="1:4" x14ac:dyDescent="0.45">
      <c r="A71" t="s">
        <v>204</v>
      </c>
      <c r="B71">
        <v>12.3452</v>
      </c>
      <c r="C71" s="2">
        <v>123456789</v>
      </c>
      <c r="D71" s="2">
        <v>123456789</v>
      </c>
    </row>
    <row r="72" spans="1:4" x14ac:dyDescent="0.45">
      <c r="A72" t="s">
        <v>205</v>
      </c>
      <c r="B72">
        <v>12.6433</v>
      </c>
      <c r="C72" s="2">
        <v>123456789</v>
      </c>
      <c r="D72" s="2">
        <v>123456789</v>
      </c>
    </row>
    <row r="73" spans="1:4" x14ac:dyDescent="0.45">
      <c r="A73" t="s">
        <v>206</v>
      </c>
      <c r="B73">
        <v>11.8848</v>
      </c>
      <c r="C73" s="2">
        <v>123456789</v>
      </c>
      <c r="D73" s="2">
        <v>123456789</v>
      </c>
    </row>
    <row r="74" spans="1:4" x14ac:dyDescent="0.45">
      <c r="A74" t="s">
        <v>207</v>
      </c>
      <c r="B74">
        <v>10.2592</v>
      </c>
      <c r="C74" s="2">
        <v>123456789</v>
      </c>
      <c r="D74" s="2">
        <v>123456789</v>
      </c>
    </row>
    <row r="75" spans="1:4" x14ac:dyDescent="0.45">
      <c r="A75" t="s">
        <v>208</v>
      </c>
      <c r="B75">
        <v>10.6219</v>
      </c>
      <c r="C75" s="2">
        <v>123456789</v>
      </c>
      <c r="D75" s="2">
        <v>123456789</v>
      </c>
    </row>
    <row r="76" spans="1:4" x14ac:dyDescent="0.45">
      <c r="A76" t="s">
        <v>209</v>
      </c>
      <c r="B76">
        <v>10.2585</v>
      </c>
      <c r="C76" s="2">
        <v>123456789</v>
      </c>
      <c r="D76" s="2">
        <v>123456789</v>
      </c>
    </row>
    <row r="77" spans="1:4" x14ac:dyDescent="0.45">
      <c r="A77" t="s">
        <v>210</v>
      </c>
      <c r="B77">
        <v>8.4563000000000006</v>
      </c>
      <c r="C77" s="2">
        <v>123456789</v>
      </c>
      <c r="D77" s="2">
        <v>123456789</v>
      </c>
    </row>
    <row r="78" spans="1:4" x14ac:dyDescent="0.45">
      <c r="A78" t="s">
        <v>211</v>
      </c>
      <c r="B78">
        <v>10.3119</v>
      </c>
      <c r="C78" s="2">
        <v>123456789</v>
      </c>
      <c r="D78" s="2">
        <v>123456789</v>
      </c>
    </row>
    <row r="79" spans="1:4" x14ac:dyDescent="0.45">
      <c r="A79" t="s">
        <v>212</v>
      </c>
      <c r="B79">
        <v>12.588800000000001</v>
      </c>
      <c r="C79" s="2">
        <v>123456789</v>
      </c>
      <c r="D79" s="2">
        <v>123456789</v>
      </c>
    </row>
    <row r="80" spans="1:4" x14ac:dyDescent="0.45">
      <c r="A80" t="s">
        <v>213</v>
      </c>
      <c r="B80">
        <v>12.095599999999999</v>
      </c>
      <c r="C80" s="2">
        <v>123456789</v>
      </c>
      <c r="D80" s="2">
        <v>123456789</v>
      </c>
    </row>
    <row r="81" spans="1:4" x14ac:dyDescent="0.45">
      <c r="A81" t="s">
        <v>214</v>
      </c>
      <c r="B81">
        <v>11.5654</v>
      </c>
      <c r="C81" s="2">
        <v>123456789</v>
      </c>
      <c r="D81" s="2">
        <v>123456789</v>
      </c>
    </row>
    <row r="82" spans="1:4" x14ac:dyDescent="0.45">
      <c r="A82" t="s">
        <v>215</v>
      </c>
      <c r="B82">
        <v>12.6523</v>
      </c>
      <c r="C82" s="2">
        <v>123456789</v>
      </c>
      <c r="D82" s="2">
        <v>123456789</v>
      </c>
    </row>
    <row r="83" spans="1:4" x14ac:dyDescent="0.45">
      <c r="A83" t="s">
        <v>216</v>
      </c>
      <c r="B83">
        <v>11.3613</v>
      </c>
      <c r="C83" s="2">
        <v>123456789</v>
      </c>
      <c r="D83" s="2">
        <v>123456789</v>
      </c>
    </row>
    <row r="84" spans="1:4" x14ac:dyDescent="0.45">
      <c r="A84" t="s">
        <v>217</v>
      </c>
      <c r="B84">
        <v>12.3866</v>
      </c>
      <c r="C84" s="2">
        <v>123456789</v>
      </c>
      <c r="D84" s="2">
        <v>123456789</v>
      </c>
    </row>
    <row r="85" spans="1:4" x14ac:dyDescent="0.45">
      <c r="A85" t="s">
        <v>218</v>
      </c>
      <c r="B85">
        <v>15.0336</v>
      </c>
      <c r="C85" s="2">
        <v>123456789</v>
      </c>
      <c r="D85" s="2">
        <v>123456789</v>
      </c>
    </row>
    <row r="86" spans="1:4" x14ac:dyDescent="0.45">
      <c r="A86" t="s">
        <v>219</v>
      </c>
      <c r="B86">
        <v>12.661899999999999</v>
      </c>
      <c r="C86" s="2">
        <v>123456789</v>
      </c>
      <c r="D86" s="2">
        <v>123456789</v>
      </c>
    </row>
    <row r="87" spans="1:4" x14ac:dyDescent="0.45">
      <c r="A87" t="s">
        <v>220</v>
      </c>
      <c r="B87">
        <v>12.1275</v>
      </c>
      <c r="C87" s="2">
        <v>123456789</v>
      </c>
      <c r="D87" s="2">
        <v>123456789</v>
      </c>
    </row>
    <row r="88" spans="1:4" x14ac:dyDescent="0.45">
      <c r="A88" t="s">
        <v>221</v>
      </c>
      <c r="B88">
        <v>12.3132</v>
      </c>
      <c r="C88" s="2">
        <v>123456789</v>
      </c>
      <c r="D88" s="2">
        <v>123456789</v>
      </c>
    </row>
    <row r="89" spans="1:4" x14ac:dyDescent="0.45">
      <c r="A89" t="s">
        <v>222</v>
      </c>
      <c r="B89">
        <v>11.311199999999999</v>
      </c>
      <c r="C89" s="2">
        <v>123456789</v>
      </c>
      <c r="D89" s="2">
        <v>123456789</v>
      </c>
    </row>
    <row r="90" spans="1:4" x14ac:dyDescent="0.45">
      <c r="A90" t="s">
        <v>223</v>
      </c>
      <c r="B90">
        <v>10.7677</v>
      </c>
      <c r="C90" s="2">
        <v>123456789</v>
      </c>
      <c r="D90" s="2">
        <v>123456789</v>
      </c>
    </row>
    <row r="91" spans="1:4" x14ac:dyDescent="0.45">
      <c r="A91" t="s">
        <v>224</v>
      </c>
      <c r="B91">
        <v>11.3353</v>
      </c>
      <c r="C91" s="2">
        <v>123456789</v>
      </c>
      <c r="D91" s="2">
        <v>123456789</v>
      </c>
    </row>
    <row r="92" spans="1:4" x14ac:dyDescent="0.45">
      <c r="A92" t="s">
        <v>225</v>
      </c>
      <c r="B92">
        <v>11.4939</v>
      </c>
      <c r="C92" s="2">
        <v>123456789</v>
      </c>
      <c r="D92" s="2">
        <v>123456789</v>
      </c>
    </row>
    <row r="93" spans="1:4" x14ac:dyDescent="0.45">
      <c r="A93" t="s">
        <v>226</v>
      </c>
      <c r="B93">
        <v>11.9712</v>
      </c>
      <c r="C93" s="2">
        <v>123456789</v>
      </c>
      <c r="D93" s="2">
        <v>123456789</v>
      </c>
    </row>
    <row r="94" spans="1:4" x14ac:dyDescent="0.45">
      <c r="A94" t="s">
        <v>227</v>
      </c>
      <c r="B94">
        <v>12.5457</v>
      </c>
      <c r="C94" s="2">
        <v>123456789</v>
      </c>
      <c r="D94" s="2">
        <v>123456789</v>
      </c>
    </row>
    <row r="95" spans="1:4" x14ac:dyDescent="0.45">
      <c r="A95" t="s">
        <v>228</v>
      </c>
      <c r="B95">
        <v>12.33</v>
      </c>
      <c r="C95" s="2">
        <v>123456789</v>
      </c>
      <c r="D95" s="2">
        <v>123456789</v>
      </c>
    </row>
    <row r="96" spans="1:4" x14ac:dyDescent="0.45">
      <c r="A96" t="s">
        <v>229</v>
      </c>
      <c r="B96">
        <v>11.5593</v>
      </c>
      <c r="C96" s="2">
        <v>123456789</v>
      </c>
      <c r="D96" s="2">
        <v>123456789</v>
      </c>
    </row>
    <row r="97" spans="1:5" x14ac:dyDescent="0.45">
      <c r="A97" t="s">
        <v>230</v>
      </c>
      <c r="B97">
        <v>11.0406</v>
      </c>
      <c r="C97" s="2">
        <v>123456789</v>
      </c>
      <c r="D97" s="2">
        <v>123456789</v>
      </c>
    </row>
    <row r="98" spans="1:5" x14ac:dyDescent="0.45">
      <c r="A98" t="s">
        <v>231</v>
      </c>
      <c r="B98">
        <v>10.898</v>
      </c>
      <c r="C98" s="2">
        <v>123456789</v>
      </c>
      <c r="D98" s="2">
        <v>123456789</v>
      </c>
    </row>
    <row r="99" spans="1:5" x14ac:dyDescent="0.45">
      <c r="A99" t="s">
        <v>232</v>
      </c>
      <c r="B99">
        <v>11.4093</v>
      </c>
      <c r="C99" s="2">
        <v>123456789</v>
      </c>
      <c r="D99" s="2">
        <v>123456789</v>
      </c>
    </row>
    <row r="100" spans="1:5" x14ac:dyDescent="0.45">
      <c r="A100" t="s">
        <v>233</v>
      </c>
      <c r="B100">
        <v>12.252000000000001</v>
      </c>
      <c r="C100" s="2">
        <v>123456789</v>
      </c>
      <c r="D100" s="2">
        <v>123456789</v>
      </c>
    </row>
    <row r="101" spans="1:5" x14ac:dyDescent="0.45">
      <c r="A101" t="s">
        <v>234</v>
      </c>
      <c r="B101">
        <v>11.8575</v>
      </c>
      <c r="C101" s="2">
        <v>123456789</v>
      </c>
      <c r="D101" s="2">
        <v>123456789</v>
      </c>
    </row>
    <row r="102" spans="1:5" x14ac:dyDescent="0.45">
      <c r="A102" t="s">
        <v>235</v>
      </c>
      <c r="B102">
        <v>12.0107</v>
      </c>
      <c r="C102" s="2">
        <v>123456789</v>
      </c>
      <c r="D102" s="2">
        <v>123456789</v>
      </c>
    </row>
    <row r="103" spans="1:5" x14ac:dyDescent="0.45">
      <c r="A103" t="s">
        <v>236</v>
      </c>
      <c r="B103">
        <v>12.2875</v>
      </c>
      <c r="C103" s="2">
        <v>123456789</v>
      </c>
      <c r="D103" s="2">
        <v>123456789</v>
      </c>
    </row>
    <row r="104" spans="1:5" x14ac:dyDescent="0.45">
      <c r="A104" t="s">
        <v>237</v>
      </c>
      <c r="B104">
        <v>11.842000000000001</v>
      </c>
      <c r="C104" s="2">
        <v>123456789</v>
      </c>
      <c r="D104" s="2">
        <v>123456789</v>
      </c>
    </row>
    <row r="105" spans="1:5" x14ac:dyDescent="0.45">
      <c r="A105" t="s">
        <v>238</v>
      </c>
      <c r="B105">
        <v>12.2399</v>
      </c>
      <c r="C105" s="2">
        <v>123456789</v>
      </c>
      <c r="D105" s="2">
        <v>123456789</v>
      </c>
    </row>
    <row r="106" spans="1:5" x14ac:dyDescent="0.45">
      <c r="A106" t="s">
        <v>239</v>
      </c>
      <c r="B106">
        <v>13.5379</v>
      </c>
      <c r="C106" s="2">
        <v>123456789</v>
      </c>
      <c r="D106" s="2">
        <v>123456789</v>
      </c>
    </row>
    <row r="107" spans="1:5" x14ac:dyDescent="0.45">
      <c r="A107" t="s">
        <v>240</v>
      </c>
      <c r="B107">
        <v>13.6854</v>
      </c>
      <c r="C107" s="2">
        <v>123456789</v>
      </c>
      <c r="D107" s="2">
        <v>123456789</v>
      </c>
    </row>
    <row r="108" spans="1:5" x14ac:dyDescent="0.45">
      <c r="A108" t="s">
        <v>241</v>
      </c>
      <c r="B108">
        <v>14.1564</v>
      </c>
      <c r="C108" s="2">
        <v>123456789</v>
      </c>
      <c r="D108" s="2">
        <v>123456789</v>
      </c>
    </row>
    <row r="109" spans="1:5" x14ac:dyDescent="0.45">
      <c r="A109" t="s">
        <v>242</v>
      </c>
      <c r="B109">
        <v>14.721500000000001</v>
      </c>
      <c r="C109" s="2">
        <v>123456789</v>
      </c>
      <c r="D109" s="2">
        <v>123456789</v>
      </c>
    </row>
    <row r="110" spans="1:5" x14ac:dyDescent="0.45">
      <c r="A110" t="s">
        <v>243</v>
      </c>
      <c r="B110">
        <v>18.899999999999999</v>
      </c>
      <c r="C110" s="2">
        <v>123456789</v>
      </c>
      <c r="D110" s="2">
        <v>123456789</v>
      </c>
      <c r="E110" s="36"/>
    </row>
    <row r="111" spans="1:5" x14ac:dyDescent="0.45">
      <c r="A111" t="s">
        <v>244</v>
      </c>
      <c r="B111">
        <v>16.600000000000001</v>
      </c>
      <c r="C111" s="2">
        <v>123456789</v>
      </c>
      <c r="D111" s="2">
        <v>123456789</v>
      </c>
      <c r="E111" s="36"/>
    </row>
    <row r="112" spans="1:5" x14ac:dyDescent="0.45">
      <c r="A112" t="s">
        <v>245</v>
      </c>
      <c r="B112">
        <v>16.5</v>
      </c>
      <c r="C112" s="2">
        <v>123456789</v>
      </c>
      <c r="D112" s="2">
        <v>123456789</v>
      </c>
      <c r="E112" s="36"/>
    </row>
    <row r="113" spans="1:5" x14ac:dyDescent="0.45">
      <c r="A113" t="s">
        <v>246</v>
      </c>
      <c r="B113">
        <v>17.3</v>
      </c>
      <c r="C113" s="2">
        <v>123456789</v>
      </c>
      <c r="D113" s="2">
        <v>123456789</v>
      </c>
      <c r="E113" s="36"/>
    </row>
    <row r="114" spans="1:5" x14ac:dyDescent="0.45">
      <c r="A114" t="s">
        <v>247</v>
      </c>
      <c r="B114">
        <v>15.1</v>
      </c>
      <c r="C114" s="2">
        <v>123456789</v>
      </c>
      <c r="D114" s="2">
        <v>123456789</v>
      </c>
      <c r="E114" s="36"/>
    </row>
    <row r="115" spans="1:5" x14ac:dyDescent="0.45">
      <c r="A115" t="s">
        <v>248</v>
      </c>
      <c r="B115">
        <v>13</v>
      </c>
      <c r="C115" s="2">
        <v>123456789</v>
      </c>
      <c r="D115" s="2">
        <v>123456789</v>
      </c>
      <c r="E115" s="36"/>
    </row>
    <row r="116" spans="1:5" x14ac:dyDescent="0.45">
      <c r="A116" t="s">
        <v>249</v>
      </c>
      <c r="B116">
        <v>12.5</v>
      </c>
      <c r="C116" s="2">
        <v>123456789</v>
      </c>
      <c r="D116" s="2">
        <v>123456789</v>
      </c>
      <c r="E116" s="36"/>
    </row>
    <row r="117" spans="1:5" x14ac:dyDescent="0.45">
      <c r="A117" t="s">
        <v>250</v>
      </c>
      <c r="B117">
        <v>12.3</v>
      </c>
      <c r="C117" s="2">
        <v>123456789</v>
      </c>
      <c r="D117" s="2">
        <v>123456789</v>
      </c>
      <c r="E117" s="36"/>
    </row>
    <row r="118" spans="1:5" x14ac:dyDescent="0.45">
      <c r="A118" t="s">
        <v>251</v>
      </c>
      <c r="B118">
        <v>11.6</v>
      </c>
      <c r="C118" s="2">
        <v>123456789</v>
      </c>
      <c r="D118" s="2">
        <v>123456789</v>
      </c>
      <c r="E118" s="36"/>
    </row>
    <row r="119" spans="1:5" x14ac:dyDescent="0.45">
      <c r="A119" t="s">
        <v>252</v>
      </c>
      <c r="B119">
        <v>13.7</v>
      </c>
      <c r="C119" s="2">
        <v>123456789</v>
      </c>
      <c r="D119" s="2">
        <v>123456789</v>
      </c>
      <c r="E119" s="36"/>
    </row>
    <row r="120" spans="1:5" x14ac:dyDescent="0.45">
      <c r="A120" t="s">
        <v>253</v>
      </c>
      <c r="B120">
        <v>16.7</v>
      </c>
      <c r="C120" s="2">
        <v>123456789</v>
      </c>
      <c r="D120" s="2">
        <v>123456789</v>
      </c>
      <c r="E120" s="36"/>
    </row>
    <row r="121" spans="1:5" x14ac:dyDescent="0.45">
      <c r="A121" t="s">
        <v>254</v>
      </c>
      <c r="B121">
        <v>18.899999999999999</v>
      </c>
      <c r="C121" s="2">
        <v>123456789</v>
      </c>
      <c r="D121" s="2">
        <v>123456789</v>
      </c>
      <c r="E121" s="36"/>
    </row>
    <row r="122" spans="1:5" x14ac:dyDescent="0.45">
      <c r="A122" t="s">
        <v>255</v>
      </c>
      <c r="B122">
        <v>22.4</v>
      </c>
      <c r="C122" s="2">
        <v>123456789</v>
      </c>
      <c r="D122" s="2">
        <v>123456789</v>
      </c>
      <c r="E122" s="36"/>
    </row>
    <row r="123" spans="1:5" x14ac:dyDescent="0.45">
      <c r="A123" t="s">
        <v>256</v>
      </c>
      <c r="B123">
        <v>24</v>
      </c>
      <c r="C123" s="2">
        <v>123456789</v>
      </c>
      <c r="D123" s="2">
        <v>123456789</v>
      </c>
      <c r="E123" s="36"/>
    </row>
    <row r="124" spans="1:5" x14ac:dyDescent="0.45">
      <c r="A124" t="s">
        <v>257</v>
      </c>
      <c r="B124">
        <v>26.1</v>
      </c>
      <c r="C124" s="2">
        <v>123456789</v>
      </c>
      <c r="D124" s="2">
        <v>123456789</v>
      </c>
      <c r="E124" s="36"/>
    </row>
    <row r="125" spans="1:5" x14ac:dyDescent="0.45">
      <c r="A125" t="s">
        <v>258</v>
      </c>
      <c r="B125">
        <v>27</v>
      </c>
      <c r="C125" s="2">
        <v>123456789</v>
      </c>
      <c r="D125" s="2">
        <v>123456789</v>
      </c>
      <c r="E125" s="36"/>
    </row>
    <row r="126" spans="1:5" x14ac:dyDescent="0.45">
      <c r="A126" t="s">
        <v>259</v>
      </c>
      <c r="B126">
        <v>24</v>
      </c>
      <c r="C126" s="2">
        <v>123456789</v>
      </c>
      <c r="D126" s="2">
        <v>123456789</v>
      </c>
      <c r="E126" s="36"/>
    </row>
    <row r="127" spans="1:5" x14ac:dyDescent="0.45">
      <c r="A127" t="s">
        <v>260</v>
      </c>
      <c r="B127">
        <v>24.8</v>
      </c>
      <c r="C127" s="2">
        <v>123456789</v>
      </c>
      <c r="D127" s="2">
        <v>123456789</v>
      </c>
      <c r="E127" s="36"/>
    </row>
    <row r="128" spans="1:5" x14ac:dyDescent="0.45">
      <c r="A128" t="s">
        <v>261</v>
      </c>
      <c r="B128">
        <v>23.8</v>
      </c>
      <c r="C128" s="2">
        <v>123456789</v>
      </c>
      <c r="D128" s="2">
        <v>123456789</v>
      </c>
      <c r="E128" s="36"/>
    </row>
    <row r="129" spans="1:5" x14ac:dyDescent="0.45">
      <c r="A129" t="s">
        <v>262</v>
      </c>
      <c r="B129">
        <v>21</v>
      </c>
      <c r="C129" s="2">
        <v>123456789</v>
      </c>
      <c r="D129" s="2">
        <v>123456789</v>
      </c>
      <c r="E129" s="36"/>
    </row>
    <row r="130" spans="1:5" x14ac:dyDescent="0.45">
      <c r="A130" t="s">
        <v>263</v>
      </c>
      <c r="B130">
        <v>21.1</v>
      </c>
      <c r="C130" s="2">
        <v>123456789</v>
      </c>
      <c r="D130" s="2">
        <v>123456789</v>
      </c>
      <c r="E130" s="36"/>
    </row>
    <row r="131" spans="1:5" x14ac:dyDescent="0.45">
      <c r="A131" t="s">
        <v>264</v>
      </c>
      <c r="B131">
        <v>22.9</v>
      </c>
      <c r="C131" s="2">
        <v>123456789</v>
      </c>
      <c r="D131" s="2">
        <v>123456789</v>
      </c>
      <c r="E131" s="36"/>
    </row>
    <row r="132" spans="1:5" x14ac:dyDescent="0.45">
      <c r="A132" t="s">
        <v>265</v>
      </c>
      <c r="B132">
        <v>23.8</v>
      </c>
      <c r="C132" s="2">
        <v>123456789</v>
      </c>
      <c r="D132" s="2">
        <v>123456789</v>
      </c>
      <c r="E132" s="36"/>
    </row>
    <row r="133" spans="1:5" x14ac:dyDescent="0.45">
      <c r="A133" t="s">
        <v>266</v>
      </c>
      <c r="B133">
        <v>23.5</v>
      </c>
      <c r="C133" s="2">
        <v>123456789</v>
      </c>
      <c r="D133" s="2">
        <v>123456789</v>
      </c>
      <c r="E133" s="36"/>
    </row>
    <row r="134" spans="1:5" x14ac:dyDescent="0.45">
      <c r="A134" t="s">
        <v>267</v>
      </c>
      <c r="B134">
        <v>26.7</v>
      </c>
      <c r="C134" s="2">
        <v>123456789</v>
      </c>
      <c r="D134" s="2">
        <v>123456789</v>
      </c>
      <c r="E134" s="36"/>
    </row>
    <row r="135" spans="1:5" x14ac:dyDescent="0.45">
      <c r="A135" t="s">
        <v>268</v>
      </c>
      <c r="B135">
        <v>23.9</v>
      </c>
      <c r="C135" s="2">
        <v>123456789</v>
      </c>
      <c r="D135" s="2">
        <v>123456789</v>
      </c>
      <c r="E135" s="36"/>
    </row>
    <row r="136" spans="1:5" x14ac:dyDescent="0.45">
      <c r="A136" t="s">
        <v>269</v>
      </c>
      <c r="B136">
        <v>23.7</v>
      </c>
      <c r="C136" s="2">
        <v>123456789</v>
      </c>
      <c r="D136" s="2">
        <v>123456789</v>
      </c>
      <c r="E136" s="36"/>
    </row>
    <row r="137" spans="1:5" x14ac:dyDescent="0.45">
      <c r="A137" t="s">
        <v>270</v>
      </c>
      <c r="B137">
        <v>23.9</v>
      </c>
      <c r="C137" s="2">
        <v>123456789</v>
      </c>
      <c r="D137" s="2">
        <v>123456789</v>
      </c>
      <c r="E137" s="36"/>
    </row>
    <row r="138" spans="1:5" x14ac:dyDescent="0.45">
      <c r="A138" t="s">
        <v>271</v>
      </c>
      <c r="B138">
        <v>23.8</v>
      </c>
      <c r="C138" s="2">
        <v>123456789</v>
      </c>
      <c r="D138" s="2">
        <v>123456789</v>
      </c>
      <c r="E138" s="36"/>
    </row>
    <row r="139" spans="1:5" x14ac:dyDescent="0.45">
      <c r="A139" t="s">
        <v>272</v>
      </c>
      <c r="B139">
        <v>26</v>
      </c>
      <c r="C139" s="2">
        <v>123456789</v>
      </c>
      <c r="D139" s="2">
        <v>123456789</v>
      </c>
      <c r="E139" s="36"/>
    </row>
    <row r="140" spans="1:5" x14ac:dyDescent="0.45">
      <c r="A140" t="s">
        <v>273</v>
      </c>
      <c r="B140">
        <v>28.4</v>
      </c>
      <c r="C140" s="2">
        <v>123456789</v>
      </c>
      <c r="D140" s="2">
        <v>123456789</v>
      </c>
      <c r="E140" s="36"/>
    </row>
    <row r="141" spans="1:5" x14ac:dyDescent="0.45">
      <c r="A141" t="s">
        <v>274</v>
      </c>
      <c r="B141">
        <v>32</v>
      </c>
      <c r="C141" s="2">
        <v>123456789</v>
      </c>
      <c r="D141" s="2">
        <v>123456789</v>
      </c>
      <c r="E141" s="36"/>
    </row>
    <row r="142" spans="1:5" x14ac:dyDescent="0.45">
      <c r="A142" t="s">
        <v>275</v>
      </c>
      <c r="B142">
        <v>32.5</v>
      </c>
      <c r="C142" s="2">
        <v>123456789</v>
      </c>
      <c r="D142" s="2">
        <v>123456789</v>
      </c>
      <c r="E142" s="36"/>
    </row>
    <row r="143" spans="1:5" x14ac:dyDescent="0.45">
      <c r="A143" t="s">
        <v>276</v>
      </c>
      <c r="B143">
        <v>35.1</v>
      </c>
      <c r="C143" s="2">
        <v>123456789</v>
      </c>
      <c r="D143" s="2">
        <v>123456789</v>
      </c>
      <c r="E143" s="36"/>
    </row>
    <row r="144" spans="1:5" x14ac:dyDescent="0.45">
      <c r="A144" t="s">
        <v>277</v>
      </c>
      <c r="B144">
        <v>41.6</v>
      </c>
      <c r="C144" s="2">
        <v>123456789</v>
      </c>
      <c r="D144" s="2">
        <v>123456789</v>
      </c>
      <c r="E144" s="36"/>
    </row>
    <row r="145" spans="1:5" x14ac:dyDescent="0.45">
      <c r="A145" t="s">
        <v>278</v>
      </c>
      <c r="B145">
        <v>42.3</v>
      </c>
      <c r="C145" s="2">
        <v>123456789</v>
      </c>
      <c r="D145" s="2">
        <v>123456789</v>
      </c>
      <c r="E145" s="36"/>
    </row>
    <row r="146" spans="1:5" x14ac:dyDescent="0.45">
      <c r="A146" t="s">
        <v>279</v>
      </c>
      <c r="B146">
        <v>45.1</v>
      </c>
      <c r="C146" s="2">
        <v>123456789</v>
      </c>
      <c r="D146" s="2">
        <v>123456789</v>
      </c>
      <c r="E146" s="36"/>
    </row>
    <row r="147" spans="1:5" x14ac:dyDescent="0.45">
      <c r="A147" t="s">
        <v>280</v>
      </c>
      <c r="B147">
        <v>47.5</v>
      </c>
      <c r="C147" s="2">
        <v>123456789</v>
      </c>
      <c r="D147" s="2">
        <v>123456789</v>
      </c>
      <c r="E147" s="36"/>
    </row>
    <row r="148" spans="1:5" x14ac:dyDescent="0.45">
      <c r="A148" t="s">
        <v>281</v>
      </c>
      <c r="B148">
        <v>46.7</v>
      </c>
      <c r="C148" s="2">
        <v>123456789</v>
      </c>
      <c r="D148" s="2">
        <v>123456789</v>
      </c>
      <c r="E148" s="36"/>
    </row>
    <row r="149" spans="1:5" x14ac:dyDescent="0.45">
      <c r="A149" t="s">
        <v>282</v>
      </c>
      <c r="B149">
        <v>39.700000000000003</v>
      </c>
      <c r="C149" s="2">
        <v>123456789</v>
      </c>
      <c r="D149" s="2">
        <v>123456789</v>
      </c>
      <c r="E149" s="36"/>
    </row>
    <row r="150" spans="1:5" x14ac:dyDescent="0.45">
      <c r="A150" t="s">
        <v>283</v>
      </c>
      <c r="B150">
        <v>37.6</v>
      </c>
      <c r="C150" s="2">
        <v>123456789</v>
      </c>
      <c r="D150" s="2">
        <v>123456789</v>
      </c>
      <c r="E150" s="36"/>
    </row>
    <row r="151" spans="1:5" x14ac:dyDescent="0.45">
      <c r="A151" t="s">
        <v>284</v>
      </c>
      <c r="B151">
        <v>40</v>
      </c>
      <c r="C151" s="2">
        <v>123456789</v>
      </c>
      <c r="D151" s="2">
        <v>123456789</v>
      </c>
      <c r="E151" s="36"/>
    </row>
    <row r="152" spans="1:5" x14ac:dyDescent="0.45">
      <c r="A152" t="s">
        <v>285</v>
      </c>
      <c r="B152">
        <v>43</v>
      </c>
      <c r="C152" s="2">
        <v>123456789</v>
      </c>
      <c r="D152" s="2">
        <v>123456789</v>
      </c>
      <c r="E152" s="36"/>
    </row>
    <row r="153" spans="1:5" x14ac:dyDescent="0.45">
      <c r="A153" t="s">
        <v>286</v>
      </c>
      <c r="B153">
        <v>49.9</v>
      </c>
      <c r="C153" s="2">
        <v>123456789</v>
      </c>
      <c r="D153" s="2">
        <v>123456789</v>
      </c>
      <c r="E153" s="36"/>
    </row>
    <row r="154" spans="1:5" x14ac:dyDescent="0.45">
      <c r="A154" t="s">
        <v>287</v>
      </c>
      <c r="B154">
        <v>56.2</v>
      </c>
      <c r="C154" s="2">
        <v>123456789</v>
      </c>
      <c r="D154" s="2">
        <v>123456789</v>
      </c>
      <c r="E154" s="36"/>
    </row>
    <row r="155" spans="1:5" x14ac:dyDescent="0.45">
      <c r="A155" t="s">
        <v>288</v>
      </c>
      <c r="B155">
        <v>66.3</v>
      </c>
      <c r="C155" s="2">
        <v>123456789</v>
      </c>
      <c r="D155" s="2">
        <v>123456789</v>
      </c>
      <c r="E155" s="36"/>
    </row>
    <row r="156" spans="1:5" x14ac:dyDescent="0.45">
      <c r="A156" t="s">
        <v>289</v>
      </c>
      <c r="B156">
        <v>73</v>
      </c>
      <c r="C156" s="2">
        <v>123456789</v>
      </c>
      <c r="D156" s="2">
        <v>123456789</v>
      </c>
      <c r="E156" s="36"/>
    </row>
    <row r="157" spans="1:5" x14ac:dyDescent="0.45">
      <c r="A157" t="s">
        <v>290</v>
      </c>
      <c r="B157">
        <v>56.6</v>
      </c>
      <c r="C157" s="2">
        <v>123456789</v>
      </c>
      <c r="D157" s="2">
        <v>123456789</v>
      </c>
      <c r="E157" s="36"/>
    </row>
    <row r="158" spans="1:5" x14ac:dyDescent="0.45">
      <c r="A158" t="s">
        <v>291</v>
      </c>
      <c r="B158">
        <v>44.4</v>
      </c>
      <c r="C158" s="2">
        <v>123456789</v>
      </c>
      <c r="D158" s="2">
        <v>123456789</v>
      </c>
      <c r="E158" s="36"/>
    </row>
    <row r="159" spans="1:5" x14ac:dyDescent="0.45">
      <c r="A159" t="s">
        <v>292</v>
      </c>
      <c r="B159">
        <v>44.9</v>
      </c>
      <c r="C159" s="2">
        <v>123456789</v>
      </c>
      <c r="D159" s="2">
        <v>123456789</v>
      </c>
      <c r="E159" s="36"/>
    </row>
    <row r="160" spans="1:5" x14ac:dyDescent="0.45">
      <c r="A160" t="s">
        <v>293</v>
      </c>
      <c r="B160">
        <v>46</v>
      </c>
      <c r="C160" s="2">
        <v>123456789</v>
      </c>
      <c r="D160" s="2">
        <v>123456789</v>
      </c>
      <c r="E160" s="36"/>
    </row>
    <row r="161" spans="1:5" x14ac:dyDescent="0.45">
      <c r="A161" t="s">
        <v>294</v>
      </c>
      <c r="B161">
        <v>47.5</v>
      </c>
      <c r="C161" s="2">
        <v>123456789</v>
      </c>
      <c r="D161" s="2">
        <v>123456789</v>
      </c>
      <c r="E161" s="36"/>
    </row>
    <row r="162" spans="1:5" x14ac:dyDescent="0.45">
      <c r="A162" t="s">
        <v>295</v>
      </c>
      <c r="B162">
        <v>54.7</v>
      </c>
      <c r="C162" s="2">
        <v>123456789</v>
      </c>
      <c r="D162" s="2">
        <v>123456789</v>
      </c>
      <c r="E162" s="36"/>
    </row>
    <row r="163" spans="1:5" x14ac:dyDescent="0.45">
      <c r="A163" t="s">
        <v>296</v>
      </c>
      <c r="B163">
        <v>58.5</v>
      </c>
      <c r="C163" s="2">
        <v>123456789</v>
      </c>
      <c r="D163" s="2">
        <v>123456789</v>
      </c>
      <c r="E163" s="36"/>
    </row>
    <row r="164" spans="1:5" x14ac:dyDescent="0.45">
      <c r="A164" t="s">
        <v>297</v>
      </c>
      <c r="B164">
        <v>57.6</v>
      </c>
      <c r="C164" s="2">
        <v>123456789</v>
      </c>
      <c r="D164" s="2">
        <v>123456789</v>
      </c>
      <c r="E164" s="36"/>
    </row>
    <row r="165" spans="1:5" x14ac:dyDescent="0.45">
      <c r="A165" t="s">
        <v>298</v>
      </c>
      <c r="B165">
        <v>60.7</v>
      </c>
      <c r="C165" s="2">
        <v>123456789</v>
      </c>
      <c r="D165" s="2">
        <v>123456789</v>
      </c>
      <c r="E165" s="36"/>
    </row>
    <row r="166" spans="1:5" x14ac:dyDescent="0.45">
      <c r="A166" t="s">
        <v>299</v>
      </c>
      <c r="B166">
        <v>71.5</v>
      </c>
      <c r="C166" s="2">
        <v>123456789</v>
      </c>
      <c r="D166" s="2">
        <v>123456789</v>
      </c>
      <c r="E166" s="36"/>
    </row>
    <row r="167" spans="1:5" x14ac:dyDescent="0.45">
      <c r="A167" t="s">
        <v>300</v>
      </c>
      <c r="B167">
        <v>78.099999999999994</v>
      </c>
      <c r="C167" s="2">
        <v>123456789</v>
      </c>
      <c r="D167" s="2">
        <v>123456789</v>
      </c>
      <c r="E167" s="36"/>
    </row>
    <row r="168" spans="1:5" x14ac:dyDescent="0.45">
      <c r="A168" t="s">
        <v>301</v>
      </c>
      <c r="B168">
        <v>78.099999999999994</v>
      </c>
      <c r="C168" s="2">
        <v>123456789</v>
      </c>
      <c r="D168" s="2">
        <v>123456789</v>
      </c>
      <c r="E168" s="36"/>
    </row>
    <row r="169" spans="1:5" x14ac:dyDescent="0.45">
      <c r="A169" t="s">
        <v>302</v>
      </c>
      <c r="B169">
        <v>80.400000000000006</v>
      </c>
      <c r="C169" s="2">
        <v>123456789</v>
      </c>
      <c r="D169" s="2">
        <v>123456789</v>
      </c>
      <c r="E169" s="36"/>
    </row>
    <row r="170" spans="1:5" x14ac:dyDescent="0.45">
      <c r="A170" t="s">
        <v>303</v>
      </c>
      <c r="B170">
        <v>81.099999999999994</v>
      </c>
      <c r="C170" s="2">
        <v>123456789</v>
      </c>
      <c r="D170" s="2">
        <v>123456789</v>
      </c>
      <c r="E170" s="36"/>
    </row>
    <row r="171" spans="1:5" x14ac:dyDescent="0.45">
      <c r="A171" t="s">
        <v>304</v>
      </c>
      <c r="B171">
        <v>79</v>
      </c>
      <c r="C171" s="2">
        <v>123456789</v>
      </c>
      <c r="D171" s="2">
        <v>123456789</v>
      </c>
      <c r="E171" s="36"/>
    </row>
    <row r="172" spans="1:5" x14ac:dyDescent="0.45">
      <c r="A172" t="s">
        <v>305</v>
      </c>
      <c r="B172">
        <v>77.3</v>
      </c>
      <c r="C172" s="2">
        <v>123456789</v>
      </c>
      <c r="D172" s="2">
        <v>123456789</v>
      </c>
      <c r="E172" s="36"/>
    </row>
    <row r="173" spans="1:5" x14ac:dyDescent="0.45">
      <c r="A173" t="s">
        <v>306</v>
      </c>
      <c r="B173">
        <v>78.900000000000006</v>
      </c>
      <c r="C173" s="2">
        <v>123456789</v>
      </c>
      <c r="D173" s="2">
        <v>123456789</v>
      </c>
      <c r="E173" s="36"/>
    </row>
    <row r="174" spans="1:5" x14ac:dyDescent="0.45">
      <c r="A174" t="s">
        <v>307</v>
      </c>
      <c r="B174">
        <v>80.8</v>
      </c>
      <c r="C174" s="2">
        <v>123456789</v>
      </c>
      <c r="D174" s="2">
        <v>123456789</v>
      </c>
      <c r="E174" s="36"/>
    </row>
    <row r="175" spans="1:5" x14ac:dyDescent="0.45">
      <c r="A175" t="s">
        <v>308</v>
      </c>
      <c r="B175">
        <v>77.099999999999994</v>
      </c>
      <c r="C175" s="2">
        <v>123456789</v>
      </c>
      <c r="D175" s="2">
        <v>123456789</v>
      </c>
      <c r="E175" s="36"/>
    </row>
    <row r="176" spans="1:5" x14ac:dyDescent="0.45">
      <c r="A176" t="s">
        <v>309</v>
      </c>
      <c r="B176">
        <v>77.900000000000006</v>
      </c>
      <c r="C176" s="2">
        <v>123456789</v>
      </c>
      <c r="D176" s="2">
        <v>123456789</v>
      </c>
      <c r="E176" s="36"/>
    </row>
    <row r="177" spans="1:5" x14ac:dyDescent="0.45">
      <c r="A177" t="s">
        <v>310</v>
      </c>
      <c r="B177">
        <v>76.2</v>
      </c>
      <c r="C177" s="2">
        <v>123456789</v>
      </c>
      <c r="D177" s="2">
        <v>123456789</v>
      </c>
      <c r="E177" s="36"/>
    </row>
    <row r="178" spans="1:5" x14ac:dyDescent="0.45">
      <c r="A178" t="s">
        <v>311</v>
      </c>
      <c r="B178">
        <v>73.5</v>
      </c>
      <c r="C178" s="2">
        <v>123456789</v>
      </c>
      <c r="D178" s="2">
        <v>123456789</v>
      </c>
      <c r="E178" s="36"/>
    </row>
    <row r="179" spans="1:5" x14ac:dyDescent="0.45">
      <c r="A179" t="s">
        <v>312</v>
      </c>
      <c r="B179">
        <v>70.900000000000006</v>
      </c>
      <c r="C179" s="2">
        <v>123456789</v>
      </c>
      <c r="D179" s="2">
        <v>123456789</v>
      </c>
      <c r="E179" s="36"/>
    </row>
    <row r="180" spans="1:5" x14ac:dyDescent="0.45">
      <c r="A180" t="s">
        <v>313</v>
      </c>
      <c r="B180">
        <v>67.8</v>
      </c>
      <c r="C180" s="2">
        <v>123456789</v>
      </c>
      <c r="D180" s="2">
        <v>123456789</v>
      </c>
      <c r="E180" s="36"/>
    </row>
    <row r="181" spans="1:5" x14ac:dyDescent="0.45">
      <c r="A181" t="s">
        <v>314</v>
      </c>
      <c r="B181">
        <v>61.4</v>
      </c>
      <c r="C181" s="2">
        <v>123456789</v>
      </c>
      <c r="D181" s="2">
        <v>123456789</v>
      </c>
      <c r="E181" s="36"/>
    </row>
    <row r="182" spans="1:5" x14ac:dyDescent="0.45">
      <c r="A182" t="s">
        <v>315</v>
      </c>
      <c r="B182">
        <v>47.9</v>
      </c>
      <c r="C182" s="2">
        <v>123456789</v>
      </c>
      <c r="D182" s="2">
        <v>123456789</v>
      </c>
      <c r="E182" s="36"/>
    </row>
    <row r="183" spans="1:5" x14ac:dyDescent="0.45">
      <c r="A183" t="s">
        <v>316</v>
      </c>
      <c r="B183">
        <v>50.8</v>
      </c>
      <c r="C183" s="2">
        <v>123456789</v>
      </c>
      <c r="D183" s="2">
        <v>123456789</v>
      </c>
      <c r="E183" s="36"/>
    </row>
    <row r="184" spans="1:5" x14ac:dyDescent="0.45">
      <c r="A184" t="s">
        <v>317</v>
      </c>
      <c r="B184">
        <v>45.9</v>
      </c>
      <c r="C184" s="2">
        <v>123456789</v>
      </c>
      <c r="D184" s="2">
        <v>123456789</v>
      </c>
      <c r="E184" s="36"/>
    </row>
    <row r="185" spans="1:5" x14ac:dyDescent="0.45">
      <c r="A185" t="s">
        <v>318</v>
      </c>
      <c r="B185">
        <v>38.9</v>
      </c>
      <c r="C185" s="2">
        <v>123456789</v>
      </c>
      <c r="D185" s="2">
        <v>123456789</v>
      </c>
      <c r="E185" s="36"/>
    </row>
    <row r="186" spans="1:5" x14ac:dyDescent="0.45">
      <c r="A186" t="s">
        <v>319</v>
      </c>
      <c r="B186">
        <v>32.4</v>
      </c>
      <c r="C186" s="2">
        <v>123456789</v>
      </c>
      <c r="D186" s="2">
        <v>123456789</v>
      </c>
      <c r="E186" s="36"/>
    </row>
    <row r="187" spans="1:5" x14ac:dyDescent="0.45">
      <c r="A187" t="s">
        <v>320</v>
      </c>
      <c r="B187">
        <v>38.9</v>
      </c>
      <c r="C187" s="2">
        <v>123456789</v>
      </c>
      <c r="D187" s="2">
        <v>123456789</v>
      </c>
      <c r="E187" s="36"/>
    </row>
    <row r="188" spans="1:5" x14ac:dyDescent="0.45">
      <c r="A188" t="s">
        <v>321</v>
      </c>
      <c r="B188">
        <v>41.9</v>
      </c>
      <c r="C188" s="2">
        <v>123456789</v>
      </c>
      <c r="D188" s="2">
        <v>123456789</v>
      </c>
      <c r="E188" s="36"/>
    </row>
    <row r="189" spans="1:5" x14ac:dyDescent="0.45">
      <c r="A189" t="s">
        <v>322</v>
      </c>
      <c r="B189">
        <v>49</v>
      </c>
      <c r="C189" s="2">
        <v>123456789</v>
      </c>
      <c r="D189" s="2">
        <v>123456789</v>
      </c>
      <c r="E189" s="36"/>
    </row>
    <row r="190" spans="1:5" x14ac:dyDescent="0.45">
      <c r="A190" t="s">
        <v>323</v>
      </c>
      <c r="B190">
        <v>54.6</v>
      </c>
      <c r="C190" s="2">
        <v>123456789</v>
      </c>
      <c r="D190" s="2">
        <v>123456789</v>
      </c>
      <c r="E190" s="36"/>
    </row>
    <row r="191" spans="1:5" x14ac:dyDescent="0.45">
      <c r="A191" t="s">
        <v>324</v>
      </c>
      <c r="B191">
        <v>49.9</v>
      </c>
      <c r="C191" s="2">
        <v>123456789</v>
      </c>
      <c r="D191" s="2">
        <v>123456789</v>
      </c>
      <c r="E191" s="36"/>
    </row>
    <row r="192" spans="1:5" x14ac:dyDescent="0.45">
      <c r="A192" t="s">
        <v>325</v>
      </c>
      <c r="B192">
        <v>49.3</v>
      </c>
      <c r="C192" s="2">
        <v>123456789</v>
      </c>
      <c r="D192" s="2">
        <v>123456789</v>
      </c>
      <c r="E192" s="36"/>
    </row>
    <row r="193" spans="1:5" x14ac:dyDescent="0.45">
      <c r="A193" t="s">
        <v>326</v>
      </c>
      <c r="B193">
        <v>55.7</v>
      </c>
      <c r="C193" s="2">
        <v>123456789</v>
      </c>
      <c r="D193" s="2">
        <v>123456789</v>
      </c>
      <c r="E193" s="36"/>
    </row>
    <row r="194" spans="1:5" x14ac:dyDescent="0.45">
      <c r="A194" t="s">
        <v>327</v>
      </c>
      <c r="B194">
        <v>61.7</v>
      </c>
      <c r="C194" s="2">
        <v>123456789</v>
      </c>
      <c r="D194" s="2">
        <v>123456789</v>
      </c>
      <c r="E194" s="36"/>
    </row>
    <row r="195" spans="1:5" x14ac:dyDescent="0.45">
      <c r="A195" t="s">
        <v>328</v>
      </c>
      <c r="B195">
        <v>64.5</v>
      </c>
      <c r="C195" s="2">
        <v>123456789</v>
      </c>
      <c r="D195" s="2">
        <v>123456789</v>
      </c>
      <c r="E195" s="36"/>
    </row>
    <row r="196" spans="1:5" x14ac:dyDescent="0.45">
      <c r="A196" t="s">
        <v>329</v>
      </c>
      <c r="B196">
        <v>69.7</v>
      </c>
      <c r="C196" s="2">
        <v>123456789</v>
      </c>
      <c r="D196" s="2">
        <v>123456789</v>
      </c>
      <c r="E196" s="36"/>
    </row>
    <row r="197" spans="1:5" x14ac:dyDescent="0.45">
      <c r="A197" t="s">
        <v>330</v>
      </c>
      <c r="B197">
        <v>68.8</v>
      </c>
      <c r="C197" s="2">
        <v>123456789</v>
      </c>
      <c r="D197" s="2">
        <v>123456789</v>
      </c>
      <c r="E197" s="36"/>
    </row>
    <row r="198" spans="1:5" x14ac:dyDescent="0.45">
      <c r="A198" t="s">
        <v>331</v>
      </c>
      <c r="B198">
        <v>60.4</v>
      </c>
      <c r="C198" s="2">
        <v>123456789</v>
      </c>
      <c r="D198" s="2">
        <v>123456789</v>
      </c>
      <c r="E198" s="36"/>
    </row>
    <row r="199" spans="1:5" x14ac:dyDescent="0.45">
      <c r="A199" t="s">
        <v>332</v>
      </c>
      <c r="B199">
        <v>62.6</v>
      </c>
      <c r="C199" s="2">
        <v>123456789</v>
      </c>
      <c r="D199" s="2">
        <v>123456789</v>
      </c>
      <c r="E199" s="36"/>
    </row>
    <row r="200" spans="1:5" x14ac:dyDescent="0.45">
      <c r="A200" t="s">
        <v>333</v>
      </c>
      <c r="B200">
        <v>60</v>
      </c>
      <c r="C200" s="2">
        <v>123456789</v>
      </c>
      <c r="D200" s="2">
        <v>123456789</v>
      </c>
      <c r="E200" s="36"/>
    </row>
    <row r="201" spans="1:5" x14ac:dyDescent="0.45">
      <c r="A201" t="s">
        <v>334</v>
      </c>
      <c r="B201">
        <v>58</v>
      </c>
      <c r="C201" s="2">
        <v>123456789</v>
      </c>
      <c r="D201" s="2">
        <v>123456789</v>
      </c>
      <c r="E201" s="36"/>
    </row>
    <row r="202" spans="1:5" x14ac:dyDescent="0.45">
      <c r="A202" t="s">
        <v>335</v>
      </c>
      <c r="B202">
        <v>50.8</v>
      </c>
      <c r="C202" s="2">
        <v>123456789</v>
      </c>
      <c r="D202" s="2">
        <v>123456789</v>
      </c>
      <c r="E202" s="36"/>
    </row>
    <row r="203" spans="1:5" x14ac:dyDescent="0.45">
      <c r="A203" t="s">
        <v>336</v>
      </c>
      <c r="B203">
        <v>32.9</v>
      </c>
      <c r="C203" s="2">
        <v>123456789</v>
      </c>
      <c r="D203" s="2">
        <v>123456789</v>
      </c>
      <c r="E203" s="36"/>
    </row>
    <row r="204" spans="1:5" x14ac:dyDescent="0.45">
      <c r="A204" t="s">
        <v>337</v>
      </c>
      <c r="B204">
        <v>39.1</v>
      </c>
      <c r="C204" s="2">
        <v>123456789</v>
      </c>
      <c r="D204" s="2">
        <v>123456789</v>
      </c>
      <c r="E204" s="36"/>
    </row>
    <row r="205" spans="1:5" x14ac:dyDescent="0.45">
      <c r="A205" t="s">
        <v>338</v>
      </c>
      <c r="B205">
        <v>42.8</v>
      </c>
      <c r="C205" s="2">
        <v>123456789</v>
      </c>
      <c r="D205" s="2">
        <v>123456789</v>
      </c>
      <c r="E205" s="36"/>
    </row>
    <row r="206" spans="1:5" x14ac:dyDescent="0.45">
      <c r="A206" t="s">
        <v>339</v>
      </c>
      <c r="B206">
        <v>53.2</v>
      </c>
      <c r="C206" s="2">
        <v>123456789</v>
      </c>
      <c r="D206" s="2">
        <v>123456789</v>
      </c>
      <c r="E206" s="36"/>
    </row>
    <row r="207" spans="1:5" x14ac:dyDescent="0.45">
      <c r="A207" t="s">
        <v>340</v>
      </c>
      <c r="B207">
        <v>65.099999999999994</v>
      </c>
      <c r="C207" s="2">
        <v>123456789</v>
      </c>
      <c r="D207" s="2">
        <v>123456789</v>
      </c>
      <c r="E207" s="36"/>
    </row>
    <row r="208" spans="1:5" x14ac:dyDescent="0.45">
      <c r="A208" t="s">
        <v>341</v>
      </c>
      <c r="B208">
        <v>70.400000000000006</v>
      </c>
      <c r="C208" s="2">
        <v>123456789</v>
      </c>
      <c r="D208" s="2">
        <v>123456789</v>
      </c>
      <c r="E208" s="36"/>
    </row>
    <row r="209" spans="1:5" x14ac:dyDescent="0.45">
      <c r="A209" t="s">
        <v>342</v>
      </c>
      <c r="B209">
        <v>98.7</v>
      </c>
      <c r="C209" s="2">
        <v>123456789</v>
      </c>
      <c r="D209" s="2">
        <v>123456789</v>
      </c>
      <c r="E209" s="36"/>
    </row>
    <row r="210" spans="1:5" x14ac:dyDescent="0.45">
      <c r="A210" t="s">
        <v>343</v>
      </c>
      <c r="B210">
        <v>115.7</v>
      </c>
      <c r="C210" s="2">
        <v>123456789</v>
      </c>
      <c r="D210" s="2">
        <v>123456789</v>
      </c>
      <c r="E210" s="36"/>
    </row>
    <row r="211" spans="1:5" x14ac:dyDescent="0.45">
      <c r="A211" t="s">
        <v>344</v>
      </c>
      <c r="B211">
        <v>142.69999999999999</v>
      </c>
      <c r="C211" s="2">
        <v>123456789</v>
      </c>
      <c r="D211" s="2">
        <v>123456789</v>
      </c>
      <c r="E211" s="36"/>
    </row>
    <row r="212" spans="1:5" x14ac:dyDescent="0.45">
      <c r="A212" t="s">
        <v>345</v>
      </c>
      <c r="B212">
        <v>146.30000000000001</v>
      </c>
      <c r="C212" s="2">
        <v>123456789</v>
      </c>
      <c r="D212" s="2">
        <v>123456789</v>
      </c>
      <c r="E212" s="36"/>
    </row>
    <row r="213" spans="1:5" x14ac:dyDescent="0.45">
      <c r="A213" t="s">
        <v>346</v>
      </c>
      <c r="B213">
        <v>119.9</v>
      </c>
      <c r="C213" s="2">
        <v>123456789</v>
      </c>
      <c r="D213" s="2">
        <v>123456789</v>
      </c>
      <c r="E213" s="36"/>
    </row>
    <row r="214" spans="1:5" x14ac:dyDescent="0.45">
      <c r="A214" t="s">
        <v>347</v>
      </c>
      <c r="B214">
        <v>110.8</v>
      </c>
      <c r="C214" s="2">
        <v>123456789</v>
      </c>
      <c r="D214" s="2">
        <v>123456789</v>
      </c>
      <c r="E214" s="36"/>
    </row>
    <row r="215" spans="1:5" x14ac:dyDescent="0.45">
      <c r="A215" t="s">
        <v>348</v>
      </c>
      <c r="B215">
        <v>97.5</v>
      </c>
      <c r="C215" s="2">
        <v>123456789</v>
      </c>
      <c r="D215" s="2">
        <v>123456789</v>
      </c>
      <c r="E215" s="36"/>
    </row>
    <row r="216" spans="1:5" x14ac:dyDescent="0.45">
      <c r="A216" t="s">
        <v>349</v>
      </c>
      <c r="B216">
        <v>92.6</v>
      </c>
      <c r="C216" s="2">
        <v>123456789</v>
      </c>
      <c r="D216" s="2">
        <v>123456789</v>
      </c>
      <c r="E216" s="36"/>
    </row>
    <row r="217" spans="1:5" x14ac:dyDescent="0.45">
      <c r="A217" t="s">
        <v>350</v>
      </c>
      <c r="B217">
        <v>97.8</v>
      </c>
      <c r="C217" s="2">
        <v>123456789</v>
      </c>
      <c r="D217" s="2">
        <v>123456789</v>
      </c>
      <c r="E217" s="36"/>
    </row>
    <row r="218" spans="1:5" x14ac:dyDescent="0.45">
      <c r="A218" t="s">
        <v>351</v>
      </c>
      <c r="B218">
        <v>88.7</v>
      </c>
      <c r="C218" s="2">
        <v>123456789</v>
      </c>
      <c r="D218" s="2">
        <v>123456789</v>
      </c>
      <c r="E218" s="36"/>
    </row>
    <row r="219" spans="1:5" x14ac:dyDescent="0.45">
      <c r="A219" t="s">
        <v>352</v>
      </c>
      <c r="B219">
        <v>94.7</v>
      </c>
      <c r="C219" s="2">
        <v>123456789</v>
      </c>
      <c r="D219" s="2">
        <v>123456789</v>
      </c>
      <c r="E219" s="36"/>
    </row>
    <row r="220" spans="1:5" x14ac:dyDescent="0.45">
      <c r="A220" t="s">
        <v>353</v>
      </c>
      <c r="B220">
        <v>84.9</v>
      </c>
      <c r="C220" s="2">
        <v>123456789</v>
      </c>
      <c r="D220" s="2">
        <v>123456789</v>
      </c>
      <c r="E220" s="36"/>
    </row>
    <row r="221" spans="1:5" x14ac:dyDescent="0.45">
      <c r="A221" t="s">
        <v>354</v>
      </c>
      <c r="B221">
        <v>82</v>
      </c>
      <c r="C221" s="2">
        <v>123456789</v>
      </c>
      <c r="D221" s="2">
        <v>123456789</v>
      </c>
      <c r="E221" s="36"/>
    </row>
    <row r="222" spans="1:5" x14ac:dyDescent="0.45">
      <c r="A222" t="s">
        <v>355</v>
      </c>
      <c r="B222">
        <v>90.1</v>
      </c>
      <c r="C222" s="2">
        <v>123456789</v>
      </c>
      <c r="D222" s="2">
        <v>123456789</v>
      </c>
      <c r="E222" s="36"/>
    </row>
    <row r="223" spans="1:5" x14ac:dyDescent="0.45">
      <c r="A223" t="s">
        <v>356</v>
      </c>
      <c r="B223">
        <v>78.7</v>
      </c>
      <c r="C223" s="2">
        <v>123456789</v>
      </c>
      <c r="D223" s="2">
        <v>123456789</v>
      </c>
      <c r="E223" s="36"/>
    </row>
    <row r="224" spans="1:5" x14ac:dyDescent="0.45">
      <c r="A224" t="s">
        <v>357</v>
      </c>
      <c r="B224">
        <v>74.099999999999994</v>
      </c>
      <c r="C224" s="2">
        <v>123456789</v>
      </c>
      <c r="D224" s="2">
        <v>123456789</v>
      </c>
    </row>
    <row r="225" spans="1:4" x14ac:dyDescent="0.45">
      <c r="A225" s="40" t="s">
        <v>438</v>
      </c>
      <c r="B225" s="40">
        <v>70.400000000000006</v>
      </c>
      <c r="C225" s="2">
        <v>123456789</v>
      </c>
      <c r="D225" s="2">
        <v>123456789</v>
      </c>
    </row>
    <row r="226" spans="1:4" x14ac:dyDescent="0.45">
      <c r="A226" s="40" t="s">
        <v>441</v>
      </c>
      <c r="B226" s="40">
        <v>70.400000000000006</v>
      </c>
      <c r="C226" s="2">
        <v>123456789</v>
      </c>
      <c r="D226" s="2">
        <v>123456789</v>
      </c>
    </row>
  </sheetData>
  <phoneticPr fontId="3"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5382-4FC4-47A4-A7C0-98D8D314388C}">
  <sheetPr>
    <tabColor theme="9" tint="0.79998168889431442"/>
  </sheetPr>
  <dimension ref="A1:D226"/>
  <sheetViews>
    <sheetView topLeftCell="A209" workbookViewId="0">
      <selection activeCell="G220" sqref="G220"/>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v>23.278847906665856</v>
      </c>
      <c r="C42" s="2">
        <v>123456789</v>
      </c>
      <c r="D42" s="2">
        <v>123456789</v>
      </c>
    </row>
    <row r="43" spans="1:4" x14ac:dyDescent="0.45">
      <c r="A43" t="s">
        <v>176</v>
      </c>
      <c r="B43">
        <v>23.278847906665856</v>
      </c>
      <c r="C43" s="2">
        <v>123456789</v>
      </c>
      <c r="D43" s="2">
        <v>123456789</v>
      </c>
    </row>
    <row r="44" spans="1:4" x14ac:dyDescent="0.45">
      <c r="A44" t="s">
        <v>177</v>
      </c>
      <c r="B44">
        <v>23.278847906665856</v>
      </c>
      <c r="C44" s="2">
        <v>123456789</v>
      </c>
      <c r="D44" s="2">
        <v>123456789</v>
      </c>
    </row>
    <row r="45" spans="1:4" x14ac:dyDescent="0.45">
      <c r="A45" t="s">
        <v>178</v>
      </c>
      <c r="B45">
        <v>23.278847906665856</v>
      </c>
      <c r="C45" s="2">
        <v>123456789</v>
      </c>
      <c r="D45" s="2">
        <v>123456789</v>
      </c>
    </row>
    <row r="46" spans="1:4" x14ac:dyDescent="0.45">
      <c r="A46" t="s">
        <v>179</v>
      </c>
      <c r="B46">
        <f>(import_deflator_fuel!B46/import_deflator_fuel!B42-1)*100</f>
        <v>23.278847906665856</v>
      </c>
      <c r="C46" s="2">
        <v>123456789</v>
      </c>
      <c r="D46" s="2">
        <v>123456789</v>
      </c>
    </row>
    <row r="47" spans="1:4" x14ac:dyDescent="0.45">
      <c r="A47" t="s">
        <v>180</v>
      </c>
      <c r="B47">
        <f>(import_deflator_fuel!B47/import_deflator_fuel!B43-1)*100</f>
        <v>20.14231109426332</v>
      </c>
      <c r="C47" s="2">
        <v>123456789</v>
      </c>
      <c r="D47" s="2">
        <v>123456789</v>
      </c>
    </row>
    <row r="48" spans="1:4" x14ac:dyDescent="0.45">
      <c r="A48" t="s">
        <v>181</v>
      </c>
      <c r="B48">
        <f>(import_deflator_fuel!B48/import_deflator_fuel!B44-1)*100</f>
        <v>29.856899353866883</v>
      </c>
      <c r="C48" s="2">
        <v>123456789</v>
      </c>
      <c r="D48" s="2">
        <v>123456789</v>
      </c>
    </row>
    <row r="49" spans="1:4" x14ac:dyDescent="0.45">
      <c r="A49" t="s">
        <v>182</v>
      </c>
      <c r="B49">
        <f>(import_deflator_fuel!B49/import_deflator_fuel!B45-1)*100</f>
        <v>30.562664702263874</v>
      </c>
      <c r="C49" s="2">
        <v>123456789</v>
      </c>
      <c r="D49" s="2">
        <v>123456789</v>
      </c>
    </row>
    <row r="50" spans="1:4" x14ac:dyDescent="0.45">
      <c r="A50" t="s">
        <v>183</v>
      </c>
      <c r="B50">
        <f>(import_deflator_fuel!B50/import_deflator_fuel!B46-1)*100</f>
        <v>27.375788643533138</v>
      </c>
      <c r="C50" s="2">
        <v>123456789</v>
      </c>
      <c r="D50" s="2">
        <v>123456789</v>
      </c>
    </row>
    <row r="51" spans="1:4" x14ac:dyDescent="0.45">
      <c r="A51" t="s">
        <v>184</v>
      </c>
      <c r="B51">
        <f>(import_deflator_fuel!B51/import_deflator_fuel!B47-1)*100</f>
        <v>13.194065562778956</v>
      </c>
      <c r="C51" s="2">
        <v>123456789</v>
      </c>
      <c r="D51" s="2">
        <v>123456789</v>
      </c>
    </row>
    <row r="52" spans="1:4" x14ac:dyDescent="0.45">
      <c r="A52" t="s">
        <v>185</v>
      </c>
      <c r="B52">
        <f>(import_deflator_fuel!B52/import_deflator_fuel!B48-1)*100</f>
        <v>8.8647394609114869</v>
      </c>
      <c r="C52" s="2">
        <v>123456789</v>
      </c>
      <c r="D52" s="2">
        <v>123456789</v>
      </c>
    </row>
    <row r="53" spans="1:4" x14ac:dyDescent="0.45">
      <c r="A53" t="s">
        <v>186</v>
      </c>
      <c r="B53">
        <f>(import_deflator_fuel!B53/import_deflator_fuel!B49-1)*100</f>
        <v>10.683395280390418</v>
      </c>
      <c r="C53" s="2">
        <v>123456789</v>
      </c>
      <c r="D53" s="2">
        <v>123456789</v>
      </c>
    </row>
    <row r="54" spans="1:4" x14ac:dyDescent="0.45">
      <c r="A54" t="s">
        <v>187</v>
      </c>
      <c r="B54">
        <f>(import_deflator_fuel!B54/import_deflator_fuel!B50-1)*100</f>
        <v>7.4071002907780237</v>
      </c>
      <c r="C54" s="2">
        <v>123456789</v>
      </c>
      <c r="D54" s="2">
        <v>123456789</v>
      </c>
    </row>
    <row r="55" spans="1:4" x14ac:dyDescent="0.45">
      <c r="A55" t="s">
        <v>188</v>
      </c>
      <c r="B55">
        <f>(import_deflator_fuel!B55/import_deflator_fuel!B51-1)*100</f>
        <v>6.9993786331089991</v>
      </c>
      <c r="C55" s="2">
        <v>123456789</v>
      </c>
      <c r="D55" s="2">
        <v>123456789</v>
      </c>
    </row>
    <row r="56" spans="1:4" x14ac:dyDescent="0.45">
      <c r="A56" t="s">
        <v>189</v>
      </c>
      <c r="B56">
        <f>(import_deflator_fuel!B56/import_deflator_fuel!B52-1)*100</f>
        <v>3.7753413902363864</v>
      </c>
      <c r="C56" s="2">
        <v>123456789</v>
      </c>
      <c r="D56" s="2">
        <v>123456789</v>
      </c>
    </row>
    <row r="57" spans="1:4" x14ac:dyDescent="0.45">
      <c r="A57" t="s">
        <v>190</v>
      </c>
      <c r="B57">
        <f>(import_deflator_fuel!B57/import_deflator_fuel!B53-1)*100</f>
        <v>0.43723198520135842</v>
      </c>
      <c r="C57" s="2">
        <v>123456789</v>
      </c>
      <c r="D57" s="2">
        <v>123456789</v>
      </c>
    </row>
    <row r="58" spans="1:4" x14ac:dyDescent="0.45">
      <c r="A58" t="s">
        <v>191</v>
      </c>
      <c r="B58">
        <f>(import_deflator_fuel!B58/import_deflator_fuel!B54-1)*100</f>
        <v>4.0197022023438667</v>
      </c>
      <c r="C58" s="2">
        <v>123456789</v>
      </c>
      <c r="D58" s="2">
        <v>123456789</v>
      </c>
    </row>
    <row r="59" spans="1:4" x14ac:dyDescent="0.45">
      <c r="A59" t="s">
        <v>192</v>
      </c>
      <c r="B59">
        <f>(import_deflator_fuel!B59/import_deflator_fuel!B55-1)*100</f>
        <v>12.82360220130907</v>
      </c>
      <c r="C59" s="2">
        <v>123456789</v>
      </c>
      <c r="D59" s="2">
        <v>123456789</v>
      </c>
    </row>
    <row r="60" spans="1:4" x14ac:dyDescent="0.45">
      <c r="A60" t="s">
        <v>193</v>
      </c>
      <c r="B60">
        <f>(import_deflator_fuel!B60/import_deflator_fuel!B56-1)*100</f>
        <v>16.580112079633835</v>
      </c>
      <c r="C60" s="2">
        <v>123456789</v>
      </c>
      <c r="D60" s="2">
        <v>123456789</v>
      </c>
    </row>
    <row r="61" spans="1:4" x14ac:dyDescent="0.45">
      <c r="A61" t="s">
        <v>194</v>
      </c>
      <c r="B61">
        <f>(import_deflator_fuel!B61/import_deflator_fuel!B57-1)*100</f>
        <v>17.659585600669757</v>
      </c>
      <c r="C61" s="2">
        <v>123456789</v>
      </c>
      <c r="D61" s="2">
        <v>123456789</v>
      </c>
    </row>
    <row r="62" spans="1:4" x14ac:dyDescent="0.45">
      <c r="A62" t="s">
        <v>195</v>
      </c>
      <c r="B62">
        <f>(import_deflator_fuel!B62/import_deflator_fuel!B58-1)*100</f>
        <v>23.586982875068642</v>
      </c>
      <c r="C62" s="2">
        <v>123456789</v>
      </c>
      <c r="D62" s="2">
        <v>123456789</v>
      </c>
    </row>
    <row r="63" spans="1:4" x14ac:dyDescent="0.45">
      <c r="A63" t="s">
        <v>196</v>
      </c>
      <c r="B63">
        <f>(import_deflator_fuel!B63/import_deflator_fuel!B59-1)*100</f>
        <v>12.268017432966772</v>
      </c>
      <c r="C63" s="2">
        <v>123456789</v>
      </c>
      <c r="D63" s="2">
        <v>123456789</v>
      </c>
    </row>
    <row r="64" spans="1:4" x14ac:dyDescent="0.45">
      <c r="A64" t="s">
        <v>197</v>
      </c>
      <c r="B64">
        <f>(import_deflator_fuel!B64/import_deflator_fuel!B60-1)*100</f>
        <v>-2.3181969888007137</v>
      </c>
      <c r="C64" s="2">
        <v>123456789</v>
      </c>
      <c r="D64" s="2">
        <v>123456789</v>
      </c>
    </row>
    <row r="65" spans="1:4" x14ac:dyDescent="0.45">
      <c r="A65" t="s">
        <v>198</v>
      </c>
      <c r="B65">
        <f>(import_deflator_fuel!B65/import_deflator_fuel!B61-1)*100</f>
        <v>-11.583974812225684</v>
      </c>
      <c r="C65" s="2">
        <v>123456789</v>
      </c>
      <c r="D65" s="2">
        <v>123456789</v>
      </c>
    </row>
    <row r="66" spans="1:4" x14ac:dyDescent="0.45">
      <c r="A66" t="s">
        <v>199</v>
      </c>
      <c r="B66">
        <f>(import_deflator_fuel!B66/import_deflator_fuel!B62-1)*100</f>
        <v>-31.626316695559563</v>
      </c>
      <c r="C66" s="2">
        <v>123456789</v>
      </c>
      <c r="D66" s="2">
        <v>123456789</v>
      </c>
    </row>
    <row r="67" spans="1:4" x14ac:dyDescent="0.45">
      <c r="A67" t="s">
        <v>200</v>
      </c>
      <c r="B67">
        <f>(import_deflator_fuel!B67/import_deflator_fuel!B63-1)*100</f>
        <v>-44.629689140261796</v>
      </c>
      <c r="C67" s="2">
        <v>123456789</v>
      </c>
      <c r="D67" s="2">
        <v>123456789</v>
      </c>
    </row>
    <row r="68" spans="1:4" x14ac:dyDescent="0.45">
      <c r="A68" t="s">
        <v>201</v>
      </c>
      <c r="B68">
        <f>(import_deflator_fuel!B68/import_deflator_fuel!B64-1)*100</f>
        <v>-52.743597166001507</v>
      </c>
      <c r="C68" s="2">
        <v>123456789</v>
      </c>
      <c r="D68" s="2">
        <v>123456789</v>
      </c>
    </row>
    <row r="69" spans="1:4" x14ac:dyDescent="0.45">
      <c r="A69" t="s">
        <v>202</v>
      </c>
      <c r="B69">
        <f>(import_deflator_fuel!B69/import_deflator_fuel!B65-1)*100</f>
        <v>-42.752311112452347</v>
      </c>
      <c r="C69" s="2">
        <v>123456789</v>
      </c>
      <c r="D69" s="2">
        <v>123456789</v>
      </c>
    </row>
    <row r="70" spans="1:4" x14ac:dyDescent="0.45">
      <c r="A70" t="s">
        <v>203</v>
      </c>
      <c r="B70">
        <f>(import_deflator_fuel!B70/import_deflator_fuel!B66-1)*100</f>
        <v>-25.54002541296061</v>
      </c>
      <c r="C70" s="2">
        <v>123456789</v>
      </c>
      <c r="D70" s="2">
        <v>123456789</v>
      </c>
    </row>
    <row r="71" spans="1:4" x14ac:dyDescent="0.45">
      <c r="A71" t="s">
        <v>204</v>
      </c>
      <c r="B71">
        <f>(import_deflator_fuel!B71/import_deflator_fuel!B67-1)*100</f>
        <v>-4.4681410861591271</v>
      </c>
      <c r="C71" s="2">
        <v>123456789</v>
      </c>
      <c r="D71" s="2">
        <v>123456789</v>
      </c>
    </row>
    <row r="72" spans="1:4" x14ac:dyDescent="0.45">
      <c r="A72" t="s">
        <v>205</v>
      </c>
      <c r="B72">
        <f>(import_deflator_fuel!B72/import_deflator_fuel!B68-1)*100</f>
        <v>26.963708300696922</v>
      </c>
      <c r="C72" s="2">
        <v>123456789</v>
      </c>
      <c r="D72" s="2">
        <v>123456789</v>
      </c>
    </row>
    <row r="73" spans="1:4" x14ac:dyDescent="0.45">
      <c r="A73" t="s">
        <v>206</v>
      </c>
      <c r="B73">
        <f>(import_deflator_fuel!B73/import_deflator_fuel!B69-1)*100</f>
        <v>4.416583934423346</v>
      </c>
      <c r="C73" s="2">
        <v>123456789</v>
      </c>
      <c r="D73" s="2">
        <v>123456789</v>
      </c>
    </row>
    <row r="74" spans="1:4" x14ac:dyDescent="0.45">
      <c r="A74" t="s">
        <v>207</v>
      </c>
      <c r="B74">
        <f>(import_deflator_fuel!B74/import_deflator_fuel!B70-1)*100</f>
        <v>-19.321809974677972</v>
      </c>
      <c r="C74" s="2">
        <v>123456789</v>
      </c>
      <c r="D74" s="2">
        <v>123456789</v>
      </c>
    </row>
    <row r="75" spans="1:4" x14ac:dyDescent="0.45">
      <c r="A75" t="s">
        <v>208</v>
      </c>
      <c r="B75">
        <f>(import_deflator_fuel!B75/import_deflator_fuel!B71-1)*100</f>
        <v>-13.959271619738844</v>
      </c>
      <c r="C75" s="2">
        <v>123456789</v>
      </c>
      <c r="D75" s="2">
        <v>123456789</v>
      </c>
    </row>
    <row r="76" spans="1:4" x14ac:dyDescent="0.45">
      <c r="A76" t="s">
        <v>209</v>
      </c>
      <c r="B76">
        <f>(import_deflator_fuel!B76/import_deflator_fuel!B72-1)*100</f>
        <v>-18.862164150182316</v>
      </c>
      <c r="C76" s="2">
        <v>123456789</v>
      </c>
      <c r="D76" s="2">
        <v>123456789</v>
      </c>
    </row>
    <row r="77" spans="1:4" x14ac:dyDescent="0.45">
      <c r="A77" t="s">
        <v>210</v>
      </c>
      <c r="B77">
        <f>(import_deflator_fuel!B77/import_deflator_fuel!B73-1)*100</f>
        <v>-28.847771943995692</v>
      </c>
      <c r="C77" s="2">
        <v>123456789</v>
      </c>
      <c r="D77" s="2">
        <v>123456789</v>
      </c>
    </row>
    <row r="78" spans="1:4" x14ac:dyDescent="0.45">
      <c r="A78" t="s">
        <v>211</v>
      </c>
      <c r="B78">
        <f>(import_deflator_fuel!B78/import_deflator_fuel!B74-1)*100</f>
        <v>0.51368527760449201</v>
      </c>
      <c r="C78" s="2">
        <v>123456789</v>
      </c>
      <c r="D78" s="2">
        <v>123456789</v>
      </c>
    </row>
    <row r="79" spans="1:4" x14ac:dyDescent="0.45">
      <c r="A79" t="s">
        <v>212</v>
      </c>
      <c r="B79">
        <f>(import_deflator_fuel!B79/import_deflator_fuel!B75-1)*100</f>
        <v>18.517402724559638</v>
      </c>
      <c r="C79" s="2">
        <v>123456789</v>
      </c>
      <c r="D79" s="2">
        <v>123456789</v>
      </c>
    </row>
    <row r="80" spans="1:4" x14ac:dyDescent="0.45">
      <c r="A80" t="s">
        <v>213</v>
      </c>
      <c r="B80">
        <f>(import_deflator_fuel!B80/import_deflator_fuel!B76-1)*100</f>
        <v>17.908076229468239</v>
      </c>
      <c r="C80" s="2">
        <v>123456789</v>
      </c>
      <c r="D80" s="2">
        <v>123456789</v>
      </c>
    </row>
    <row r="81" spans="1:4" x14ac:dyDescent="0.45">
      <c r="A81" t="s">
        <v>214</v>
      </c>
      <c r="B81">
        <f>(import_deflator_fuel!B81/import_deflator_fuel!B77-1)*100</f>
        <v>36.766671002684383</v>
      </c>
      <c r="C81" s="2">
        <v>123456789</v>
      </c>
      <c r="D81" s="2">
        <v>123456789</v>
      </c>
    </row>
    <row r="82" spans="1:4" x14ac:dyDescent="0.45">
      <c r="A82" t="s">
        <v>215</v>
      </c>
      <c r="B82">
        <f>(import_deflator_fuel!B82/import_deflator_fuel!B78-1)*100</f>
        <v>22.696108379639067</v>
      </c>
      <c r="C82" s="2">
        <v>123456789</v>
      </c>
      <c r="D82" s="2">
        <v>123456789</v>
      </c>
    </row>
    <row r="83" spans="1:4" x14ac:dyDescent="0.45">
      <c r="A83" t="s">
        <v>216</v>
      </c>
      <c r="B83">
        <f>(import_deflator_fuel!B83/import_deflator_fuel!B79-1)*100</f>
        <v>-9.7507308083375825</v>
      </c>
      <c r="C83" s="2">
        <v>123456789</v>
      </c>
      <c r="D83" s="2">
        <v>123456789</v>
      </c>
    </row>
    <row r="84" spans="1:4" x14ac:dyDescent="0.45">
      <c r="A84" t="s">
        <v>217</v>
      </c>
      <c r="B84">
        <f>(import_deflator_fuel!B84/import_deflator_fuel!B80-1)*100</f>
        <v>2.4058335262409525</v>
      </c>
      <c r="C84" s="2">
        <v>123456789</v>
      </c>
      <c r="D84" s="2">
        <v>123456789</v>
      </c>
    </row>
    <row r="85" spans="1:4" x14ac:dyDescent="0.45">
      <c r="A85" t="s">
        <v>218</v>
      </c>
      <c r="B85">
        <f>(import_deflator_fuel!B85/import_deflator_fuel!B81-1)*100</f>
        <v>29.98772199837445</v>
      </c>
      <c r="C85" s="2">
        <v>123456789</v>
      </c>
      <c r="D85" s="2">
        <v>123456789</v>
      </c>
    </row>
    <row r="86" spans="1:4" x14ac:dyDescent="0.45">
      <c r="A86" t="s">
        <v>219</v>
      </c>
      <c r="B86">
        <f>(import_deflator_fuel!B86/import_deflator_fuel!B82-1)*100</f>
        <v>7.5875532511870958E-2</v>
      </c>
      <c r="C86" s="2">
        <v>123456789</v>
      </c>
      <c r="D86" s="2">
        <v>123456789</v>
      </c>
    </row>
    <row r="87" spans="1:4" x14ac:dyDescent="0.45">
      <c r="A87" t="s">
        <v>220</v>
      </c>
      <c r="B87">
        <f>(import_deflator_fuel!B87/import_deflator_fuel!B83-1)*100</f>
        <v>6.743946555411795</v>
      </c>
      <c r="C87" s="2">
        <v>123456789</v>
      </c>
      <c r="D87" s="2">
        <v>123456789</v>
      </c>
    </row>
    <row r="88" spans="1:4" x14ac:dyDescent="0.45">
      <c r="A88" t="s">
        <v>221</v>
      </c>
      <c r="B88">
        <f>(import_deflator_fuel!B88/import_deflator_fuel!B84-1)*100</f>
        <v>-0.5925758480939014</v>
      </c>
      <c r="C88" s="2">
        <v>123456789</v>
      </c>
      <c r="D88" s="2">
        <v>123456789</v>
      </c>
    </row>
    <row r="89" spans="1:4" x14ac:dyDescent="0.45">
      <c r="A89" t="s">
        <v>222</v>
      </c>
      <c r="B89">
        <f>(import_deflator_fuel!B89/import_deflator_fuel!B85-1)*100</f>
        <v>-24.760536398467437</v>
      </c>
      <c r="C89" s="2">
        <v>123456789</v>
      </c>
      <c r="D89" s="2">
        <v>123456789</v>
      </c>
    </row>
    <row r="90" spans="1:4" x14ac:dyDescent="0.45">
      <c r="A90" t="s">
        <v>223</v>
      </c>
      <c r="B90">
        <f>(import_deflator_fuel!B90/import_deflator_fuel!B86-1)*100</f>
        <v>-14.959840150372372</v>
      </c>
      <c r="C90" s="2">
        <v>123456789</v>
      </c>
      <c r="D90" s="2">
        <v>123456789</v>
      </c>
    </row>
    <row r="91" spans="1:4" x14ac:dyDescent="0.45">
      <c r="A91" t="s">
        <v>224</v>
      </c>
      <c r="B91">
        <f>(import_deflator_fuel!B91/import_deflator_fuel!B87-1)*100</f>
        <v>-6.532261389404237</v>
      </c>
      <c r="C91" s="2">
        <v>123456789</v>
      </c>
      <c r="D91" s="2">
        <v>123456789</v>
      </c>
    </row>
    <row r="92" spans="1:4" x14ac:dyDescent="0.45">
      <c r="A92" t="s">
        <v>225</v>
      </c>
      <c r="B92">
        <f>(import_deflator_fuel!B92/import_deflator_fuel!B88-1)*100</f>
        <v>-6.6538349088782756</v>
      </c>
      <c r="C92" s="2">
        <v>123456789</v>
      </c>
      <c r="D92" s="2">
        <v>123456789</v>
      </c>
    </row>
    <row r="93" spans="1:4" x14ac:dyDescent="0.45">
      <c r="A93" t="s">
        <v>226</v>
      </c>
      <c r="B93">
        <f>(import_deflator_fuel!B93/import_deflator_fuel!B89-1)*100</f>
        <v>5.8349246764269003</v>
      </c>
      <c r="C93" s="2">
        <v>123456789</v>
      </c>
      <c r="D93" s="2">
        <v>123456789</v>
      </c>
    </row>
    <row r="94" spans="1:4" x14ac:dyDescent="0.45">
      <c r="A94" t="s">
        <v>227</v>
      </c>
      <c r="B94">
        <f>(import_deflator_fuel!B94/import_deflator_fuel!B90-1)*100</f>
        <v>16.512347112196668</v>
      </c>
      <c r="C94" s="2">
        <v>123456789</v>
      </c>
      <c r="D94" s="2">
        <v>123456789</v>
      </c>
    </row>
    <row r="95" spans="1:4" x14ac:dyDescent="0.45">
      <c r="A95" t="s">
        <v>228</v>
      </c>
      <c r="B95">
        <f>(import_deflator_fuel!B95/import_deflator_fuel!B91-1)*100</f>
        <v>8.7752419433098297</v>
      </c>
      <c r="C95" s="2">
        <v>123456789</v>
      </c>
      <c r="D95" s="2">
        <v>123456789</v>
      </c>
    </row>
    <row r="96" spans="1:4" x14ac:dyDescent="0.45">
      <c r="A96" t="s">
        <v>229</v>
      </c>
      <c r="B96">
        <f>(import_deflator_fuel!B96/import_deflator_fuel!B92-1)*100</f>
        <v>0.56899746822227648</v>
      </c>
      <c r="C96" s="2">
        <v>123456789</v>
      </c>
      <c r="D96" s="2">
        <v>123456789</v>
      </c>
    </row>
    <row r="97" spans="1:4" x14ac:dyDescent="0.45">
      <c r="A97" t="s">
        <v>230</v>
      </c>
      <c r="B97">
        <f>(import_deflator_fuel!B97/import_deflator_fuel!B93-1)*100</f>
        <v>-7.7736567762630271</v>
      </c>
      <c r="C97" s="2">
        <v>123456789</v>
      </c>
      <c r="D97" s="2">
        <v>123456789</v>
      </c>
    </row>
    <row r="98" spans="1:4" x14ac:dyDescent="0.45">
      <c r="A98" t="s">
        <v>231</v>
      </c>
      <c r="B98">
        <f>(import_deflator_fuel!B98/import_deflator_fuel!B94-1)*100</f>
        <v>-13.133583618291533</v>
      </c>
      <c r="C98" s="2">
        <v>123456789</v>
      </c>
      <c r="D98" s="2">
        <v>123456789</v>
      </c>
    </row>
    <row r="99" spans="1:4" x14ac:dyDescent="0.45">
      <c r="A99" t="s">
        <v>232</v>
      </c>
      <c r="B99">
        <f>(import_deflator_fuel!B99/import_deflator_fuel!B95-1)*100</f>
        <v>-7.4671532846715349</v>
      </c>
      <c r="C99" s="2">
        <v>123456789</v>
      </c>
      <c r="D99" s="2">
        <v>123456789</v>
      </c>
    </row>
    <row r="100" spans="1:4" x14ac:dyDescent="0.45">
      <c r="A100" t="s">
        <v>233</v>
      </c>
      <c r="B100">
        <f>(import_deflator_fuel!B100/import_deflator_fuel!B96-1)*100</f>
        <v>5.9925774052062009</v>
      </c>
      <c r="C100" s="2">
        <v>123456789</v>
      </c>
      <c r="D100" s="2">
        <v>123456789</v>
      </c>
    </row>
    <row r="101" spans="1:4" x14ac:dyDescent="0.45">
      <c r="A101" t="s">
        <v>234</v>
      </c>
      <c r="B101">
        <f>(import_deflator_fuel!B101/import_deflator_fuel!B97-1)*100</f>
        <v>7.3990543992174418</v>
      </c>
      <c r="C101" s="2">
        <v>123456789</v>
      </c>
      <c r="D101" s="2">
        <v>123456789</v>
      </c>
    </row>
    <row r="102" spans="1:4" x14ac:dyDescent="0.45">
      <c r="A102" t="s">
        <v>235</v>
      </c>
      <c r="B102">
        <f>(import_deflator_fuel!B102/import_deflator_fuel!B98-1)*100</f>
        <v>10.210130299137465</v>
      </c>
      <c r="C102" s="2">
        <v>123456789</v>
      </c>
      <c r="D102" s="2">
        <v>123456789</v>
      </c>
    </row>
    <row r="103" spans="1:4" x14ac:dyDescent="0.45">
      <c r="A103" t="s">
        <v>236</v>
      </c>
      <c r="B103">
        <f>(import_deflator_fuel!B103/import_deflator_fuel!B99-1)*100</f>
        <v>7.6972294531653995</v>
      </c>
      <c r="C103" s="2">
        <v>123456789</v>
      </c>
      <c r="D103" s="2">
        <v>123456789</v>
      </c>
    </row>
    <row r="104" spans="1:4" x14ac:dyDescent="0.45">
      <c r="A104" t="s">
        <v>237</v>
      </c>
      <c r="B104">
        <f>(import_deflator_fuel!B104/import_deflator_fuel!B100-1)*100</f>
        <v>-3.3463924257264077</v>
      </c>
      <c r="C104" s="2">
        <v>123456789</v>
      </c>
      <c r="D104" s="2">
        <v>123456789</v>
      </c>
    </row>
    <row r="105" spans="1:4" x14ac:dyDescent="0.45">
      <c r="A105" t="s">
        <v>238</v>
      </c>
      <c r="B105">
        <f>(import_deflator_fuel!B105/import_deflator_fuel!B101-1)*100</f>
        <v>3.2249631035209836</v>
      </c>
      <c r="C105" s="2">
        <v>123456789</v>
      </c>
      <c r="D105" s="2">
        <v>123456789</v>
      </c>
    </row>
    <row r="106" spans="1:4" x14ac:dyDescent="0.45">
      <c r="A106" t="s">
        <v>239</v>
      </c>
      <c r="B106">
        <f>(import_deflator_fuel!B106/import_deflator_fuel!B102-1)*100</f>
        <v>12.71532883179165</v>
      </c>
      <c r="C106" s="2">
        <v>123456789</v>
      </c>
      <c r="D106" s="2">
        <v>123456789</v>
      </c>
    </row>
    <row r="107" spans="1:4" x14ac:dyDescent="0.45">
      <c r="A107" t="s">
        <v>240</v>
      </c>
      <c r="B107">
        <f>(import_deflator_fuel!B107/import_deflator_fuel!B103-1)*100</f>
        <v>11.376602238046797</v>
      </c>
      <c r="C107" s="2">
        <v>123456789</v>
      </c>
      <c r="D107" s="2">
        <v>123456789</v>
      </c>
    </row>
    <row r="108" spans="1:4" x14ac:dyDescent="0.45">
      <c r="A108" t="s">
        <v>241</v>
      </c>
      <c r="B108">
        <f>(import_deflator_fuel!B108/import_deflator_fuel!B104-1)*100</f>
        <v>19.543995946630631</v>
      </c>
      <c r="C108" s="2">
        <v>123456789</v>
      </c>
      <c r="D108" s="2">
        <v>123456789</v>
      </c>
    </row>
    <row r="109" spans="1:4" x14ac:dyDescent="0.45">
      <c r="A109" t="s">
        <v>242</v>
      </c>
      <c r="B109">
        <f>(import_deflator_fuel!B109/import_deflator_fuel!B105-1)*100</f>
        <v>20.274675446694836</v>
      </c>
      <c r="C109" s="2">
        <v>123456789</v>
      </c>
      <c r="D109" s="2">
        <v>123456789</v>
      </c>
    </row>
    <row r="110" spans="1:4" x14ac:dyDescent="0.45">
      <c r="A110" t="s">
        <v>243</v>
      </c>
      <c r="B110">
        <f>(import_deflator_fuel!B110/import_deflator_fuel!B106-1)*100</f>
        <v>39.608063288988674</v>
      </c>
      <c r="C110" s="2">
        <v>123456789</v>
      </c>
      <c r="D110" s="2">
        <v>123456789</v>
      </c>
    </row>
    <row r="111" spans="1:4" x14ac:dyDescent="0.45">
      <c r="A111" t="s">
        <v>244</v>
      </c>
      <c r="B111">
        <f>(import_deflator_fuel!B111/import_deflator_fuel!B107-1)*100</f>
        <v>21.297148786297825</v>
      </c>
      <c r="C111" s="2">
        <v>123456789</v>
      </c>
      <c r="D111" s="2">
        <v>123456789</v>
      </c>
    </row>
    <row r="112" spans="1:4" x14ac:dyDescent="0.45">
      <c r="A112" t="s">
        <v>245</v>
      </c>
      <c r="B112">
        <f>(import_deflator_fuel!B112/import_deflator_fuel!B108-1)*100</f>
        <v>16.555056370263621</v>
      </c>
      <c r="C112" s="2">
        <v>123456789</v>
      </c>
      <c r="D112" s="2">
        <v>123456789</v>
      </c>
    </row>
    <row r="113" spans="1:4" x14ac:dyDescent="0.45">
      <c r="A113" t="s">
        <v>246</v>
      </c>
      <c r="B113">
        <f>(import_deflator_fuel!B113/import_deflator_fuel!B109-1)*100</f>
        <v>17.515198858811942</v>
      </c>
      <c r="C113" s="2">
        <v>123456789</v>
      </c>
      <c r="D113" s="2">
        <v>123456789</v>
      </c>
    </row>
    <row r="114" spans="1:4" x14ac:dyDescent="0.45">
      <c r="A114" t="s">
        <v>247</v>
      </c>
      <c r="B114">
        <f>(import_deflator_fuel!B114/import_deflator_fuel!B110-1)*100</f>
        <v>-20.105820105820104</v>
      </c>
      <c r="C114" s="2">
        <v>123456789</v>
      </c>
      <c r="D114" s="2">
        <v>123456789</v>
      </c>
    </row>
    <row r="115" spans="1:4" x14ac:dyDescent="0.45">
      <c r="A115" t="s">
        <v>248</v>
      </c>
      <c r="B115">
        <f>(import_deflator_fuel!B115/import_deflator_fuel!B111-1)*100</f>
        <v>-21.68674698795181</v>
      </c>
      <c r="C115" s="2">
        <v>123456789</v>
      </c>
      <c r="D115" s="2">
        <v>123456789</v>
      </c>
    </row>
    <row r="116" spans="1:4" x14ac:dyDescent="0.45">
      <c r="A116" t="s">
        <v>249</v>
      </c>
      <c r="B116">
        <f>(import_deflator_fuel!B116/import_deflator_fuel!B112-1)*100</f>
        <v>-24.242424242424242</v>
      </c>
      <c r="C116" s="2">
        <v>123456789</v>
      </c>
      <c r="D116" s="2">
        <v>123456789</v>
      </c>
    </row>
    <row r="117" spans="1:4" x14ac:dyDescent="0.45">
      <c r="A117" t="s">
        <v>250</v>
      </c>
      <c r="B117">
        <f>(import_deflator_fuel!B117/import_deflator_fuel!B113-1)*100</f>
        <v>-28.901734104046241</v>
      </c>
      <c r="C117" s="2">
        <v>123456789</v>
      </c>
      <c r="D117" s="2">
        <v>123456789</v>
      </c>
    </row>
    <row r="118" spans="1:4" x14ac:dyDescent="0.45">
      <c r="A118" t="s">
        <v>251</v>
      </c>
      <c r="B118">
        <f>(import_deflator_fuel!B118/import_deflator_fuel!B114-1)*100</f>
        <v>-23.178807947019862</v>
      </c>
      <c r="C118" s="2">
        <v>123456789</v>
      </c>
      <c r="D118" s="2">
        <v>123456789</v>
      </c>
    </row>
    <row r="119" spans="1:4" x14ac:dyDescent="0.45">
      <c r="A119" t="s">
        <v>252</v>
      </c>
      <c r="B119">
        <f>(import_deflator_fuel!B119/import_deflator_fuel!B115-1)*100</f>
        <v>5.3846153846153877</v>
      </c>
      <c r="C119" s="2">
        <v>123456789</v>
      </c>
      <c r="D119" s="2">
        <v>123456789</v>
      </c>
    </row>
    <row r="120" spans="1:4" x14ac:dyDescent="0.45">
      <c r="A120" t="s">
        <v>253</v>
      </c>
      <c r="B120">
        <f>(import_deflator_fuel!B120/import_deflator_fuel!B116-1)*100</f>
        <v>33.599999999999987</v>
      </c>
      <c r="C120" s="2">
        <v>123456789</v>
      </c>
      <c r="D120" s="2">
        <v>123456789</v>
      </c>
    </row>
    <row r="121" spans="1:4" x14ac:dyDescent="0.45">
      <c r="A121" t="s">
        <v>254</v>
      </c>
      <c r="B121">
        <f>(import_deflator_fuel!B121/import_deflator_fuel!B117-1)*100</f>
        <v>53.658536585365837</v>
      </c>
      <c r="C121" s="2">
        <v>123456789</v>
      </c>
      <c r="D121" s="2">
        <v>123456789</v>
      </c>
    </row>
    <row r="122" spans="1:4" x14ac:dyDescent="0.45">
      <c r="A122" t="s">
        <v>255</v>
      </c>
      <c r="B122">
        <f>(import_deflator_fuel!B122/import_deflator_fuel!B118-1)*100</f>
        <v>93.10344827586205</v>
      </c>
      <c r="C122" s="2">
        <v>123456789</v>
      </c>
      <c r="D122" s="2">
        <v>123456789</v>
      </c>
    </row>
    <row r="123" spans="1:4" x14ac:dyDescent="0.45">
      <c r="A123" t="s">
        <v>256</v>
      </c>
      <c r="B123">
        <f>(import_deflator_fuel!B123/import_deflator_fuel!B119-1)*100</f>
        <v>75.182481751824824</v>
      </c>
      <c r="C123" s="2">
        <v>123456789</v>
      </c>
      <c r="D123" s="2">
        <v>123456789</v>
      </c>
    </row>
    <row r="124" spans="1:4" x14ac:dyDescent="0.45">
      <c r="A124" t="s">
        <v>257</v>
      </c>
      <c r="B124">
        <f>(import_deflator_fuel!B124/import_deflator_fuel!B120-1)*100</f>
        <v>56.287425149700624</v>
      </c>
      <c r="C124" s="2">
        <v>123456789</v>
      </c>
      <c r="D124" s="2">
        <v>123456789</v>
      </c>
    </row>
    <row r="125" spans="1:4" x14ac:dyDescent="0.45">
      <c r="A125" t="s">
        <v>258</v>
      </c>
      <c r="B125">
        <f>(import_deflator_fuel!B125/import_deflator_fuel!B121-1)*100</f>
        <v>42.857142857142861</v>
      </c>
      <c r="C125" s="2">
        <v>123456789</v>
      </c>
      <c r="D125" s="2">
        <v>123456789</v>
      </c>
    </row>
    <row r="126" spans="1:4" x14ac:dyDescent="0.45">
      <c r="A126" t="s">
        <v>259</v>
      </c>
      <c r="B126">
        <f>(import_deflator_fuel!B126/import_deflator_fuel!B122-1)*100</f>
        <v>7.1428571428571397</v>
      </c>
      <c r="C126" s="2">
        <v>123456789</v>
      </c>
      <c r="D126" s="2">
        <v>123456789</v>
      </c>
    </row>
    <row r="127" spans="1:4" x14ac:dyDescent="0.45">
      <c r="A127" t="s">
        <v>260</v>
      </c>
      <c r="B127">
        <f>(import_deflator_fuel!B127/import_deflator_fuel!B123-1)*100</f>
        <v>3.3333333333333437</v>
      </c>
      <c r="C127" s="2">
        <v>123456789</v>
      </c>
      <c r="D127" s="2">
        <v>123456789</v>
      </c>
    </row>
    <row r="128" spans="1:4" x14ac:dyDescent="0.45">
      <c r="A128" t="s">
        <v>261</v>
      </c>
      <c r="B128">
        <f>(import_deflator_fuel!B128/import_deflator_fuel!B124-1)*100</f>
        <v>-8.8122605363984761</v>
      </c>
      <c r="C128" s="2">
        <v>123456789</v>
      </c>
      <c r="D128" s="2">
        <v>123456789</v>
      </c>
    </row>
    <row r="129" spans="1:4" x14ac:dyDescent="0.45">
      <c r="A129" t="s">
        <v>262</v>
      </c>
      <c r="B129">
        <f>(import_deflator_fuel!B129/import_deflator_fuel!B125-1)*100</f>
        <v>-22.222222222222221</v>
      </c>
      <c r="C129" s="2">
        <v>123456789</v>
      </c>
      <c r="D129" s="2">
        <v>123456789</v>
      </c>
    </row>
    <row r="130" spans="1:4" x14ac:dyDescent="0.45">
      <c r="A130" t="s">
        <v>263</v>
      </c>
      <c r="B130">
        <f>(import_deflator_fuel!B130/import_deflator_fuel!B126-1)*100</f>
        <v>-12.083333333333323</v>
      </c>
      <c r="C130" s="2">
        <v>123456789</v>
      </c>
      <c r="D130" s="2">
        <v>123456789</v>
      </c>
    </row>
    <row r="131" spans="1:4" x14ac:dyDescent="0.45">
      <c r="A131" t="s">
        <v>264</v>
      </c>
      <c r="B131">
        <f>(import_deflator_fuel!B131/import_deflator_fuel!B127-1)*100</f>
        <v>-7.6612903225806495</v>
      </c>
      <c r="C131" s="2">
        <v>123456789</v>
      </c>
      <c r="D131" s="2">
        <v>123456789</v>
      </c>
    </row>
    <row r="132" spans="1:4" x14ac:dyDescent="0.45">
      <c r="A132" t="s">
        <v>265</v>
      </c>
      <c r="B132">
        <f>(import_deflator_fuel!B132/import_deflator_fuel!B128-1)*100</f>
        <v>0</v>
      </c>
      <c r="C132" s="2">
        <v>123456789</v>
      </c>
      <c r="D132" s="2">
        <v>123456789</v>
      </c>
    </row>
    <row r="133" spans="1:4" x14ac:dyDescent="0.45">
      <c r="A133" t="s">
        <v>266</v>
      </c>
      <c r="B133">
        <f>(import_deflator_fuel!B133/import_deflator_fuel!B129-1)*100</f>
        <v>11.904761904761907</v>
      </c>
      <c r="C133" s="2">
        <v>123456789</v>
      </c>
      <c r="D133" s="2">
        <v>123456789</v>
      </c>
    </row>
    <row r="134" spans="1:4" x14ac:dyDescent="0.45">
      <c r="A134" t="s">
        <v>267</v>
      </c>
      <c r="B134">
        <f>(import_deflator_fuel!B134/import_deflator_fuel!B130-1)*100</f>
        <v>26.54028436018956</v>
      </c>
      <c r="C134" s="2">
        <v>123456789</v>
      </c>
      <c r="D134" s="2">
        <v>123456789</v>
      </c>
    </row>
    <row r="135" spans="1:4" x14ac:dyDescent="0.45">
      <c r="A135" t="s">
        <v>268</v>
      </c>
      <c r="B135">
        <f>(import_deflator_fuel!B135/import_deflator_fuel!B131-1)*100</f>
        <v>4.366812227074246</v>
      </c>
      <c r="C135" s="2">
        <v>123456789</v>
      </c>
      <c r="D135" s="2">
        <v>123456789</v>
      </c>
    </row>
    <row r="136" spans="1:4" x14ac:dyDescent="0.45">
      <c r="A136" t="s">
        <v>269</v>
      </c>
      <c r="B136">
        <f>(import_deflator_fuel!B136/import_deflator_fuel!B132-1)*100</f>
        <v>-0.42016806722690037</v>
      </c>
      <c r="C136" s="2">
        <v>123456789</v>
      </c>
      <c r="D136" s="2">
        <v>123456789</v>
      </c>
    </row>
    <row r="137" spans="1:4" x14ac:dyDescent="0.45">
      <c r="A137" t="s">
        <v>270</v>
      </c>
      <c r="B137">
        <f>(import_deflator_fuel!B137/import_deflator_fuel!B133-1)*100</f>
        <v>1.7021276595744705</v>
      </c>
      <c r="C137" s="2">
        <v>123456789</v>
      </c>
      <c r="D137" s="2">
        <v>123456789</v>
      </c>
    </row>
    <row r="138" spans="1:4" x14ac:dyDescent="0.45">
      <c r="A138" t="s">
        <v>271</v>
      </c>
      <c r="B138">
        <f>(import_deflator_fuel!B138/import_deflator_fuel!B134-1)*100</f>
        <v>-10.861423220973776</v>
      </c>
      <c r="C138" s="2">
        <v>123456789</v>
      </c>
      <c r="D138" s="2">
        <v>123456789</v>
      </c>
    </row>
    <row r="139" spans="1:4" x14ac:dyDescent="0.45">
      <c r="A139" t="s">
        <v>272</v>
      </c>
      <c r="B139">
        <f>(import_deflator_fuel!B139/import_deflator_fuel!B135-1)*100</f>
        <v>8.7866108786611044</v>
      </c>
      <c r="C139" s="2">
        <v>123456789</v>
      </c>
      <c r="D139" s="2">
        <v>123456789</v>
      </c>
    </row>
    <row r="140" spans="1:4" x14ac:dyDescent="0.45">
      <c r="A140" t="s">
        <v>273</v>
      </c>
      <c r="B140">
        <f>(import_deflator_fuel!B140/import_deflator_fuel!B136-1)*100</f>
        <v>19.831223628691987</v>
      </c>
      <c r="C140" s="2">
        <v>123456789</v>
      </c>
      <c r="D140" s="2">
        <v>123456789</v>
      </c>
    </row>
    <row r="141" spans="1:4" x14ac:dyDescent="0.45">
      <c r="A141" t="s">
        <v>274</v>
      </c>
      <c r="B141">
        <f>(import_deflator_fuel!B141/import_deflator_fuel!B137-1)*100</f>
        <v>33.891213389121354</v>
      </c>
      <c r="C141" s="2">
        <v>123456789</v>
      </c>
      <c r="D141" s="2">
        <v>123456789</v>
      </c>
    </row>
    <row r="142" spans="1:4" x14ac:dyDescent="0.45">
      <c r="A142" t="s">
        <v>275</v>
      </c>
      <c r="B142">
        <f>(import_deflator_fuel!B142/import_deflator_fuel!B138-1)*100</f>
        <v>36.554621848739501</v>
      </c>
      <c r="C142" s="2">
        <v>123456789</v>
      </c>
      <c r="D142" s="2">
        <v>123456789</v>
      </c>
    </row>
    <row r="143" spans="1:4" x14ac:dyDescent="0.45">
      <c r="A143" t="s">
        <v>276</v>
      </c>
      <c r="B143">
        <f>(import_deflator_fuel!B143/import_deflator_fuel!B139-1)*100</f>
        <v>35.000000000000007</v>
      </c>
      <c r="C143" s="2">
        <v>123456789</v>
      </c>
      <c r="D143" s="2">
        <v>123456789</v>
      </c>
    </row>
    <row r="144" spans="1:4" x14ac:dyDescent="0.45">
      <c r="A144" t="s">
        <v>277</v>
      </c>
      <c r="B144">
        <f>(import_deflator_fuel!B144/import_deflator_fuel!B140-1)*100</f>
        <v>46.478873239436624</v>
      </c>
      <c r="C144" s="2">
        <v>123456789</v>
      </c>
      <c r="D144" s="2">
        <v>123456789</v>
      </c>
    </row>
    <row r="145" spans="1:4" x14ac:dyDescent="0.45">
      <c r="A145" t="s">
        <v>278</v>
      </c>
      <c r="B145">
        <f>(import_deflator_fuel!B145/import_deflator_fuel!B141-1)*100</f>
        <v>32.187499999999993</v>
      </c>
      <c r="C145" s="2">
        <v>123456789</v>
      </c>
      <c r="D145" s="2">
        <v>123456789</v>
      </c>
    </row>
    <row r="146" spans="1:4" x14ac:dyDescent="0.45">
      <c r="A146" t="s">
        <v>279</v>
      </c>
      <c r="B146">
        <f>(import_deflator_fuel!B146/import_deflator_fuel!B142-1)*100</f>
        <v>38.769230769230781</v>
      </c>
      <c r="C146" s="2">
        <v>123456789</v>
      </c>
      <c r="D146" s="2">
        <v>123456789</v>
      </c>
    </row>
    <row r="147" spans="1:4" x14ac:dyDescent="0.45">
      <c r="A147" t="s">
        <v>280</v>
      </c>
      <c r="B147">
        <f>(import_deflator_fuel!B147/import_deflator_fuel!B143-1)*100</f>
        <v>35.327635327635321</v>
      </c>
      <c r="C147" s="2">
        <v>123456789</v>
      </c>
      <c r="D147" s="2">
        <v>123456789</v>
      </c>
    </row>
    <row r="148" spans="1:4" x14ac:dyDescent="0.45">
      <c r="A148" t="s">
        <v>281</v>
      </c>
      <c r="B148">
        <f>(import_deflator_fuel!B148/import_deflator_fuel!B144-1)*100</f>
        <v>12.259615384615397</v>
      </c>
      <c r="C148" s="2">
        <v>123456789</v>
      </c>
      <c r="D148" s="2">
        <v>123456789</v>
      </c>
    </row>
    <row r="149" spans="1:4" x14ac:dyDescent="0.45">
      <c r="A149" t="s">
        <v>282</v>
      </c>
      <c r="B149">
        <f>(import_deflator_fuel!B149/import_deflator_fuel!B145-1)*100</f>
        <v>-6.1465721040188992</v>
      </c>
      <c r="C149" s="2">
        <v>123456789</v>
      </c>
      <c r="D149" s="2">
        <v>123456789</v>
      </c>
    </row>
    <row r="150" spans="1:4" x14ac:dyDescent="0.45">
      <c r="A150" t="s">
        <v>283</v>
      </c>
      <c r="B150">
        <f>(import_deflator_fuel!B150/import_deflator_fuel!B146-1)*100</f>
        <v>-16.629711751662967</v>
      </c>
      <c r="C150" s="2">
        <v>123456789</v>
      </c>
      <c r="D150" s="2">
        <v>123456789</v>
      </c>
    </row>
    <row r="151" spans="1:4" x14ac:dyDescent="0.45">
      <c r="A151" t="s">
        <v>284</v>
      </c>
      <c r="B151">
        <f>(import_deflator_fuel!B151/import_deflator_fuel!B147-1)*100</f>
        <v>-15.789473684210531</v>
      </c>
      <c r="C151" s="2">
        <v>123456789</v>
      </c>
      <c r="D151" s="2">
        <v>123456789</v>
      </c>
    </row>
    <row r="152" spans="1:4" x14ac:dyDescent="0.45">
      <c r="A152" t="s">
        <v>285</v>
      </c>
      <c r="B152">
        <f>(import_deflator_fuel!B152/import_deflator_fuel!B148-1)*100</f>
        <v>-7.9229122055674566</v>
      </c>
      <c r="C152" s="2">
        <v>123456789</v>
      </c>
      <c r="D152" s="2">
        <v>123456789</v>
      </c>
    </row>
    <row r="153" spans="1:4" x14ac:dyDescent="0.45">
      <c r="A153" t="s">
        <v>286</v>
      </c>
      <c r="B153">
        <f>(import_deflator_fuel!B153/import_deflator_fuel!B149-1)*100</f>
        <v>25.692695214105775</v>
      </c>
      <c r="C153" s="2">
        <v>123456789</v>
      </c>
      <c r="D153" s="2">
        <v>123456789</v>
      </c>
    </row>
    <row r="154" spans="1:4" x14ac:dyDescent="0.45">
      <c r="A154" t="s">
        <v>287</v>
      </c>
      <c r="B154">
        <f>(import_deflator_fuel!B154/import_deflator_fuel!B150-1)*100</f>
        <v>49.468085106382986</v>
      </c>
      <c r="C154" s="2">
        <v>123456789</v>
      </c>
      <c r="D154" s="2">
        <v>123456789</v>
      </c>
    </row>
    <row r="155" spans="1:4" x14ac:dyDescent="0.45">
      <c r="A155" t="s">
        <v>288</v>
      </c>
      <c r="B155">
        <f>(import_deflator_fuel!B155/import_deflator_fuel!B151-1)*100</f>
        <v>65.75</v>
      </c>
      <c r="C155" s="2">
        <v>123456789</v>
      </c>
      <c r="D155" s="2">
        <v>123456789</v>
      </c>
    </row>
    <row r="156" spans="1:4" x14ac:dyDescent="0.45">
      <c r="A156" t="s">
        <v>289</v>
      </c>
      <c r="B156">
        <f>(import_deflator_fuel!B156/import_deflator_fuel!B152-1)*100</f>
        <v>69.767441860465112</v>
      </c>
      <c r="C156" s="2">
        <v>123456789</v>
      </c>
      <c r="D156" s="2">
        <v>123456789</v>
      </c>
    </row>
    <row r="157" spans="1:4" x14ac:dyDescent="0.45">
      <c r="A157" t="s">
        <v>290</v>
      </c>
      <c r="B157">
        <f>(import_deflator_fuel!B157/import_deflator_fuel!B153-1)*100</f>
        <v>13.426853707414832</v>
      </c>
      <c r="C157" s="2">
        <v>123456789</v>
      </c>
      <c r="D157" s="2">
        <v>123456789</v>
      </c>
    </row>
    <row r="158" spans="1:4" x14ac:dyDescent="0.45">
      <c r="A158" t="s">
        <v>291</v>
      </c>
      <c r="B158">
        <f>(import_deflator_fuel!B158/import_deflator_fuel!B154-1)*100</f>
        <v>-20.9964412811388</v>
      </c>
      <c r="C158" s="2">
        <v>123456789</v>
      </c>
      <c r="D158" s="2">
        <v>123456789</v>
      </c>
    </row>
    <row r="159" spans="1:4" x14ac:dyDescent="0.45">
      <c r="A159" t="s">
        <v>292</v>
      </c>
      <c r="B159">
        <f>(import_deflator_fuel!B159/import_deflator_fuel!B155-1)*100</f>
        <v>-32.277526395173453</v>
      </c>
      <c r="C159" s="2">
        <v>123456789</v>
      </c>
      <c r="D159" s="2">
        <v>123456789</v>
      </c>
    </row>
    <row r="160" spans="1:4" x14ac:dyDescent="0.45">
      <c r="A160" t="s">
        <v>293</v>
      </c>
      <c r="B160">
        <f>(import_deflator_fuel!B160/import_deflator_fuel!B156-1)*100</f>
        <v>-36.986301369863014</v>
      </c>
      <c r="C160" s="2">
        <v>123456789</v>
      </c>
      <c r="D160" s="2">
        <v>123456789</v>
      </c>
    </row>
    <row r="161" spans="1:4" x14ac:dyDescent="0.45">
      <c r="A161" t="s">
        <v>294</v>
      </c>
      <c r="B161">
        <f>(import_deflator_fuel!B161/import_deflator_fuel!B157-1)*100</f>
        <v>-16.077738515901064</v>
      </c>
      <c r="C161" s="2">
        <v>123456789</v>
      </c>
      <c r="D161" s="2">
        <v>123456789</v>
      </c>
    </row>
    <row r="162" spans="1:4" x14ac:dyDescent="0.45">
      <c r="A162" t="s">
        <v>295</v>
      </c>
      <c r="B162">
        <f>(import_deflator_fuel!B162/import_deflator_fuel!B158-1)*100</f>
        <v>23.198198198198217</v>
      </c>
      <c r="C162" s="2">
        <v>123456789</v>
      </c>
      <c r="D162" s="2">
        <v>123456789</v>
      </c>
    </row>
    <row r="163" spans="1:4" x14ac:dyDescent="0.45">
      <c r="A163" t="s">
        <v>296</v>
      </c>
      <c r="B163">
        <f>(import_deflator_fuel!B163/import_deflator_fuel!B159-1)*100</f>
        <v>30.289532293986632</v>
      </c>
      <c r="C163" s="2">
        <v>123456789</v>
      </c>
      <c r="D163" s="2">
        <v>123456789</v>
      </c>
    </row>
    <row r="164" spans="1:4" x14ac:dyDescent="0.45">
      <c r="A164" t="s">
        <v>297</v>
      </c>
      <c r="B164">
        <f>(import_deflator_fuel!B164/import_deflator_fuel!B160-1)*100</f>
        <v>25.217391304347835</v>
      </c>
      <c r="C164" s="2">
        <v>123456789</v>
      </c>
      <c r="D164" s="2">
        <v>123456789</v>
      </c>
    </row>
    <row r="165" spans="1:4" x14ac:dyDescent="0.45">
      <c r="A165" t="s">
        <v>298</v>
      </c>
      <c r="B165">
        <f>(import_deflator_fuel!B165/import_deflator_fuel!B161-1)*100</f>
        <v>27.789473684210542</v>
      </c>
      <c r="C165" s="2">
        <v>123456789</v>
      </c>
      <c r="D165" s="2">
        <v>123456789</v>
      </c>
    </row>
    <row r="166" spans="1:4" x14ac:dyDescent="0.45">
      <c r="A166" t="s">
        <v>299</v>
      </c>
      <c r="B166">
        <f>(import_deflator_fuel!B166/import_deflator_fuel!B162-1)*100</f>
        <v>30.712979890310788</v>
      </c>
      <c r="C166" s="2">
        <v>123456789</v>
      </c>
      <c r="D166" s="2">
        <v>123456789</v>
      </c>
    </row>
    <row r="167" spans="1:4" x14ac:dyDescent="0.45">
      <c r="A167" t="s">
        <v>300</v>
      </c>
      <c r="B167">
        <f>(import_deflator_fuel!B167/import_deflator_fuel!B163-1)*100</f>
        <v>33.504273504273499</v>
      </c>
      <c r="C167" s="2">
        <v>123456789</v>
      </c>
      <c r="D167" s="2">
        <v>123456789</v>
      </c>
    </row>
    <row r="168" spans="1:4" x14ac:dyDescent="0.45">
      <c r="A168" t="s">
        <v>301</v>
      </c>
      <c r="B168">
        <f>(import_deflator_fuel!B168/import_deflator_fuel!B164-1)*100</f>
        <v>35.590277777777771</v>
      </c>
      <c r="C168" s="2">
        <v>123456789</v>
      </c>
      <c r="D168" s="2">
        <v>123456789</v>
      </c>
    </row>
    <row r="169" spans="1:4" x14ac:dyDescent="0.45">
      <c r="A169" t="s">
        <v>302</v>
      </c>
      <c r="B169">
        <f>(import_deflator_fuel!B169/import_deflator_fuel!B165-1)*100</f>
        <v>32.45469522240527</v>
      </c>
      <c r="C169" s="2">
        <v>123456789</v>
      </c>
      <c r="D169" s="2">
        <v>123456789</v>
      </c>
    </row>
    <row r="170" spans="1:4" x14ac:dyDescent="0.45">
      <c r="A170" t="s">
        <v>303</v>
      </c>
      <c r="B170">
        <f>(import_deflator_fuel!B170/import_deflator_fuel!B166-1)*100</f>
        <v>13.42657342657343</v>
      </c>
      <c r="C170" s="2">
        <v>123456789</v>
      </c>
      <c r="D170" s="2">
        <v>123456789</v>
      </c>
    </row>
    <row r="171" spans="1:4" x14ac:dyDescent="0.45">
      <c r="A171" t="s">
        <v>304</v>
      </c>
      <c r="B171">
        <f>(import_deflator_fuel!B171/import_deflator_fuel!B167-1)*100</f>
        <v>1.1523687580025754</v>
      </c>
      <c r="C171" s="2">
        <v>123456789</v>
      </c>
      <c r="D171" s="2">
        <v>123456789</v>
      </c>
    </row>
    <row r="172" spans="1:4" x14ac:dyDescent="0.45">
      <c r="A172" t="s">
        <v>305</v>
      </c>
      <c r="B172">
        <f>(import_deflator_fuel!B172/import_deflator_fuel!B168-1)*100</f>
        <v>-1.0243277848911658</v>
      </c>
      <c r="C172" s="2">
        <v>123456789</v>
      </c>
      <c r="D172" s="2">
        <v>123456789</v>
      </c>
    </row>
    <row r="173" spans="1:4" x14ac:dyDescent="0.45">
      <c r="A173" t="s">
        <v>306</v>
      </c>
      <c r="B173">
        <f>(import_deflator_fuel!B173/import_deflator_fuel!B169-1)*100</f>
        <v>-1.8656716417910446</v>
      </c>
      <c r="C173" s="2">
        <v>123456789</v>
      </c>
      <c r="D173" s="2">
        <v>123456789</v>
      </c>
    </row>
    <row r="174" spans="1:4" x14ac:dyDescent="0.45">
      <c r="A174" t="s">
        <v>307</v>
      </c>
      <c r="B174">
        <f>(import_deflator_fuel!B174/import_deflator_fuel!B170-1)*100</f>
        <v>-0.36991368680641123</v>
      </c>
      <c r="C174" s="2">
        <v>123456789</v>
      </c>
      <c r="D174" s="2">
        <v>123456789</v>
      </c>
    </row>
    <row r="175" spans="1:4" x14ac:dyDescent="0.45">
      <c r="A175" t="s">
        <v>308</v>
      </c>
      <c r="B175">
        <f>(import_deflator_fuel!B175/import_deflator_fuel!B171-1)*100</f>
        <v>-2.4050632911392422</v>
      </c>
      <c r="C175" s="2">
        <v>123456789</v>
      </c>
      <c r="D175" s="2">
        <v>123456789</v>
      </c>
    </row>
    <row r="176" spans="1:4" x14ac:dyDescent="0.45">
      <c r="A176" t="s">
        <v>309</v>
      </c>
      <c r="B176">
        <f>(import_deflator_fuel!B176/import_deflator_fuel!B172-1)*100</f>
        <v>0.77619663648125226</v>
      </c>
      <c r="C176" s="2">
        <v>123456789</v>
      </c>
      <c r="D176" s="2">
        <v>123456789</v>
      </c>
    </row>
    <row r="177" spans="1:4" x14ac:dyDescent="0.45">
      <c r="A177" t="s">
        <v>310</v>
      </c>
      <c r="B177">
        <f>(import_deflator_fuel!B177/import_deflator_fuel!B173-1)*100</f>
        <v>-3.4220532319391705</v>
      </c>
      <c r="C177" s="2">
        <v>123456789</v>
      </c>
      <c r="D177" s="2">
        <v>123456789</v>
      </c>
    </row>
    <row r="178" spans="1:4" x14ac:dyDescent="0.45">
      <c r="A178" t="s">
        <v>311</v>
      </c>
      <c r="B178">
        <f>(import_deflator_fuel!B178/import_deflator_fuel!B174-1)*100</f>
        <v>-9.0346534653465316</v>
      </c>
      <c r="C178" s="2">
        <v>123456789</v>
      </c>
      <c r="D178" s="2">
        <v>123456789</v>
      </c>
    </row>
    <row r="179" spans="1:4" x14ac:dyDescent="0.45">
      <c r="A179" t="s">
        <v>312</v>
      </c>
      <c r="B179">
        <f>(import_deflator_fuel!B179/import_deflator_fuel!B175-1)*100</f>
        <v>-8.0415045395589964</v>
      </c>
      <c r="C179" s="2">
        <v>123456789</v>
      </c>
      <c r="D179" s="2">
        <v>123456789</v>
      </c>
    </row>
    <row r="180" spans="1:4" x14ac:dyDescent="0.45">
      <c r="A180" t="s">
        <v>313</v>
      </c>
      <c r="B180">
        <f>(import_deflator_fuel!B180/import_deflator_fuel!B176-1)*100</f>
        <v>-12.9653401797176</v>
      </c>
      <c r="C180" s="2">
        <v>123456789</v>
      </c>
      <c r="D180" s="2">
        <v>123456789</v>
      </c>
    </row>
    <row r="181" spans="1:4" x14ac:dyDescent="0.45">
      <c r="A181" t="s">
        <v>314</v>
      </c>
      <c r="B181">
        <f>(import_deflator_fuel!B181/import_deflator_fuel!B177-1)*100</f>
        <v>-19.422572178477694</v>
      </c>
      <c r="C181" s="2">
        <v>123456789</v>
      </c>
      <c r="D181" s="2">
        <v>123456789</v>
      </c>
    </row>
    <row r="182" spans="1:4" x14ac:dyDescent="0.45">
      <c r="A182" t="s">
        <v>315</v>
      </c>
      <c r="B182">
        <f>(import_deflator_fuel!B182/import_deflator_fuel!B178-1)*100</f>
        <v>-34.829931972789119</v>
      </c>
      <c r="C182" s="2">
        <v>123456789</v>
      </c>
      <c r="D182" s="2">
        <v>123456789</v>
      </c>
    </row>
    <row r="183" spans="1:4" x14ac:dyDescent="0.45">
      <c r="A183" t="s">
        <v>316</v>
      </c>
      <c r="B183">
        <f>(import_deflator_fuel!B183/import_deflator_fuel!B179-1)*100</f>
        <v>-28.34978843441468</v>
      </c>
      <c r="C183" s="2">
        <v>123456789</v>
      </c>
      <c r="D183" s="2">
        <v>123456789</v>
      </c>
    </row>
    <row r="184" spans="1:4" x14ac:dyDescent="0.45">
      <c r="A184" t="s">
        <v>317</v>
      </c>
      <c r="B184">
        <f>(import_deflator_fuel!B184/import_deflator_fuel!B180-1)*100</f>
        <v>-32.30088495575221</v>
      </c>
      <c r="C184" s="2">
        <v>123456789</v>
      </c>
      <c r="D184" s="2">
        <v>123456789</v>
      </c>
    </row>
    <row r="185" spans="1:4" x14ac:dyDescent="0.45">
      <c r="A185" t="s">
        <v>318</v>
      </c>
      <c r="B185">
        <f>(import_deflator_fuel!B185/import_deflator_fuel!B181-1)*100</f>
        <v>-36.644951140065153</v>
      </c>
      <c r="C185" s="2">
        <v>123456789</v>
      </c>
      <c r="D185" s="2">
        <v>123456789</v>
      </c>
    </row>
    <row r="186" spans="1:4" x14ac:dyDescent="0.45">
      <c r="A186" t="s">
        <v>319</v>
      </c>
      <c r="B186">
        <f>(import_deflator_fuel!B186/import_deflator_fuel!B182-1)*100</f>
        <v>-32.359081419624211</v>
      </c>
      <c r="C186" s="2">
        <v>123456789</v>
      </c>
      <c r="D186" s="2">
        <v>123456789</v>
      </c>
    </row>
    <row r="187" spans="1:4" x14ac:dyDescent="0.45">
      <c r="A187" t="s">
        <v>320</v>
      </c>
      <c r="B187">
        <f>(import_deflator_fuel!B187/import_deflator_fuel!B183-1)*100</f>
        <v>-23.425196850393704</v>
      </c>
      <c r="C187" s="2">
        <v>123456789</v>
      </c>
      <c r="D187" s="2">
        <v>123456789</v>
      </c>
    </row>
    <row r="188" spans="1:4" x14ac:dyDescent="0.45">
      <c r="A188" t="s">
        <v>321</v>
      </c>
      <c r="B188">
        <f>(import_deflator_fuel!B188/import_deflator_fuel!B184-1)*100</f>
        <v>-8.714596949891062</v>
      </c>
      <c r="C188" s="2">
        <v>123456789</v>
      </c>
      <c r="D188" s="2">
        <v>123456789</v>
      </c>
    </row>
    <row r="189" spans="1:4" x14ac:dyDescent="0.45">
      <c r="A189" t="s">
        <v>322</v>
      </c>
      <c r="B189">
        <f>(import_deflator_fuel!B189/import_deflator_fuel!B185-1)*100</f>
        <v>25.96401028277635</v>
      </c>
      <c r="C189" s="2">
        <v>123456789</v>
      </c>
      <c r="D189" s="2">
        <v>123456789</v>
      </c>
    </row>
    <row r="190" spans="1:4" x14ac:dyDescent="0.45">
      <c r="A190" t="s">
        <v>323</v>
      </c>
      <c r="B190">
        <f>(import_deflator_fuel!B190/import_deflator_fuel!B186-1)*100</f>
        <v>68.518518518518533</v>
      </c>
      <c r="C190" s="2">
        <v>123456789</v>
      </c>
      <c r="D190" s="2">
        <v>123456789</v>
      </c>
    </row>
    <row r="191" spans="1:4" x14ac:dyDescent="0.45">
      <c r="A191" t="s">
        <v>324</v>
      </c>
      <c r="B191">
        <f>(import_deflator_fuel!B191/import_deflator_fuel!B187-1)*100</f>
        <v>28.277634961439581</v>
      </c>
      <c r="C191" s="2">
        <v>123456789</v>
      </c>
      <c r="D191" s="2">
        <v>123456789</v>
      </c>
    </row>
    <row r="192" spans="1:4" x14ac:dyDescent="0.45">
      <c r="A192" t="s">
        <v>325</v>
      </c>
      <c r="B192">
        <f>(import_deflator_fuel!B192/import_deflator_fuel!B188-1)*100</f>
        <v>17.661097852028629</v>
      </c>
      <c r="C192" s="2">
        <v>123456789</v>
      </c>
      <c r="D192" s="2">
        <v>123456789</v>
      </c>
    </row>
    <row r="193" spans="1:4" x14ac:dyDescent="0.45">
      <c r="A193" t="s">
        <v>326</v>
      </c>
      <c r="B193">
        <f>(import_deflator_fuel!B193/import_deflator_fuel!B189-1)*100</f>
        <v>13.673469387755111</v>
      </c>
      <c r="C193" s="2">
        <v>123456789</v>
      </c>
      <c r="D193" s="2">
        <v>123456789</v>
      </c>
    </row>
    <row r="194" spans="1:4" x14ac:dyDescent="0.45">
      <c r="A194" t="s">
        <v>327</v>
      </c>
      <c r="B194">
        <f>(import_deflator_fuel!B194/import_deflator_fuel!B190-1)*100</f>
        <v>13.003663003663002</v>
      </c>
      <c r="C194" s="2">
        <v>123456789</v>
      </c>
      <c r="D194" s="2">
        <v>123456789</v>
      </c>
    </row>
    <row r="195" spans="1:4" x14ac:dyDescent="0.45">
      <c r="A195" t="s">
        <v>328</v>
      </c>
      <c r="B195">
        <f>(import_deflator_fuel!B195/import_deflator_fuel!B191-1)*100</f>
        <v>29.258517034068142</v>
      </c>
      <c r="C195" s="2">
        <v>123456789</v>
      </c>
      <c r="D195" s="2">
        <v>123456789</v>
      </c>
    </row>
    <row r="196" spans="1:4" x14ac:dyDescent="0.45">
      <c r="A196" t="s">
        <v>329</v>
      </c>
      <c r="B196">
        <f>(import_deflator_fuel!B196/import_deflator_fuel!B192-1)*100</f>
        <v>41.379310344827601</v>
      </c>
      <c r="C196" s="2">
        <v>123456789</v>
      </c>
      <c r="D196" s="2">
        <v>123456789</v>
      </c>
    </row>
    <row r="197" spans="1:4" x14ac:dyDescent="0.45">
      <c r="A197" t="s">
        <v>330</v>
      </c>
      <c r="B197">
        <f>(import_deflator_fuel!B197/import_deflator_fuel!B193-1)*100</f>
        <v>23.518850987432671</v>
      </c>
      <c r="C197" s="2">
        <v>123456789</v>
      </c>
      <c r="D197" s="2">
        <v>123456789</v>
      </c>
    </row>
    <row r="198" spans="1:4" x14ac:dyDescent="0.45">
      <c r="A198" t="s">
        <v>331</v>
      </c>
      <c r="B198">
        <f>(import_deflator_fuel!B198/import_deflator_fuel!B194-1)*100</f>
        <v>-2.1069692058346856</v>
      </c>
      <c r="C198" s="2">
        <v>123456789</v>
      </c>
      <c r="D198" s="2">
        <v>123456789</v>
      </c>
    </row>
    <row r="199" spans="1:4" x14ac:dyDescent="0.45">
      <c r="A199" t="s">
        <v>332</v>
      </c>
      <c r="B199">
        <f>(import_deflator_fuel!B199/import_deflator_fuel!B195-1)*100</f>
        <v>-2.9457364341085257</v>
      </c>
      <c r="C199" s="2">
        <v>123456789</v>
      </c>
      <c r="D199" s="2">
        <v>123456789</v>
      </c>
    </row>
    <row r="200" spans="1:4" x14ac:dyDescent="0.45">
      <c r="A200" t="s">
        <v>333</v>
      </c>
      <c r="B200">
        <f>(import_deflator_fuel!B200/import_deflator_fuel!B196-1)*100</f>
        <v>-13.916786226685796</v>
      </c>
      <c r="C200" s="2">
        <v>123456789</v>
      </c>
      <c r="D200" s="2">
        <v>123456789</v>
      </c>
    </row>
    <row r="201" spans="1:4" x14ac:dyDescent="0.45">
      <c r="A201" t="s">
        <v>334</v>
      </c>
      <c r="B201">
        <f>(import_deflator_fuel!B201/import_deflator_fuel!B197-1)*100</f>
        <v>-15.697674418604645</v>
      </c>
      <c r="C201" s="2">
        <v>123456789</v>
      </c>
      <c r="D201" s="2">
        <v>123456789</v>
      </c>
    </row>
    <row r="202" spans="1:4" x14ac:dyDescent="0.45">
      <c r="A202" t="s">
        <v>335</v>
      </c>
      <c r="B202">
        <f>(import_deflator_fuel!B202/import_deflator_fuel!B198-1)*100</f>
        <v>-15.894039735099341</v>
      </c>
      <c r="C202" s="2">
        <v>123456789</v>
      </c>
      <c r="D202" s="2">
        <v>123456789</v>
      </c>
    </row>
    <row r="203" spans="1:4" x14ac:dyDescent="0.45">
      <c r="A203" t="s">
        <v>336</v>
      </c>
      <c r="B203">
        <f>(import_deflator_fuel!B203/import_deflator_fuel!B199-1)*100</f>
        <v>-47.444089456869008</v>
      </c>
      <c r="C203" s="2">
        <v>123456789</v>
      </c>
      <c r="D203" s="2">
        <v>123456789</v>
      </c>
    </row>
    <row r="204" spans="1:4" x14ac:dyDescent="0.45">
      <c r="A204" t="s">
        <v>337</v>
      </c>
      <c r="B204">
        <f>(import_deflator_fuel!B204/import_deflator_fuel!B200-1)*100</f>
        <v>-34.833333333333329</v>
      </c>
      <c r="C204" s="2">
        <v>123456789</v>
      </c>
      <c r="D204" s="2">
        <v>123456789</v>
      </c>
    </row>
    <row r="205" spans="1:4" x14ac:dyDescent="0.45">
      <c r="A205" t="s">
        <v>338</v>
      </c>
      <c r="B205">
        <f>(import_deflator_fuel!B205/import_deflator_fuel!B201-1)*100</f>
        <v>-26.206896551724146</v>
      </c>
      <c r="C205" s="2">
        <v>123456789</v>
      </c>
      <c r="D205" s="2">
        <v>123456789</v>
      </c>
    </row>
    <row r="206" spans="1:4" x14ac:dyDescent="0.45">
      <c r="A206" t="s">
        <v>339</v>
      </c>
      <c r="B206">
        <f>(import_deflator_fuel!B206/import_deflator_fuel!B202-1)*100</f>
        <v>4.7244094488189115</v>
      </c>
      <c r="C206" s="2">
        <v>123456789</v>
      </c>
      <c r="D206" s="2">
        <v>123456789</v>
      </c>
    </row>
    <row r="207" spans="1:4" x14ac:dyDescent="0.45">
      <c r="A207" t="s">
        <v>340</v>
      </c>
      <c r="B207">
        <f>(import_deflator_fuel!B207/import_deflator_fuel!B203-1)*100</f>
        <v>97.872340425531902</v>
      </c>
      <c r="C207" s="2">
        <v>123456789</v>
      </c>
      <c r="D207" s="2">
        <v>123456789</v>
      </c>
    </row>
    <row r="208" spans="1:4" x14ac:dyDescent="0.45">
      <c r="A208" t="s">
        <v>341</v>
      </c>
      <c r="B208">
        <f>(import_deflator_fuel!B208/import_deflator_fuel!B204-1)*100</f>
        <v>80.05115089514068</v>
      </c>
      <c r="C208" s="2">
        <v>123456789</v>
      </c>
      <c r="D208" s="2">
        <v>123456789</v>
      </c>
    </row>
    <row r="209" spans="1:4" x14ac:dyDescent="0.45">
      <c r="A209" t="s">
        <v>342</v>
      </c>
      <c r="B209">
        <f>(import_deflator_fuel!B209/import_deflator_fuel!B205-1)*100</f>
        <v>130.60747663551405</v>
      </c>
      <c r="C209" s="2">
        <v>123456789</v>
      </c>
      <c r="D209" s="2">
        <v>123456789</v>
      </c>
    </row>
    <row r="210" spans="1:4" x14ac:dyDescent="0.45">
      <c r="A210" t="s">
        <v>343</v>
      </c>
      <c r="B210">
        <f>(import_deflator_fuel!B210/import_deflator_fuel!B206-1)*100</f>
        <v>117.48120300751879</v>
      </c>
      <c r="C210" s="2">
        <v>123456789</v>
      </c>
      <c r="D210" s="2">
        <v>123456789</v>
      </c>
    </row>
    <row r="211" spans="1:4" x14ac:dyDescent="0.45">
      <c r="A211" t="s">
        <v>344</v>
      </c>
      <c r="B211">
        <f>(import_deflator_fuel!B211/import_deflator_fuel!B207-1)*100</f>
        <v>119.20122887864824</v>
      </c>
      <c r="C211" s="2">
        <v>123456789</v>
      </c>
      <c r="D211" s="2">
        <v>123456789</v>
      </c>
    </row>
    <row r="212" spans="1:4" x14ac:dyDescent="0.45">
      <c r="A212" t="s">
        <v>345</v>
      </c>
      <c r="B212">
        <f>(import_deflator_fuel!B212/import_deflator_fuel!B208-1)*100</f>
        <v>107.8125</v>
      </c>
      <c r="C212" s="2">
        <v>123456789</v>
      </c>
      <c r="D212" s="2">
        <v>123456789</v>
      </c>
    </row>
    <row r="213" spans="1:4" x14ac:dyDescent="0.45">
      <c r="A213" t="s">
        <v>346</v>
      </c>
      <c r="B213">
        <f>(import_deflator_fuel!B213/import_deflator_fuel!B209-1)*100</f>
        <v>21.479229989868287</v>
      </c>
      <c r="C213" s="2">
        <v>123456789</v>
      </c>
      <c r="D213" s="2">
        <v>123456789</v>
      </c>
    </row>
    <row r="214" spans="1:4" x14ac:dyDescent="0.45">
      <c r="A214" t="s">
        <v>347</v>
      </c>
      <c r="B214">
        <f>(import_deflator_fuel!B214/import_deflator_fuel!B210-1)*100</f>
        <v>-4.2350907519446928</v>
      </c>
      <c r="C214" s="2">
        <v>123456789</v>
      </c>
      <c r="D214" s="2">
        <v>123456789</v>
      </c>
    </row>
    <row r="215" spans="1:4" x14ac:dyDescent="0.45">
      <c r="A215" t="s">
        <v>348</v>
      </c>
      <c r="B215">
        <f>(import_deflator_fuel!B215/import_deflator_fuel!B211-1)*100</f>
        <v>-31.674842326559205</v>
      </c>
      <c r="C215" s="2">
        <v>123456789</v>
      </c>
      <c r="D215" s="2">
        <v>123456789</v>
      </c>
    </row>
    <row r="216" spans="1:4" x14ac:dyDescent="0.45">
      <c r="A216" t="s">
        <v>349</v>
      </c>
      <c r="B216">
        <f>(import_deflator_fuel!B216/import_deflator_fuel!B212-1)*100</f>
        <v>-36.705399863294609</v>
      </c>
      <c r="C216" s="2">
        <v>123456789</v>
      </c>
      <c r="D216" s="2">
        <v>123456789</v>
      </c>
    </row>
    <row r="217" spans="1:4" x14ac:dyDescent="0.45">
      <c r="A217" t="s">
        <v>350</v>
      </c>
      <c r="B217">
        <f>(import_deflator_fuel!B217/import_deflator_fuel!B213-1)*100</f>
        <v>-18.432026688907431</v>
      </c>
      <c r="C217" s="2">
        <v>123456789</v>
      </c>
      <c r="D217" s="2">
        <v>123456789</v>
      </c>
    </row>
    <row r="218" spans="1:4" x14ac:dyDescent="0.45">
      <c r="A218" t="s">
        <v>351</v>
      </c>
      <c r="B218">
        <f>(import_deflator_fuel!B218/import_deflator_fuel!B214-1)*100</f>
        <v>-19.945848375451259</v>
      </c>
      <c r="C218" s="2">
        <v>123456789</v>
      </c>
      <c r="D218" s="2">
        <v>123456789</v>
      </c>
    </row>
    <row r="219" spans="1:4" x14ac:dyDescent="0.45">
      <c r="A219" t="s">
        <v>352</v>
      </c>
      <c r="B219">
        <f>(import_deflator_fuel!B219/import_deflator_fuel!B215-1)*100</f>
        <v>-2.8717948717948638</v>
      </c>
      <c r="C219" s="2">
        <v>123456789</v>
      </c>
      <c r="D219" s="2">
        <v>123456789</v>
      </c>
    </row>
    <row r="220" spans="1:4" x14ac:dyDescent="0.45">
      <c r="A220" t="s">
        <v>353</v>
      </c>
      <c r="B220">
        <f>(import_deflator_fuel!B220/import_deflator_fuel!B216-1)*100</f>
        <v>-8.3153347732181295</v>
      </c>
      <c r="C220" s="2">
        <v>123456789</v>
      </c>
      <c r="D220" s="2">
        <v>123456789</v>
      </c>
    </row>
    <row r="221" spans="1:4" x14ac:dyDescent="0.45">
      <c r="A221" t="s">
        <v>354</v>
      </c>
      <c r="B221">
        <f>(import_deflator_fuel!B221/import_deflator_fuel!B217-1)*100</f>
        <v>-16.155419222903888</v>
      </c>
      <c r="C221" s="2">
        <v>123456789</v>
      </c>
      <c r="D221" s="2">
        <v>123456789</v>
      </c>
    </row>
    <row r="222" spans="1:4" x14ac:dyDescent="0.45">
      <c r="A222" t="s">
        <v>355</v>
      </c>
      <c r="B222">
        <f>(import_deflator_fuel!B222/import_deflator_fuel!B218-1)*100</f>
        <v>1.5783540022547893</v>
      </c>
      <c r="C222" s="2">
        <v>123456789</v>
      </c>
      <c r="D222" s="2">
        <v>123456789</v>
      </c>
    </row>
    <row r="223" spans="1:4" x14ac:dyDescent="0.45">
      <c r="A223" t="s">
        <v>356</v>
      </c>
      <c r="B223">
        <f>(import_deflator_fuel!B223/import_deflator_fuel!B219-1)*100</f>
        <v>-16.895459345300946</v>
      </c>
      <c r="C223" s="2">
        <v>123456789</v>
      </c>
      <c r="D223" s="2">
        <v>123456789</v>
      </c>
    </row>
    <row r="224" spans="1:4" x14ac:dyDescent="0.45">
      <c r="A224" t="s">
        <v>357</v>
      </c>
      <c r="B224">
        <f>(import_deflator_fuel!B224/import_deflator_fuel!B220-1)*100</f>
        <v>-12.720848056537115</v>
      </c>
      <c r="C224" s="2">
        <v>123456789</v>
      </c>
      <c r="D224" s="2">
        <v>123456789</v>
      </c>
    </row>
    <row r="225" spans="1:4" x14ac:dyDescent="0.45">
      <c r="A225" s="4" t="s">
        <v>438</v>
      </c>
      <c r="B225" s="4">
        <f>(import_deflator_fuel!B225/import_deflator_fuel!B221-1)*100</f>
        <v>-14.146341463414625</v>
      </c>
      <c r="C225" s="2">
        <v>123456789</v>
      </c>
      <c r="D225" s="2">
        <v>123456789</v>
      </c>
    </row>
    <row r="226" spans="1:4" x14ac:dyDescent="0.45">
      <c r="A226" s="4" t="s">
        <v>441</v>
      </c>
      <c r="B226" s="4">
        <v>-14.1463</v>
      </c>
      <c r="C226" s="2">
        <v>123456789</v>
      </c>
      <c r="D226" s="2">
        <v>123456789</v>
      </c>
    </row>
  </sheetData>
  <phoneticPr fontId="3"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534AC-C659-4106-8851-CB8271F45EC5}">
  <sheetPr>
    <tabColor theme="9" tint="0.79998168889431442"/>
  </sheetPr>
  <dimension ref="A1:E226"/>
  <sheetViews>
    <sheetView topLeftCell="A213" workbookViewId="0">
      <selection activeCell="G231" sqref="G231"/>
    </sheetView>
  </sheetViews>
  <sheetFormatPr defaultRowHeight="14.25" x14ac:dyDescent="0.45"/>
  <cols>
    <col min="2" max="2" width="17.46484375" style="28" bestFit="1" customWidth="1"/>
  </cols>
  <sheetData>
    <row r="1" spans="1:4" x14ac:dyDescent="0.45">
      <c r="B1" s="28"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8">
        <f>spliced_mgdp!D7</f>
        <v>3.2292020331028071E-2</v>
      </c>
      <c r="C6" s="2">
        <v>123456789</v>
      </c>
      <c r="D6" s="2">
        <v>123456789</v>
      </c>
    </row>
    <row r="7" spans="1:4" x14ac:dyDescent="0.45">
      <c r="A7" t="s">
        <v>140</v>
      </c>
      <c r="B7" s="28">
        <f>spliced_mgdp!D8</f>
        <v>3.971177252739011E-2</v>
      </c>
      <c r="C7" s="2">
        <v>123456789</v>
      </c>
      <c r="D7" s="2">
        <v>123456789</v>
      </c>
    </row>
    <row r="8" spans="1:4" x14ac:dyDescent="0.45">
      <c r="A8" t="s">
        <v>141</v>
      </c>
      <c r="B8" s="28">
        <f>spliced_mgdp!D9</f>
        <v>3.4318491553993052E-2</v>
      </c>
      <c r="C8" s="2">
        <v>123456789</v>
      </c>
      <c r="D8" s="2">
        <v>123456789</v>
      </c>
    </row>
    <row r="9" spans="1:4" x14ac:dyDescent="0.45">
      <c r="A9" t="s">
        <v>142</v>
      </c>
      <c r="B9" s="28">
        <f>spliced_mgdp!D10</f>
        <v>4.1269026791145066E-2</v>
      </c>
      <c r="C9" s="2">
        <v>123456789</v>
      </c>
      <c r="D9" s="2">
        <v>123456789</v>
      </c>
    </row>
    <row r="10" spans="1:4" x14ac:dyDescent="0.45">
      <c r="A10" t="s">
        <v>143</v>
      </c>
      <c r="B10" s="28">
        <f>spliced_mgdp!D11</f>
        <v>4.9599545844574391E-2</v>
      </c>
      <c r="C10" s="2">
        <v>123456789</v>
      </c>
      <c r="D10" s="2">
        <v>123456789</v>
      </c>
    </row>
    <row r="11" spans="1:4" x14ac:dyDescent="0.45">
      <c r="A11" t="s">
        <v>144</v>
      </c>
      <c r="B11" s="28">
        <f>spliced_mgdp!D12</f>
        <v>3.5343623498052298E-2</v>
      </c>
      <c r="C11" s="2">
        <v>123456789</v>
      </c>
      <c r="D11" s="2">
        <v>123456789</v>
      </c>
    </row>
    <row r="12" spans="1:4" x14ac:dyDescent="0.45">
      <c r="A12" t="s">
        <v>145</v>
      </c>
      <c r="B12" s="28">
        <f>spliced_mgdp!D13</f>
        <v>4.6957358288956474E-2</v>
      </c>
      <c r="C12" s="2">
        <v>123456789</v>
      </c>
      <c r="D12" s="2">
        <v>123456789</v>
      </c>
    </row>
    <row r="13" spans="1:4" x14ac:dyDescent="0.45">
      <c r="A13" t="s">
        <v>146</v>
      </c>
      <c r="B13" s="28">
        <f>spliced_mgdp!D14</f>
        <v>9.2869391629657558E-2</v>
      </c>
      <c r="C13" s="2">
        <v>123456789</v>
      </c>
      <c r="D13" s="2">
        <v>123456789</v>
      </c>
    </row>
    <row r="14" spans="1:4" x14ac:dyDescent="0.45">
      <c r="A14" t="s">
        <v>147</v>
      </c>
      <c r="B14" s="28">
        <f>spliced_mgdp!D15</f>
        <v>6.8621180543079724E-2</v>
      </c>
      <c r="C14" s="2">
        <v>123456789</v>
      </c>
      <c r="D14" s="2">
        <v>123456789</v>
      </c>
    </row>
    <row r="15" spans="1:4" x14ac:dyDescent="0.45">
      <c r="A15" t="s">
        <v>148</v>
      </c>
      <c r="B15" s="28">
        <f>spliced_mgdp!D16</f>
        <v>5.6533745498712457E-2</v>
      </c>
      <c r="C15" s="2">
        <v>123456789</v>
      </c>
      <c r="D15" s="2">
        <v>123456789</v>
      </c>
    </row>
    <row r="16" spans="1:4" x14ac:dyDescent="0.45">
      <c r="A16" t="s">
        <v>149</v>
      </c>
      <c r="B16" s="28">
        <f>spliced_mgdp!D17</f>
        <v>3.7133409374870974E-2</v>
      </c>
      <c r="C16" s="2">
        <v>123456789</v>
      </c>
      <c r="D16" s="2">
        <v>123456789</v>
      </c>
    </row>
    <row r="17" spans="1:4" x14ac:dyDescent="0.45">
      <c r="A17" t="s">
        <v>150</v>
      </c>
      <c r="B17" s="28">
        <f>spliced_mgdp!D18</f>
        <v>-3.9200182790043128E-2</v>
      </c>
      <c r="C17" s="2">
        <v>123456789</v>
      </c>
      <c r="D17" s="2">
        <v>123456789</v>
      </c>
    </row>
    <row r="18" spans="1:4" x14ac:dyDescent="0.45">
      <c r="A18" t="s">
        <v>151</v>
      </c>
      <c r="B18" s="28">
        <f>spliced_mgdp!D19</f>
        <v>-2.681936901666444E-2</v>
      </c>
      <c r="C18" s="2">
        <v>123456789</v>
      </c>
      <c r="D18" s="2">
        <v>123456789</v>
      </c>
    </row>
    <row r="19" spans="1:4" x14ac:dyDescent="0.45">
      <c r="A19" t="s">
        <v>152</v>
      </c>
      <c r="B19" s="28">
        <f>spliced_mgdp!D20</f>
        <v>-1.1474401749391723E-2</v>
      </c>
      <c r="C19" s="2">
        <v>123456789</v>
      </c>
      <c r="D19" s="2">
        <v>123456789</v>
      </c>
    </row>
    <row r="20" spans="1:4" x14ac:dyDescent="0.45">
      <c r="A20" t="s">
        <v>153</v>
      </c>
      <c r="B20" s="28">
        <f>spliced_mgdp!D21</f>
        <v>-2.2310554081510045E-2</v>
      </c>
      <c r="C20" s="2">
        <v>123456789</v>
      </c>
      <c r="D20" s="2">
        <v>123456789</v>
      </c>
    </row>
    <row r="21" spans="1:4" x14ac:dyDescent="0.45">
      <c r="A21" t="s">
        <v>154</v>
      </c>
      <c r="B21" s="28">
        <f>spliced_mgdp!D22</f>
        <v>6.1139652862439373E-3</v>
      </c>
      <c r="C21" s="2">
        <v>123456789</v>
      </c>
      <c r="D21" s="2">
        <v>123456789</v>
      </c>
    </row>
    <row r="22" spans="1:4" x14ac:dyDescent="0.45">
      <c r="A22" t="s">
        <v>155</v>
      </c>
      <c r="B22" s="28">
        <f>spliced_mgdp!D23</f>
        <v>-2.4564597524054543E-2</v>
      </c>
      <c r="C22" s="2">
        <v>123456789</v>
      </c>
      <c r="D22" s="2">
        <v>123456789</v>
      </c>
    </row>
    <row r="23" spans="1:4" x14ac:dyDescent="0.45">
      <c r="A23" t="s">
        <v>156</v>
      </c>
      <c r="B23" s="28">
        <f>spliced_mgdp!D24</f>
        <v>-3.3534993709055438E-2</v>
      </c>
      <c r="C23" s="2">
        <v>123456789</v>
      </c>
      <c r="D23" s="2">
        <v>123456789</v>
      </c>
    </row>
    <row r="24" spans="1:4" x14ac:dyDescent="0.45">
      <c r="A24" t="s">
        <v>157</v>
      </c>
      <c r="B24" s="28">
        <f>spliced_mgdp!D25</f>
        <v>-7.6559354504405937E-3</v>
      </c>
      <c r="C24" s="2">
        <v>123456789</v>
      </c>
      <c r="D24" s="2">
        <v>123456789</v>
      </c>
    </row>
    <row r="25" spans="1:4" x14ac:dyDescent="0.45">
      <c r="A25" t="s">
        <v>158</v>
      </c>
      <c r="B25" s="28">
        <f>spliced_mgdp!D26</f>
        <v>8.8097206092582255E-3</v>
      </c>
      <c r="C25" s="2">
        <v>123456789</v>
      </c>
      <c r="D25" s="2">
        <v>123456789</v>
      </c>
    </row>
    <row r="26" spans="1:4" x14ac:dyDescent="0.45">
      <c r="A26" t="s">
        <v>159</v>
      </c>
      <c r="B26" s="28">
        <f>spliced_mgdp!D27</f>
        <v>2.3828417251043937E-2</v>
      </c>
      <c r="C26" s="2">
        <v>123456789</v>
      </c>
      <c r="D26" s="2">
        <v>123456789</v>
      </c>
    </row>
    <row r="27" spans="1:4" x14ac:dyDescent="0.45">
      <c r="A27" t="s">
        <v>160</v>
      </c>
      <c r="B27" s="28">
        <f>spliced_mgdp!D28</f>
        <v>3.9232074088399946E-2</v>
      </c>
      <c r="C27" s="2">
        <v>123456789</v>
      </c>
      <c r="D27" s="2">
        <v>123456789</v>
      </c>
    </row>
    <row r="28" spans="1:4" x14ac:dyDescent="0.45">
      <c r="A28" t="s">
        <v>161</v>
      </c>
      <c r="B28" s="28">
        <f>spliced_mgdp!D29</f>
        <v>4.9004188703873339E-2</v>
      </c>
      <c r="C28" s="2">
        <v>123456789</v>
      </c>
      <c r="D28" s="2">
        <v>123456789</v>
      </c>
    </row>
    <row r="29" spans="1:4" x14ac:dyDescent="0.45">
      <c r="A29" t="s">
        <v>162</v>
      </c>
      <c r="B29" s="28">
        <f>spliced_mgdp!D30</f>
        <v>3.2982878498142312E-2</v>
      </c>
      <c r="C29" s="2">
        <v>123456789</v>
      </c>
      <c r="D29" s="2">
        <v>123456789</v>
      </c>
    </row>
    <row r="30" spans="1:4" x14ac:dyDescent="0.45">
      <c r="A30" t="s">
        <v>163</v>
      </c>
      <c r="B30" s="28">
        <f>spliced_mgdp!D31</f>
        <v>2.7442752436231867E-2</v>
      </c>
      <c r="C30" s="2">
        <v>123456789</v>
      </c>
      <c r="D30" s="2">
        <v>123456789</v>
      </c>
    </row>
    <row r="31" spans="1:4" x14ac:dyDescent="0.45">
      <c r="A31" t="s">
        <v>164</v>
      </c>
      <c r="B31" s="28">
        <f>spliced_mgdp!D32</f>
        <v>2.1561317399256985E-2</v>
      </c>
      <c r="C31" s="2">
        <v>123456789</v>
      </c>
      <c r="D31" s="2">
        <v>123456789</v>
      </c>
    </row>
    <row r="32" spans="1:4" x14ac:dyDescent="0.45">
      <c r="A32" t="s">
        <v>165</v>
      </c>
      <c r="B32" s="28">
        <f>spliced_mgdp!D33</f>
        <v>1.7581469969056764E-2</v>
      </c>
      <c r="C32" s="2">
        <v>123456789</v>
      </c>
      <c r="D32" s="2">
        <v>123456789</v>
      </c>
    </row>
    <row r="33" spans="1:4" x14ac:dyDescent="0.45">
      <c r="A33" t="s">
        <v>166</v>
      </c>
      <c r="B33" s="28">
        <f>spliced_mgdp!D34</f>
        <v>2.6311734233171305E-2</v>
      </c>
      <c r="C33" s="2">
        <v>123456789</v>
      </c>
      <c r="D33" s="2">
        <v>123456789</v>
      </c>
    </row>
    <row r="34" spans="1:4" x14ac:dyDescent="0.45">
      <c r="A34" t="s">
        <v>167</v>
      </c>
      <c r="B34" s="28">
        <f>spliced_mgdp!D35</f>
        <v>4.4666869898238218E-2</v>
      </c>
      <c r="C34" s="2">
        <v>123456789</v>
      </c>
      <c r="D34" s="2">
        <v>123456789</v>
      </c>
    </row>
    <row r="35" spans="1:4" x14ac:dyDescent="0.45">
      <c r="A35" t="s">
        <v>168</v>
      </c>
      <c r="B35" s="28">
        <f>spliced_mgdp!D36</f>
        <v>5.1750567760793509E-2</v>
      </c>
      <c r="C35" s="2">
        <v>123456789</v>
      </c>
      <c r="D35" s="2">
        <v>123456789</v>
      </c>
    </row>
    <row r="36" spans="1:4" x14ac:dyDescent="0.45">
      <c r="A36" t="s">
        <v>169</v>
      </c>
      <c r="B36" s="28">
        <f>spliced_mgdp!D37</f>
        <v>4.3744832428154953E-2</v>
      </c>
      <c r="C36" s="2">
        <v>123456789</v>
      </c>
      <c r="D36" s="2">
        <v>123456789</v>
      </c>
    </row>
    <row r="37" spans="1:4" x14ac:dyDescent="0.45">
      <c r="A37" t="s">
        <v>170</v>
      </c>
      <c r="B37" s="28">
        <f>spliced_mgdp!D38</f>
        <v>3.1355305895406117E-2</v>
      </c>
      <c r="C37" s="2">
        <v>123456789</v>
      </c>
      <c r="D37" s="2">
        <v>123456789</v>
      </c>
    </row>
    <row r="38" spans="1:4" x14ac:dyDescent="0.45">
      <c r="A38" t="s">
        <v>171</v>
      </c>
      <c r="B38" s="28">
        <f>spliced_mgdp!D39</f>
        <v>6.270545340277793E-2</v>
      </c>
      <c r="C38" s="2">
        <v>123456789</v>
      </c>
      <c r="D38" s="2">
        <v>123456789</v>
      </c>
    </row>
    <row r="39" spans="1:4" x14ac:dyDescent="0.45">
      <c r="A39" t="s">
        <v>172</v>
      </c>
      <c r="B39" s="28">
        <f>spliced_mgdp!D40</f>
        <v>2.6754486060820412E-2</v>
      </c>
      <c r="C39" s="2">
        <v>123456789</v>
      </c>
      <c r="D39" s="2">
        <v>123456789</v>
      </c>
    </row>
    <row r="40" spans="1:4" x14ac:dyDescent="0.45">
      <c r="A40" t="s">
        <v>173</v>
      </c>
      <c r="B40" s="28">
        <f>spliced_mgdp!D41</f>
        <v>2.8070889779943542E-2</v>
      </c>
      <c r="C40" s="2">
        <v>123456789</v>
      </c>
      <c r="D40" s="2">
        <v>123456789</v>
      </c>
    </row>
    <row r="41" spans="1:4" x14ac:dyDescent="0.45">
      <c r="A41" t="s">
        <v>174</v>
      </c>
      <c r="B41" s="28">
        <f>spliced_mgdp!D42</f>
        <v>2.1158141293875811E-2</v>
      </c>
      <c r="C41" s="2">
        <v>123456789</v>
      </c>
      <c r="D41" s="2">
        <v>123456789</v>
      </c>
    </row>
    <row r="42" spans="1:4" x14ac:dyDescent="0.45">
      <c r="A42" t="s">
        <v>175</v>
      </c>
      <c r="B42" s="28">
        <f>spliced_mgdp!D43</f>
        <v>-4.1410454507234851E-2</v>
      </c>
      <c r="C42" s="2">
        <v>123456789</v>
      </c>
      <c r="D42" s="2">
        <v>123456789</v>
      </c>
    </row>
    <row r="43" spans="1:4" x14ac:dyDescent="0.45">
      <c r="A43" t="s">
        <v>176</v>
      </c>
      <c r="B43" s="28">
        <f>spliced_mgdp!D44</f>
        <v>-2.0125484160614247E-2</v>
      </c>
      <c r="C43" s="2">
        <v>123456789</v>
      </c>
      <c r="D43" s="2">
        <v>123456789</v>
      </c>
    </row>
    <row r="44" spans="1:4" x14ac:dyDescent="0.45">
      <c r="A44" t="s">
        <v>177</v>
      </c>
      <c r="B44" s="28">
        <f>spliced_mgdp!D45</f>
        <v>-4.0650805356098843E-2</v>
      </c>
      <c r="C44" s="2">
        <v>123456789</v>
      </c>
      <c r="D44" s="2">
        <v>123456789</v>
      </c>
    </row>
    <row r="45" spans="1:4" x14ac:dyDescent="0.45">
      <c r="A45" t="s">
        <v>178</v>
      </c>
      <c r="B45" s="28">
        <f>spliced_mgdp!D46</f>
        <v>-3.1570487760628138E-2</v>
      </c>
      <c r="C45" s="2">
        <v>123456789</v>
      </c>
      <c r="D45" s="2">
        <v>123456789</v>
      </c>
    </row>
    <row r="46" spans="1:4" x14ac:dyDescent="0.45">
      <c r="A46" t="s">
        <v>179</v>
      </c>
      <c r="B46" s="28">
        <f>spliced_mgdp!D47</f>
        <v>-8.5882661317368547E-3</v>
      </c>
      <c r="C46" s="2">
        <v>123456789</v>
      </c>
      <c r="D46" s="2">
        <v>123456789</v>
      </c>
    </row>
    <row r="47" spans="1:4" x14ac:dyDescent="0.45">
      <c r="A47" t="s">
        <v>180</v>
      </c>
      <c r="B47" s="28">
        <f>spliced_mgdp!D48</f>
        <v>4.1206569588978356E-3</v>
      </c>
      <c r="C47" s="2">
        <v>123456789</v>
      </c>
      <c r="D47" s="2">
        <v>123456789</v>
      </c>
    </row>
    <row r="48" spans="1:4" x14ac:dyDescent="0.45">
      <c r="A48" t="s">
        <v>181</v>
      </c>
      <c r="B48" s="28">
        <f>spliced_mgdp!D49</f>
        <v>1.5757964550931064E-2</v>
      </c>
      <c r="C48" s="2">
        <v>123456789</v>
      </c>
      <c r="D48" s="2">
        <v>123456789</v>
      </c>
    </row>
    <row r="49" spans="1:4" x14ac:dyDescent="0.45">
      <c r="A49" t="s">
        <v>182</v>
      </c>
      <c r="B49" s="28">
        <f>spliced_mgdp!D50</f>
        <v>1.8228957526137329E-2</v>
      </c>
      <c r="C49" s="2">
        <v>123456789</v>
      </c>
      <c r="D49" s="2">
        <v>123456789</v>
      </c>
    </row>
    <row r="50" spans="1:4" x14ac:dyDescent="0.45">
      <c r="A50" t="s">
        <v>183</v>
      </c>
      <c r="B50" s="28">
        <f>spliced_mgdp!D51</f>
        <v>2.5346167574336699E-2</v>
      </c>
      <c r="C50" s="2">
        <v>123456789</v>
      </c>
      <c r="D50" s="2">
        <v>123456789</v>
      </c>
    </row>
    <row r="51" spans="1:4" x14ac:dyDescent="0.45">
      <c r="A51" t="s">
        <v>184</v>
      </c>
      <c r="B51" s="28">
        <f>spliced_mgdp!D52</f>
        <v>1.5884571771837663E-2</v>
      </c>
      <c r="C51" s="2">
        <v>123456789</v>
      </c>
      <c r="D51" s="2">
        <v>123456789</v>
      </c>
    </row>
    <row r="52" spans="1:4" x14ac:dyDescent="0.45">
      <c r="A52" t="s">
        <v>185</v>
      </c>
      <c r="B52" s="28">
        <f>spliced_mgdp!D53</f>
        <v>2.1394716737713065E-2</v>
      </c>
      <c r="C52" s="2">
        <v>123456789</v>
      </c>
      <c r="D52" s="2">
        <v>123456789</v>
      </c>
    </row>
    <row r="53" spans="1:4" x14ac:dyDescent="0.45">
      <c r="A53" t="s">
        <v>186</v>
      </c>
      <c r="B53" s="28">
        <f>spliced_mgdp!D54</f>
        <v>3.9302932228029358E-2</v>
      </c>
      <c r="C53" s="2">
        <v>123456789</v>
      </c>
      <c r="D53" s="2">
        <v>123456789</v>
      </c>
    </row>
    <row r="54" spans="1:4" x14ac:dyDescent="0.45">
      <c r="A54" t="s">
        <v>187</v>
      </c>
      <c r="B54" s="28">
        <f>spliced_mgdp!D55</f>
        <v>3.59120686633944E-2</v>
      </c>
      <c r="C54" s="2">
        <v>123456789</v>
      </c>
      <c r="D54" s="2">
        <v>123456789</v>
      </c>
    </row>
    <row r="55" spans="1:4" x14ac:dyDescent="0.45">
      <c r="A55" t="s">
        <v>188</v>
      </c>
      <c r="B55" s="28">
        <f>spliced_mgdp!D56</f>
        <v>4.5296857472111623E-2</v>
      </c>
      <c r="C55" s="2">
        <v>123456789</v>
      </c>
      <c r="D55" s="2">
        <v>123456789</v>
      </c>
    </row>
    <row r="56" spans="1:4" x14ac:dyDescent="0.45">
      <c r="A56" t="s">
        <v>189</v>
      </c>
      <c r="B56" s="28">
        <f>spliced_mgdp!D57</f>
        <v>4.5973125899311726E-2</v>
      </c>
      <c r="C56" s="2">
        <v>123456789</v>
      </c>
      <c r="D56" s="2">
        <v>123456789</v>
      </c>
    </row>
    <row r="57" spans="1:4" x14ac:dyDescent="0.45">
      <c r="A57" t="s">
        <v>190</v>
      </c>
      <c r="B57" s="28">
        <f>spliced_mgdp!D58</f>
        <v>3.4969311085324653E-2</v>
      </c>
      <c r="C57" s="2">
        <v>123456789</v>
      </c>
      <c r="D57" s="2">
        <v>123456789</v>
      </c>
    </row>
    <row r="58" spans="1:4" x14ac:dyDescent="0.45">
      <c r="A58" t="s">
        <v>191</v>
      </c>
      <c r="B58" s="28">
        <f>spliced_mgdp!D59</f>
        <v>1.7976492566517746E-2</v>
      </c>
      <c r="C58" s="2">
        <v>123456789</v>
      </c>
      <c r="D58" s="2">
        <v>123456789</v>
      </c>
    </row>
    <row r="59" spans="1:4" x14ac:dyDescent="0.45">
      <c r="A59" t="s">
        <v>192</v>
      </c>
      <c r="B59" s="28">
        <f>spliced_mgdp!D60</f>
        <v>1.3758663094635974E-2</v>
      </c>
      <c r="C59" s="2">
        <v>123456789</v>
      </c>
      <c r="D59" s="2">
        <v>123456789</v>
      </c>
    </row>
    <row r="60" spans="1:4" x14ac:dyDescent="0.45">
      <c r="A60" t="s">
        <v>193</v>
      </c>
      <c r="B60" s="28">
        <f>spliced_mgdp!D61</f>
        <v>2.4309407248162763E-2</v>
      </c>
      <c r="C60" s="2">
        <v>123456789</v>
      </c>
      <c r="D60" s="2">
        <v>123456789</v>
      </c>
    </row>
    <row r="61" spans="1:4" x14ac:dyDescent="0.45">
      <c r="A61" t="s">
        <v>194</v>
      </c>
      <c r="B61" s="28">
        <f>spliced_mgdp!D62</f>
        <v>2.5551796819223576E-2</v>
      </c>
      <c r="C61" s="2">
        <v>123456789</v>
      </c>
      <c r="D61" s="2">
        <v>123456789</v>
      </c>
    </row>
    <row r="62" spans="1:4" x14ac:dyDescent="0.45">
      <c r="A62" t="s">
        <v>195</v>
      </c>
      <c r="B62" s="28">
        <f>spliced_mgdp!D63</f>
        <v>5.6693517228533344E-2</v>
      </c>
      <c r="C62" s="2">
        <v>123456789</v>
      </c>
      <c r="D62" s="2">
        <v>123456789</v>
      </c>
    </row>
    <row r="63" spans="1:4" x14ac:dyDescent="0.45">
      <c r="A63" t="s">
        <v>196</v>
      </c>
      <c r="B63" s="28">
        <f>spliced_mgdp!D64</f>
        <v>4.9192847803009157E-2</v>
      </c>
      <c r="C63" s="2">
        <v>123456789</v>
      </c>
      <c r="D63" s="2">
        <v>123456789</v>
      </c>
    </row>
    <row r="64" spans="1:4" x14ac:dyDescent="0.45">
      <c r="A64" t="s">
        <v>197</v>
      </c>
      <c r="B64" s="28">
        <f>spliced_mgdp!D65</f>
        <v>3.1790467122061405E-2</v>
      </c>
      <c r="C64" s="2">
        <v>123456789</v>
      </c>
      <c r="D64" s="2">
        <v>123456789</v>
      </c>
    </row>
    <row r="65" spans="1:4" x14ac:dyDescent="0.45">
      <c r="A65" t="s">
        <v>198</v>
      </c>
      <c r="B65" s="28">
        <f>spliced_mgdp!D66</f>
        <v>3.2441150093145937E-2</v>
      </c>
      <c r="C65" s="2">
        <v>123456789</v>
      </c>
      <c r="D65" s="2">
        <v>123456789</v>
      </c>
    </row>
    <row r="66" spans="1:4" x14ac:dyDescent="0.45">
      <c r="A66" t="s">
        <v>199</v>
      </c>
      <c r="B66" s="28">
        <f>spliced_mgdp!D67</f>
        <v>2.0270571778744306E-2</v>
      </c>
      <c r="C66" s="2">
        <v>123456789</v>
      </c>
      <c r="D66" s="2">
        <v>123456789</v>
      </c>
    </row>
    <row r="67" spans="1:4" x14ac:dyDescent="0.45">
      <c r="A67" t="s">
        <v>200</v>
      </c>
      <c r="B67" s="28">
        <f>spliced_mgdp!D68</f>
        <v>2.6827021982674688E-2</v>
      </c>
      <c r="C67" s="2">
        <v>123456789</v>
      </c>
      <c r="D67" s="2">
        <v>123456789</v>
      </c>
    </row>
    <row r="68" spans="1:4" x14ac:dyDescent="0.45">
      <c r="A68" t="s">
        <v>201</v>
      </c>
      <c r="B68" s="28">
        <f>spliced_mgdp!D69</f>
        <v>4.5400221448659628E-2</v>
      </c>
      <c r="C68" s="2">
        <v>123456789</v>
      </c>
      <c r="D68" s="2">
        <v>123456789</v>
      </c>
    </row>
    <row r="69" spans="1:4" x14ac:dyDescent="0.45">
      <c r="A69" t="s">
        <v>202</v>
      </c>
      <c r="B69" s="28">
        <f>spliced_mgdp!D70</f>
        <v>4.2063588532309515E-2</v>
      </c>
      <c r="C69" s="2">
        <v>123456789</v>
      </c>
      <c r="D69" s="2">
        <v>123456789</v>
      </c>
    </row>
    <row r="70" spans="1:4" x14ac:dyDescent="0.45">
      <c r="A70" t="s">
        <v>203</v>
      </c>
      <c r="B70" s="28">
        <f>spliced_mgdp!D71</f>
        <v>4.7946109315426602E-2</v>
      </c>
      <c r="C70" s="2">
        <v>123456789</v>
      </c>
      <c r="D70" s="2">
        <v>123456789</v>
      </c>
    </row>
    <row r="71" spans="1:4" x14ac:dyDescent="0.45">
      <c r="A71" t="s">
        <v>204</v>
      </c>
      <c r="B71" s="28">
        <f>spliced_mgdp!D72</f>
        <v>6.6224226154923779E-2</v>
      </c>
      <c r="C71" s="2">
        <v>123456789</v>
      </c>
      <c r="D71" s="2">
        <v>123456789</v>
      </c>
    </row>
    <row r="72" spans="1:4" x14ac:dyDescent="0.45">
      <c r="A72" t="s">
        <v>205</v>
      </c>
      <c r="B72" s="28">
        <f>spliced_mgdp!D73</f>
        <v>5.8500589206703382E-2</v>
      </c>
      <c r="C72" s="2">
        <v>123456789</v>
      </c>
      <c r="D72" s="2">
        <v>123456789</v>
      </c>
    </row>
    <row r="73" spans="1:4" x14ac:dyDescent="0.45">
      <c r="A73" t="s">
        <v>206</v>
      </c>
      <c r="B73" s="28">
        <f>spliced_mgdp!D74</f>
        <v>6.7660423595154826E-2</v>
      </c>
      <c r="C73" s="2">
        <v>123456789</v>
      </c>
      <c r="D73" s="2">
        <v>123456789</v>
      </c>
    </row>
    <row r="74" spans="1:4" x14ac:dyDescent="0.45">
      <c r="A74" t="s">
        <v>207</v>
      </c>
      <c r="B74" s="28">
        <f>spliced_mgdp!D75</f>
        <v>5.8225877253404723E-2</v>
      </c>
      <c r="C74" s="2">
        <v>123456789</v>
      </c>
      <c r="D74" s="2">
        <v>123456789</v>
      </c>
    </row>
    <row r="75" spans="1:4" x14ac:dyDescent="0.45">
      <c r="A75" t="s">
        <v>208</v>
      </c>
      <c r="B75" s="28">
        <f>spliced_mgdp!D76</f>
        <v>4.6047527898737936E-2</v>
      </c>
      <c r="C75" s="2">
        <v>123456789</v>
      </c>
      <c r="D75" s="2">
        <v>123456789</v>
      </c>
    </row>
    <row r="76" spans="1:4" x14ac:dyDescent="0.45">
      <c r="A76" t="s">
        <v>209</v>
      </c>
      <c r="B76" s="28">
        <f>spliced_mgdp!D77</f>
        <v>4.2591708820281612E-2</v>
      </c>
      <c r="C76" s="2">
        <v>123456789</v>
      </c>
      <c r="D76" s="2">
        <v>123456789</v>
      </c>
    </row>
    <row r="77" spans="1:4" x14ac:dyDescent="0.45">
      <c r="A77" t="s">
        <v>210</v>
      </c>
      <c r="B77" s="28">
        <f>spliced_mgdp!D78</f>
        <v>3.1350522171535944E-2</v>
      </c>
      <c r="C77" s="2">
        <v>123456789</v>
      </c>
      <c r="D77" s="2">
        <v>123456789</v>
      </c>
    </row>
    <row r="78" spans="1:4" x14ac:dyDescent="0.45">
      <c r="A78" t="s">
        <v>211</v>
      </c>
      <c r="B78" s="28">
        <f>spliced_mgdp!D79</f>
        <v>3.2246825266846649E-2</v>
      </c>
      <c r="C78" s="2">
        <v>123456789</v>
      </c>
      <c r="D78" s="2">
        <v>123456789</v>
      </c>
    </row>
    <row r="79" spans="1:4" x14ac:dyDescent="0.45">
      <c r="A79" t="s">
        <v>212</v>
      </c>
      <c r="B79" s="28">
        <f>spliced_mgdp!D80</f>
        <v>2.1429732512773997E-2</v>
      </c>
      <c r="C79" s="2">
        <v>123456789</v>
      </c>
      <c r="D79" s="2">
        <v>123456789</v>
      </c>
    </row>
    <row r="80" spans="1:4" x14ac:dyDescent="0.45">
      <c r="A80" t="s">
        <v>213</v>
      </c>
      <c r="B80" s="28">
        <f>spliced_mgdp!D81</f>
        <v>1.3203096648689587E-2</v>
      </c>
      <c r="C80" s="2">
        <v>123456789</v>
      </c>
      <c r="D80" s="2">
        <v>123456789</v>
      </c>
    </row>
    <row r="81" spans="1:4" x14ac:dyDescent="0.45">
      <c r="A81" t="s">
        <v>214</v>
      </c>
      <c r="B81" s="28">
        <f>spliced_mgdp!D82</f>
        <v>1.3378457197076086E-2</v>
      </c>
      <c r="C81" s="2">
        <v>123456789</v>
      </c>
      <c r="D81" s="2">
        <v>123456789</v>
      </c>
    </row>
    <row r="82" spans="1:4" x14ac:dyDescent="0.45">
      <c r="A82" t="s">
        <v>215</v>
      </c>
      <c r="B82" s="28">
        <f>spliced_mgdp!D83</f>
        <v>1.3824710386580836E-2</v>
      </c>
      <c r="C82" s="2">
        <v>123456789</v>
      </c>
      <c r="D82" s="2">
        <v>123456789</v>
      </c>
    </row>
    <row r="83" spans="1:4" x14ac:dyDescent="0.45">
      <c r="A83" t="s">
        <v>216</v>
      </c>
      <c r="B83" s="28">
        <f>spliced_mgdp!D84</f>
        <v>1.1591898132740056E-3</v>
      </c>
      <c r="C83" s="2">
        <v>123456789</v>
      </c>
      <c r="D83" s="2">
        <v>123456789</v>
      </c>
    </row>
    <row r="84" spans="1:4" x14ac:dyDescent="0.45">
      <c r="A84" t="s">
        <v>217</v>
      </c>
      <c r="B84" s="28">
        <f>spliced_mgdp!D85</f>
        <v>-3.7698013457342075E-3</v>
      </c>
      <c r="C84" s="2">
        <v>123456789</v>
      </c>
      <c r="D84" s="2">
        <v>123456789</v>
      </c>
    </row>
    <row r="85" spans="1:4" x14ac:dyDescent="0.45">
      <c r="A85" t="s">
        <v>218</v>
      </c>
      <c r="B85" s="28">
        <f>spliced_mgdp!D86</f>
        <v>-1.3912341545877897E-2</v>
      </c>
      <c r="C85" s="2">
        <v>123456789</v>
      </c>
      <c r="D85" s="2">
        <v>123456789</v>
      </c>
    </row>
    <row r="86" spans="1:4" x14ac:dyDescent="0.45">
      <c r="A86" t="s">
        <v>219</v>
      </c>
      <c r="B86" s="28">
        <f>spliced_mgdp!D87</f>
        <v>-2.1822151866490457E-2</v>
      </c>
      <c r="C86" s="2">
        <v>123456789</v>
      </c>
      <c r="D86" s="2">
        <v>123456789</v>
      </c>
    </row>
    <row r="87" spans="1:4" x14ac:dyDescent="0.45">
      <c r="A87" t="s">
        <v>220</v>
      </c>
      <c r="B87" s="28">
        <f>spliced_mgdp!D88</f>
        <v>-1.2775771415462924E-2</v>
      </c>
      <c r="C87" s="2">
        <v>123456789</v>
      </c>
      <c r="D87" s="2">
        <v>123456789</v>
      </c>
    </row>
    <row r="88" spans="1:4" x14ac:dyDescent="0.45">
      <c r="A88" t="s">
        <v>221</v>
      </c>
      <c r="B88" s="28">
        <f>spliced_mgdp!D89</f>
        <v>-6.3849431990383619E-3</v>
      </c>
      <c r="C88" s="2">
        <v>123456789</v>
      </c>
      <c r="D88" s="2">
        <v>123456789</v>
      </c>
    </row>
    <row r="89" spans="1:4" x14ac:dyDescent="0.45">
      <c r="A89" t="s">
        <v>222</v>
      </c>
      <c r="B89" s="28">
        <f>spliced_mgdp!D90</f>
        <v>-1.5229867731328156E-3</v>
      </c>
      <c r="C89" s="2">
        <v>123456789</v>
      </c>
      <c r="D89" s="2">
        <v>123456789</v>
      </c>
    </row>
    <row r="90" spans="1:4" x14ac:dyDescent="0.45">
      <c r="A90" t="s">
        <v>223</v>
      </c>
      <c r="B90" s="28">
        <f>spliced_mgdp!D91</f>
        <v>-1.8324293062666197E-3</v>
      </c>
      <c r="C90" s="2">
        <v>123456789</v>
      </c>
      <c r="D90" s="2">
        <v>123456789</v>
      </c>
    </row>
    <row r="91" spans="1:4" x14ac:dyDescent="0.45">
      <c r="A91" t="s">
        <v>224</v>
      </c>
      <c r="B91" s="28">
        <f>spliced_mgdp!D92</f>
        <v>4.9306206536861063E-3</v>
      </c>
      <c r="C91" s="2">
        <v>123456789</v>
      </c>
      <c r="D91" s="2">
        <v>123456789</v>
      </c>
    </row>
    <row r="92" spans="1:4" x14ac:dyDescent="0.45">
      <c r="A92" t="s">
        <v>225</v>
      </c>
      <c r="B92" s="28">
        <f>spliced_mgdp!D93</f>
        <v>1.1335387454931555E-2</v>
      </c>
      <c r="C92" s="2">
        <v>123456789</v>
      </c>
      <c r="D92" s="2">
        <v>123456789</v>
      </c>
    </row>
    <row r="93" spans="1:4" x14ac:dyDescent="0.45">
      <c r="A93" t="s">
        <v>226</v>
      </c>
      <c r="B93" s="28">
        <f>spliced_mgdp!D94</f>
        <v>1.6622494870859008E-2</v>
      </c>
      <c r="C93" s="2">
        <v>123456789</v>
      </c>
      <c r="D93" s="2">
        <v>123456789</v>
      </c>
    </row>
    <row r="94" spans="1:4" x14ac:dyDescent="0.45">
      <c r="A94" t="s">
        <v>227</v>
      </c>
      <c r="B94" s="28">
        <f>spliced_mgdp!D95</f>
        <v>2.2569248112347985E-2</v>
      </c>
      <c r="C94" s="2">
        <v>123456789</v>
      </c>
      <c r="D94" s="2">
        <v>123456789</v>
      </c>
    </row>
    <row r="95" spans="1:4" x14ac:dyDescent="0.45">
      <c r="A95" t="s">
        <v>228</v>
      </c>
      <c r="B95" s="28">
        <f>spliced_mgdp!D96</f>
        <v>2.6895452405038073E-2</v>
      </c>
      <c r="C95" s="2">
        <v>123456789</v>
      </c>
      <c r="D95" s="2">
        <v>123456789</v>
      </c>
    </row>
    <row r="96" spans="1:4" x14ac:dyDescent="0.45">
      <c r="A96" t="s">
        <v>229</v>
      </c>
      <c r="B96" s="28">
        <f>spliced_mgdp!D97</f>
        <v>2.6017110216631317E-2</v>
      </c>
      <c r="C96" s="2">
        <v>123456789</v>
      </c>
      <c r="D96" s="2">
        <v>123456789</v>
      </c>
    </row>
    <row r="97" spans="1:4" x14ac:dyDescent="0.45">
      <c r="A97" t="s">
        <v>230</v>
      </c>
      <c r="B97" s="28">
        <f>spliced_mgdp!D98</f>
        <v>3.0857885767067196E-2</v>
      </c>
      <c r="C97" s="2">
        <v>123456789</v>
      </c>
      <c r="D97" s="2">
        <v>123456789</v>
      </c>
    </row>
    <row r="98" spans="1:4" x14ac:dyDescent="0.45">
      <c r="A98" t="s">
        <v>231</v>
      </c>
      <c r="B98" s="28">
        <f>spliced_mgdp!D99</f>
        <v>3.5539387254407293E-2</v>
      </c>
      <c r="C98" s="2">
        <v>123456789</v>
      </c>
      <c r="D98" s="2">
        <v>123456789</v>
      </c>
    </row>
    <row r="99" spans="1:4" x14ac:dyDescent="0.45">
      <c r="A99" t="s">
        <v>232</v>
      </c>
      <c r="B99" s="28">
        <f>spliced_mgdp!D100</f>
        <v>3.6485395876389645E-2</v>
      </c>
      <c r="C99" s="2">
        <v>123456789</v>
      </c>
      <c r="D99" s="2">
        <v>123456789</v>
      </c>
    </row>
    <row r="100" spans="1:4" x14ac:dyDescent="0.45">
      <c r="A100" t="s">
        <v>233</v>
      </c>
      <c r="B100" s="28">
        <f>spliced_mgdp!D101</f>
        <v>3.3976052087943534E-2</v>
      </c>
      <c r="C100" s="2">
        <v>123456789</v>
      </c>
      <c r="D100" s="2">
        <v>123456789</v>
      </c>
    </row>
    <row r="101" spans="1:4" x14ac:dyDescent="0.45">
      <c r="A101" t="s">
        <v>234</v>
      </c>
      <c r="B101" s="28">
        <f>spliced_mgdp!D102</f>
        <v>2.9236994527640902E-2</v>
      </c>
      <c r="C101" s="2">
        <v>123456789</v>
      </c>
      <c r="D101" s="2">
        <v>123456789</v>
      </c>
    </row>
    <row r="102" spans="1:4" x14ac:dyDescent="0.45">
      <c r="A102" t="s">
        <v>235</v>
      </c>
      <c r="B102" s="28">
        <f>spliced_mgdp!D103</f>
        <v>2.2298166350299048E-2</v>
      </c>
      <c r="C102" s="2">
        <v>123456789</v>
      </c>
      <c r="D102" s="2">
        <v>123456789</v>
      </c>
    </row>
    <row r="103" spans="1:4" x14ac:dyDescent="0.45">
      <c r="A103" t="s">
        <v>236</v>
      </c>
      <c r="B103" s="28">
        <f>spliced_mgdp!D104</f>
        <v>2.3457477749007225E-2</v>
      </c>
      <c r="C103" s="2">
        <v>123456789</v>
      </c>
      <c r="D103" s="2">
        <v>123456789</v>
      </c>
    </row>
    <row r="104" spans="1:4" x14ac:dyDescent="0.45">
      <c r="A104" t="s">
        <v>237</v>
      </c>
      <c r="B104" s="28">
        <f>spliced_mgdp!D105</f>
        <v>2.2437915175406192E-2</v>
      </c>
      <c r="C104" s="2">
        <v>123456789</v>
      </c>
      <c r="D104" s="2">
        <v>123456789</v>
      </c>
    </row>
    <row r="105" spans="1:4" x14ac:dyDescent="0.45">
      <c r="A105" t="s">
        <v>238</v>
      </c>
      <c r="B105" s="28">
        <f>spliced_mgdp!D106</f>
        <v>2.4224054325011148E-2</v>
      </c>
      <c r="C105" s="2">
        <v>123456789</v>
      </c>
      <c r="D105" s="2">
        <v>123456789</v>
      </c>
    </row>
    <row r="106" spans="1:4" x14ac:dyDescent="0.45">
      <c r="A106" t="s">
        <v>239</v>
      </c>
      <c r="B106" s="28">
        <f>spliced_mgdp!D107</f>
        <v>2.5228296604513322E-2</v>
      </c>
      <c r="C106" s="2">
        <v>123456789</v>
      </c>
      <c r="D106" s="2">
        <v>123456789</v>
      </c>
    </row>
    <row r="107" spans="1:4" x14ac:dyDescent="0.45">
      <c r="A107" t="s">
        <v>240</v>
      </c>
      <c r="B107" s="28">
        <f>spliced_mgdp!D108</f>
        <v>2.2931051556059637E-2</v>
      </c>
      <c r="C107" s="2">
        <v>123456789</v>
      </c>
      <c r="D107" s="2">
        <v>123456789</v>
      </c>
    </row>
    <row r="108" spans="1:4" x14ac:dyDescent="0.45">
      <c r="A108" t="s">
        <v>241</v>
      </c>
      <c r="B108" s="28">
        <f>spliced_mgdp!D109</f>
        <v>3.3085336271190119E-2</v>
      </c>
      <c r="C108" s="2">
        <v>123456789</v>
      </c>
      <c r="D108" s="2">
        <v>123456789</v>
      </c>
    </row>
    <row r="109" spans="1:4" x14ac:dyDescent="0.45">
      <c r="A109" t="s">
        <v>242</v>
      </c>
      <c r="B109" s="28">
        <f>spliced_mgdp!D110</f>
        <v>4.1994759367664669E-2</v>
      </c>
      <c r="C109" s="2">
        <v>123456789</v>
      </c>
      <c r="D109" s="2">
        <v>123456789</v>
      </c>
    </row>
    <row r="110" spans="1:4" x14ac:dyDescent="0.45">
      <c r="A110" t="s">
        <v>243</v>
      </c>
      <c r="B110" s="28">
        <f>spliced_mgdp!D111</f>
        <v>4.9941477473239362E-2</v>
      </c>
      <c r="C110" s="2">
        <v>123456789</v>
      </c>
      <c r="D110" s="2">
        <v>123456789</v>
      </c>
    </row>
    <row r="111" spans="1:4" x14ac:dyDescent="0.45">
      <c r="A111" t="s">
        <v>244</v>
      </c>
      <c r="B111" s="28">
        <f>spliced_mgdp!D112</f>
        <v>4.9988330910735804E-2</v>
      </c>
      <c r="C111" s="2">
        <v>123456789</v>
      </c>
      <c r="D111" s="2">
        <v>123456789</v>
      </c>
    </row>
    <row r="112" spans="1:4" x14ac:dyDescent="0.45">
      <c r="A112" t="s">
        <v>245</v>
      </c>
      <c r="B112" s="28">
        <f>spliced_mgdp!D113</f>
        <v>5.1199454792192706E-2</v>
      </c>
      <c r="C112" s="2">
        <v>123456789</v>
      </c>
      <c r="D112" s="2">
        <v>123456789</v>
      </c>
    </row>
    <row r="113" spans="1:4" x14ac:dyDescent="0.45">
      <c r="A113" t="s">
        <v>246</v>
      </c>
      <c r="B113" s="28">
        <f>spliced_mgdp!D114</f>
        <v>4.0205072854829993E-2</v>
      </c>
      <c r="C113" s="2">
        <v>123456789</v>
      </c>
      <c r="D113" s="2">
        <v>123456789</v>
      </c>
    </row>
    <row r="114" spans="1:4" x14ac:dyDescent="0.45">
      <c r="A114" t="s">
        <v>247</v>
      </c>
      <c r="B114" s="28">
        <f>spliced_mgdp!D115</f>
        <v>3.6858974358974228E-2</v>
      </c>
      <c r="C114" s="2">
        <v>123456789</v>
      </c>
      <c r="D114" s="2">
        <v>123456789</v>
      </c>
    </row>
    <row r="115" spans="1:4" x14ac:dyDescent="0.45">
      <c r="A115" t="s">
        <v>248</v>
      </c>
      <c r="B115" s="28">
        <f>spliced_mgdp!D116</f>
        <v>3.0752916224814575E-2</v>
      </c>
      <c r="C115" s="2">
        <v>123456789</v>
      </c>
      <c r="D115" s="2">
        <v>123456789</v>
      </c>
    </row>
    <row r="116" spans="1:4" x14ac:dyDescent="0.45">
      <c r="A116" t="s">
        <v>249</v>
      </c>
      <c r="B116" s="28">
        <f>spliced_mgdp!D117</f>
        <v>2.3797071129707303E-2</v>
      </c>
      <c r="C116" s="2">
        <v>123456789</v>
      </c>
      <c r="D116" s="2">
        <v>123456789</v>
      </c>
    </row>
    <row r="117" spans="1:4" x14ac:dyDescent="0.45">
      <c r="A117" t="s">
        <v>250</v>
      </c>
      <c r="B117" s="28">
        <f>spliced_mgdp!D118</f>
        <v>2.2055007784120395E-2</v>
      </c>
      <c r="C117" s="2">
        <v>123456789</v>
      </c>
      <c r="D117" s="2">
        <v>123456789</v>
      </c>
    </row>
    <row r="118" spans="1:4" x14ac:dyDescent="0.45">
      <c r="A118" t="s">
        <v>251</v>
      </c>
      <c r="B118" s="28">
        <f>spliced_mgdp!D119</f>
        <v>1.6752577319587791E-2</v>
      </c>
      <c r="C118" s="2">
        <v>123456789</v>
      </c>
      <c r="D118" s="2">
        <v>123456789</v>
      </c>
    </row>
    <row r="119" spans="1:4" x14ac:dyDescent="0.45">
      <c r="A119" t="s">
        <v>252</v>
      </c>
      <c r="B119" s="28">
        <f>spliced_mgdp!D120</f>
        <v>3.1876606683804543E-2</v>
      </c>
      <c r="C119" s="2">
        <v>123456789</v>
      </c>
      <c r="D119" s="2">
        <v>123456789</v>
      </c>
    </row>
    <row r="120" spans="1:4" x14ac:dyDescent="0.45">
      <c r="A120" t="s">
        <v>253</v>
      </c>
      <c r="B120" s="28">
        <f>spliced_mgdp!D121</f>
        <v>4.3877551020408356E-2</v>
      </c>
      <c r="C120" s="2">
        <v>123456789</v>
      </c>
      <c r="D120" s="2">
        <v>123456789</v>
      </c>
    </row>
    <row r="121" spans="1:4" x14ac:dyDescent="0.45">
      <c r="A121" t="s">
        <v>254</v>
      </c>
      <c r="B121" s="28">
        <f>spliced_mgdp!D122</f>
        <v>5.2511415525114291E-2</v>
      </c>
      <c r="C121" s="2">
        <v>123456789</v>
      </c>
      <c r="D121" s="2">
        <v>123456789</v>
      </c>
    </row>
    <row r="122" spans="1:4" x14ac:dyDescent="0.45">
      <c r="A122" t="s">
        <v>255</v>
      </c>
      <c r="B122" s="28">
        <f>spliced_mgdp!D123</f>
        <v>5.1593323216995612E-2</v>
      </c>
      <c r="C122" s="2">
        <v>123456789</v>
      </c>
      <c r="D122" s="2">
        <v>123456789</v>
      </c>
    </row>
    <row r="123" spans="1:4" x14ac:dyDescent="0.45">
      <c r="A123" t="s">
        <v>256</v>
      </c>
      <c r="B123" s="28">
        <f>spliced_mgdp!D124</f>
        <v>4.2992047713717341E-2</v>
      </c>
      <c r="C123" s="2">
        <v>123456789</v>
      </c>
      <c r="D123" s="2">
        <v>123456789</v>
      </c>
    </row>
    <row r="124" spans="1:4" x14ac:dyDescent="0.45">
      <c r="A124" t="s">
        <v>257</v>
      </c>
      <c r="B124" s="28">
        <f>spliced_mgdp!D125</f>
        <v>3.2486565705911019E-2</v>
      </c>
      <c r="C124" s="2">
        <v>123456789</v>
      </c>
      <c r="D124" s="2">
        <v>123456789</v>
      </c>
    </row>
    <row r="125" spans="1:4" x14ac:dyDescent="0.45">
      <c r="A125" t="s">
        <v>258</v>
      </c>
      <c r="B125" s="28">
        <f>spliced_mgdp!D126</f>
        <v>2.753623188405796E-2</v>
      </c>
      <c r="C125" s="2">
        <v>123456789</v>
      </c>
      <c r="D125" s="2">
        <v>123456789</v>
      </c>
    </row>
    <row r="126" spans="1:4" x14ac:dyDescent="0.45">
      <c r="A126" t="s">
        <v>259</v>
      </c>
      <c r="B126" s="28">
        <f>spliced_mgdp!D127</f>
        <v>2.4197412553905284E-2</v>
      </c>
      <c r="C126" s="2">
        <v>123456789</v>
      </c>
      <c r="D126" s="2">
        <v>123456789</v>
      </c>
    </row>
    <row r="127" spans="1:4" x14ac:dyDescent="0.45">
      <c r="A127" t="s">
        <v>260</v>
      </c>
      <c r="B127" s="28">
        <f>spliced_mgdp!D128</f>
        <v>2.3084245597335018E-2</v>
      </c>
      <c r="C127" s="2">
        <v>123456789</v>
      </c>
      <c r="D127" s="2">
        <v>123456789</v>
      </c>
    </row>
    <row r="128" spans="1:4" x14ac:dyDescent="0.45">
      <c r="A128" t="s">
        <v>261</v>
      </c>
      <c r="B128" s="28">
        <f>spliced_mgdp!D129</f>
        <v>1.7477562588568807E-2</v>
      </c>
      <c r="C128" s="2">
        <v>123456789</v>
      </c>
      <c r="D128" s="2">
        <v>123456789</v>
      </c>
    </row>
    <row r="129" spans="1:4" x14ac:dyDescent="0.45">
      <c r="A129" t="s">
        <v>262</v>
      </c>
      <c r="B129" s="28">
        <f>spliced_mgdp!D130</f>
        <v>1.1726078799249473E-2</v>
      </c>
      <c r="C129" s="2">
        <v>123456789</v>
      </c>
      <c r="D129" s="2">
        <v>123456789</v>
      </c>
    </row>
    <row r="130" spans="1:4" x14ac:dyDescent="0.45">
      <c r="A130" t="s">
        <v>263</v>
      </c>
      <c r="B130" s="28">
        <f>spliced_mgdp!D131</f>
        <v>1.9383465670247624E-2</v>
      </c>
      <c r="C130" s="2">
        <v>123456789</v>
      </c>
      <c r="D130" s="2">
        <v>123456789</v>
      </c>
    </row>
    <row r="131" spans="1:4" x14ac:dyDescent="0.45">
      <c r="A131" t="s">
        <v>264</v>
      </c>
      <c r="B131" s="28">
        <f>spliced_mgdp!D132</f>
        <v>1.4192647743136222E-2</v>
      </c>
      <c r="C131" s="2">
        <v>123456789</v>
      </c>
      <c r="D131" s="2">
        <v>123456789</v>
      </c>
    </row>
    <row r="132" spans="1:4" x14ac:dyDescent="0.45">
      <c r="A132" t="s">
        <v>265</v>
      </c>
      <c r="B132" s="28">
        <f>spliced_mgdp!D133</f>
        <v>1.9498607242339761E-2</v>
      </c>
      <c r="C132" s="2">
        <v>123456789</v>
      </c>
      <c r="D132" s="2">
        <v>123456789</v>
      </c>
    </row>
    <row r="133" spans="1:4" x14ac:dyDescent="0.45">
      <c r="A133" t="s">
        <v>266</v>
      </c>
      <c r="B133" s="28">
        <f>spliced_mgdp!D134</f>
        <v>2.594995366079722E-2</v>
      </c>
      <c r="C133" s="2">
        <v>123456789</v>
      </c>
      <c r="D133" s="2">
        <v>123456789</v>
      </c>
    </row>
    <row r="134" spans="1:4" x14ac:dyDescent="0.45">
      <c r="A134" t="s">
        <v>267</v>
      </c>
      <c r="B134" s="28">
        <f>spliced_mgdp!D135</f>
        <v>2.9303184125519133E-2</v>
      </c>
      <c r="C134" s="2">
        <v>123456789</v>
      </c>
      <c r="D134" s="2">
        <v>123456789</v>
      </c>
    </row>
    <row r="135" spans="1:4" x14ac:dyDescent="0.45">
      <c r="A135" t="s">
        <v>268</v>
      </c>
      <c r="B135" s="28">
        <f>spliced_mgdp!D136</f>
        <v>3.1593406593406481E-2</v>
      </c>
      <c r="C135" s="2">
        <v>123456789</v>
      </c>
      <c r="D135" s="2">
        <v>123456789</v>
      </c>
    </row>
    <row r="136" spans="1:4" x14ac:dyDescent="0.45">
      <c r="A136" t="s">
        <v>269</v>
      </c>
      <c r="B136" s="28">
        <f>spliced_mgdp!D137</f>
        <v>3.4576888080072976E-2</v>
      </c>
      <c r="C136" s="2">
        <v>123456789</v>
      </c>
      <c r="D136" s="2">
        <v>123456789</v>
      </c>
    </row>
    <row r="137" spans="1:4" x14ac:dyDescent="0.45">
      <c r="A137" t="s">
        <v>270</v>
      </c>
      <c r="B137" s="28">
        <f>spliced_mgdp!D138</f>
        <v>2.9132791327913132E-2</v>
      </c>
      <c r="C137" s="2">
        <v>123456789</v>
      </c>
      <c r="D137" s="2">
        <v>123456789</v>
      </c>
    </row>
    <row r="138" spans="1:4" x14ac:dyDescent="0.45">
      <c r="A138" t="s">
        <v>271</v>
      </c>
      <c r="B138" s="28">
        <f>spliced_mgdp!D139</f>
        <v>2.2147651006711566E-2</v>
      </c>
      <c r="C138" s="2">
        <v>123456789</v>
      </c>
      <c r="D138" s="2">
        <v>123456789</v>
      </c>
    </row>
    <row r="139" spans="1:4" x14ac:dyDescent="0.45">
      <c r="A139" t="s">
        <v>272</v>
      </c>
      <c r="B139" s="28">
        <f>spliced_mgdp!D140</f>
        <v>1.617190961453252E-2</v>
      </c>
      <c r="C139" s="2">
        <v>123456789</v>
      </c>
      <c r="D139" s="2">
        <v>123456789</v>
      </c>
    </row>
    <row r="140" spans="1:4" x14ac:dyDescent="0.45">
      <c r="A140" t="s">
        <v>273</v>
      </c>
      <c r="B140" s="28">
        <f>spliced_mgdp!D141</f>
        <v>1.3620386643233617E-2</v>
      </c>
      <c r="C140" s="2">
        <v>123456789</v>
      </c>
      <c r="D140" s="2">
        <v>123456789</v>
      </c>
    </row>
    <row r="141" spans="1:4" x14ac:dyDescent="0.45">
      <c r="A141" t="s">
        <v>274</v>
      </c>
      <c r="B141" s="28">
        <f>spliced_mgdp!D142</f>
        <v>2.3026315789473673E-2</v>
      </c>
      <c r="C141" s="2">
        <v>123456789</v>
      </c>
      <c r="D141" s="2">
        <v>123456789</v>
      </c>
    </row>
    <row r="142" spans="1:4" x14ac:dyDescent="0.45">
      <c r="A142" t="s">
        <v>275</v>
      </c>
      <c r="B142" s="28">
        <f>spliced_mgdp!D143</f>
        <v>2.5349650349650421E-2</v>
      </c>
      <c r="C142" s="2">
        <v>123456789</v>
      </c>
      <c r="D142" s="2">
        <v>123456789</v>
      </c>
    </row>
    <row r="143" spans="1:4" x14ac:dyDescent="0.45">
      <c r="A143" t="s">
        <v>276</v>
      </c>
      <c r="B143" s="28">
        <f>spliced_mgdp!D144</f>
        <v>3.2679738562091609E-2</v>
      </c>
      <c r="C143" s="2">
        <v>123456789</v>
      </c>
      <c r="D143" s="2">
        <v>123456789</v>
      </c>
    </row>
    <row r="144" spans="1:4" x14ac:dyDescent="0.45">
      <c r="A144" t="s">
        <v>277</v>
      </c>
      <c r="B144" s="28">
        <f>spliced_mgdp!D145</f>
        <v>3.5961871750433083E-2</v>
      </c>
      <c r="C144" s="2">
        <v>123456789</v>
      </c>
      <c r="D144" s="2">
        <v>123456789</v>
      </c>
    </row>
    <row r="145" spans="1:4" x14ac:dyDescent="0.45">
      <c r="A145" t="s">
        <v>278</v>
      </c>
      <c r="B145" s="28">
        <f>spliced_mgdp!D146</f>
        <v>3.5438144329896781E-2</v>
      </c>
      <c r="C145" s="2">
        <v>123456789</v>
      </c>
      <c r="D145" s="2">
        <v>123456789</v>
      </c>
    </row>
    <row r="146" spans="1:4" x14ac:dyDescent="0.45">
      <c r="A146" t="s">
        <v>279</v>
      </c>
      <c r="B146" s="28">
        <f>spliced_mgdp!D147</f>
        <v>2.6819923371647514E-2</v>
      </c>
      <c r="C146" s="2">
        <v>123456789</v>
      </c>
      <c r="D146" s="2">
        <v>123456789</v>
      </c>
    </row>
    <row r="147" spans="1:4" x14ac:dyDescent="0.45">
      <c r="A147" t="s">
        <v>280</v>
      </c>
      <c r="B147" s="28">
        <f>spliced_mgdp!D148</f>
        <v>1.6638584667228118E-2</v>
      </c>
      <c r="C147" s="2">
        <v>123456789</v>
      </c>
      <c r="D147" s="2">
        <v>123456789</v>
      </c>
    </row>
    <row r="148" spans="1:4" x14ac:dyDescent="0.45">
      <c r="A148" t="s">
        <v>281</v>
      </c>
      <c r="B148" s="28">
        <f>spliced_mgdp!D149</f>
        <v>7.0803831736778733E-3</v>
      </c>
      <c r="C148" s="2">
        <v>123456789</v>
      </c>
      <c r="D148" s="2">
        <v>123456789</v>
      </c>
    </row>
    <row r="149" spans="1:4" x14ac:dyDescent="0.45">
      <c r="A149" t="s">
        <v>282</v>
      </c>
      <c r="B149" s="28">
        <f>spliced_mgdp!D150</f>
        <v>1.5748031496063186E-2</v>
      </c>
      <c r="C149" s="2">
        <v>123456789</v>
      </c>
      <c r="D149" s="2">
        <v>123456789</v>
      </c>
    </row>
    <row r="150" spans="1:4" x14ac:dyDescent="0.45">
      <c r="A150" t="s">
        <v>283</v>
      </c>
      <c r="B150" s="28">
        <f>spliced_mgdp!D151</f>
        <v>2.4420529801324253E-2</v>
      </c>
      <c r="C150" s="2">
        <v>123456789</v>
      </c>
      <c r="D150" s="2">
        <v>123456789</v>
      </c>
    </row>
    <row r="151" spans="1:4" x14ac:dyDescent="0.45">
      <c r="A151" t="s">
        <v>284</v>
      </c>
      <c r="B151" s="28">
        <f>spliced_mgdp!D152</f>
        <v>3.2258064516129226E-2</v>
      </c>
      <c r="C151" s="2">
        <v>123456789</v>
      </c>
      <c r="D151" s="2">
        <v>123456789</v>
      </c>
    </row>
    <row r="152" spans="1:4" x14ac:dyDescent="0.45">
      <c r="A152" t="s">
        <v>285</v>
      </c>
      <c r="B152" s="28">
        <f>spliced_mgdp!D153</f>
        <v>3.6464771322620493E-2</v>
      </c>
      <c r="C152" s="2">
        <v>123456789</v>
      </c>
      <c r="D152" s="2">
        <v>123456789</v>
      </c>
    </row>
    <row r="153" spans="1:4" x14ac:dyDescent="0.45">
      <c r="A153" t="s">
        <v>286</v>
      </c>
      <c r="B153" s="28">
        <f>spliced_mgdp!D154</f>
        <v>3.5030549898167118E-2</v>
      </c>
      <c r="C153" s="2">
        <v>123456789</v>
      </c>
      <c r="D153" s="2">
        <v>123456789</v>
      </c>
    </row>
    <row r="154" spans="1:4" x14ac:dyDescent="0.45">
      <c r="A154" t="s">
        <v>287</v>
      </c>
      <c r="B154" s="28">
        <f>spliced_mgdp!D155</f>
        <v>2.0169423154497768E-2</v>
      </c>
      <c r="C154" s="2">
        <v>123456789</v>
      </c>
      <c r="D154" s="2">
        <v>123456789</v>
      </c>
    </row>
    <row r="155" spans="1:4" x14ac:dyDescent="0.45">
      <c r="A155" t="s">
        <v>288</v>
      </c>
      <c r="B155" s="28">
        <f>spliced_mgdp!D156</f>
        <v>-1.9992003198723296E-3</v>
      </c>
      <c r="C155" s="2">
        <v>123456789</v>
      </c>
      <c r="D155" s="2">
        <v>123456789</v>
      </c>
    </row>
    <row r="156" spans="1:4" x14ac:dyDescent="0.45">
      <c r="A156" t="s">
        <v>289</v>
      </c>
      <c r="B156" s="28">
        <f>spliced_mgdp!D157</f>
        <v>-3.1931773105910444E-2</v>
      </c>
      <c r="C156" s="2">
        <v>123456789</v>
      </c>
      <c r="D156" s="2">
        <v>123456789</v>
      </c>
    </row>
    <row r="157" spans="1:4" x14ac:dyDescent="0.45">
      <c r="A157" t="s">
        <v>290</v>
      </c>
      <c r="B157" s="28">
        <f>spliced_mgdp!D158</f>
        <v>-5.702446724546173E-2</v>
      </c>
      <c r="C157" s="2">
        <v>123456789</v>
      </c>
      <c r="D157" s="2">
        <v>123456789</v>
      </c>
    </row>
    <row r="158" spans="1:4" x14ac:dyDescent="0.45">
      <c r="A158" t="s">
        <v>291</v>
      </c>
      <c r="B158" s="28">
        <f>spliced_mgdp!D159</f>
        <v>-5.923137876386686E-2</v>
      </c>
      <c r="C158" s="2">
        <v>123456789</v>
      </c>
      <c r="D158" s="2">
        <v>123456789</v>
      </c>
    </row>
    <row r="159" spans="1:4" x14ac:dyDescent="0.45">
      <c r="A159" t="s">
        <v>292</v>
      </c>
      <c r="B159" s="28">
        <f>spliced_mgdp!D160</f>
        <v>-4.3259557344064281E-2</v>
      </c>
      <c r="C159" s="2">
        <v>123456789</v>
      </c>
      <c r="D159" s="2">
        <v>123456789</v>
      </c>
    </row>
    <row r="160" spans="1:4" x14ac:dyDescent="0.45">
      <c r="A160" t="s">
        <v>293</v>
      </c>
      <c r="B160" s="28">
        <f>spliced_mgdp!D161</f>
        <v>-1.9539284245166488E-2</v>
      </c>
      <c r="C160" s="2">
        <v>123456789</v>
      </c>
      <c r="D160" s="2">
        <v>123456789</v>
      </c>
    </row>
    <row r="161" spans="1:4" x14ac:dyDescent="0.45">
      <c r="A161" t="s">
        <v>294</v>
      </c>
      <c r="B161" s="28">
        <f>spliced_mgdp!D162</f>
        <v>5.2454888795634425E-3</v>
      </c>
      <c r="C161" s="2">
        <v>123456789</v>
      </c>
      <c r="D161" s="2">
        <v>123456789</v>
      </c>
    </row>
    <row r="162" spans="1:4" x14ac:dyDescent="0.45">
      <c r="A162" t="s">
        <v>295</v>
      </c>
      <c r="B162" s="28">
        <f>spliced_mgdp!D163</f>
        <v>2.5484414490311691E-2</v>
      </c>
      <c r="C162" s="2">
        <v>123456789</v>
      </c>
      <c r="D162" s="2">
        <v>123456789</v>
      </c>
    </row>
    <row r="163" spans="1:4" x14ac:dyDescent="0.45">
      <c r="A163" t="s">
        <v>296</v>
      </c>
      <c r="B163" s="28">
        <f>spliced_mgdp!D164</f>
        <v>3.0500631047539084E-2</v>
      </c>
      <c r="C163" s="2">
        <v>123456789</v>
      </c>
      <c r="D163" s="2">
        <v>123456789</v>
      </c>
    </row>
    <row r="164" spans="1:4" x14ac:dyDescent="0.45">
      <c r="A164" t="s">
        <v>297</v>
      </c>
      <c r="B164" s="28">
        <f>spliced_mgdp!D165</f>
        <v>3.1210724759112018E-2</v>
      </c>
      <c r="C164" s="2">
        <v>123456789</v>
      </c>
      <c r="D164" s="2">
        <v>123456789</v>
      </c>
    </row>
    <row r="165" spans="1:4" x14ac:dyDescent="0.45">
      <c r="A165" t="s">
        <v>298</v>
      </c>
      <c r="B165" s="28">
        <f>spliced_mgdp!D166</f>
        <v>1.7434620174346271E-2</v>
      </c>
      <c r="C165" s="2">
        <v>123456789</v>
      </c>
      <c r="D165" s="2">
        <v>123456789</v>
      </c>
    </row>
    <row r="166" spans="1:4" x14ac:dyDescent="0.45">
      <c r="A166" t="s">
        <v>299</v>
      </c>
      <c r="B166" s="28">
        <f>spliced_mgdp!D167</f>
        <v>5.33223954060702E-3</v>
      </c>
      <c r="C166" s="2">
        <v>123456789</v>
      </c>
      <c r="D166" s="2">
        <v>123456789</v>
      </c>
    </row>
    <row r="167" spans="1:4" x14ac:dyDescent="0.45">
      <c r="A167" t="s">
        <v>300</v>
      </c>
      <c r="B167" s="28">
        <f>spliced_mgdp!D168</f>
        <v>3.8743882544862718E-3</v>
      </c>
      <c r="C167" s="2">
        <v>123456789</v>
      </c>
      <c r="D167" s="2">
        <v>123456789</v>
      </c>
    </row>
    <row r="168" spans="1:4" x14ac:dyDescent="0.45">
      <c r="A168" t="s">
        <v>301</v>
      </c>
      <c r="B168" s="28">
        <f>spliced_mgdp!D169</f>
        <v>4.0766408479409044E-4</v>
      </c>
      <c r="C168" s="2">
        <v>123456789</v>
      </c>
      <c r="D168" s="2">
        <v>123456789</v>
      </c>
    </row>
    <row r="169" spans="1:4" x14ac:dyDescent="0.45">
      <c r="A169" t="s">
        <v>302</v>
      </c>
      <c r="B169" s="28">
        <f>spliced_mgdp!D170</f>
        <v>1.5281173594132058E-2</v>
      </c>
      <c r="C169" s="2">
        <v>123456789</v>
      </c>
      <c r="D169" s="2">
        <v>123456789</v>
      </c>
    </row>
    <row r="170" spans="1:4" x14ac:dyDescent="0.45">
      <c r="A170" t="s">
        <v>303</v>
      </c>
      <c r="B170" s="28">
        <f>spliced_mgdp!D171</f>
        <v>1.5478615071283119E-2</v>
      </c>
      <c r="C170" s="2">
        <v>123456789</v>
      </c>
      <c r="D170" s="2">
        <v>123456789</v>
      </c>
    </row>
    <row r="171" spans="1:4" x14ac:dyDescent="0.45">
      <c r="A171" t="s">
        <v>304</v>
      </c>
      <c r="B171" s="28">
        <f>spliced_mgdp!D172</f>
        <v>2.4583502641202681E-2</v>
      </c>
      <c r="C171" s="2">
        <v>123456789</v>
      </c>
      <c r="D171" s="2">
        <v>123456789</v>
      </c>
    </row>
    <row r="172" spans="1:4" x14ac:dyDescent="0.45">
      <c r="A172" t="s">
        <v>305</v>
      </c>
      <c r="B172" s="28">
        <f>spliced_mgdp!D173</f>
        <v>1.94647201946474E-2</v>
      </c>
      <c r="C172" s="2">
        <v>123456789</v>
      </c>
      <c r="D172" s="2">
        <v>123456789</v>
      </c>
    </row>
    <row r="173" spans="1:4" x14ac:dyDescent="0.45">
      <c r="A173" t="s">
        <v>306</v>
      </c>
      <c r="B173" s="28">
        <f>spliced_mgdp!D174</f>
        <v>1.0240963855421725E-2</v>
      </c>
      <c r="C173" s="2">
        <v>123456789</v>
      </c>
      <c r="D173" s="2">
        <v>123456789</v>
      </c>
    </row>
    <row r="174" spans="1:4" x14ac:dyDescent="0.45">
      <c r="A174" t="s">
        <v>307</v>
      </c>
      <c r="B174" s="28">
        <f>spliced_mgdp!D175</f>
        <v>1.7276014463640132E-2</v>
      </c>
      <c r="C174" s="2">
        <v>123456789</v>
      </c>
      <c r="D174" s="2">
        <v>123456789</v>
      </c>
    </row>
    <row r="175" spans="1:4" x14ac:dyDescent="0.45">
      <c r="A175" t="s">
        <v>308</v>
      </c>
      <c r="B175" s="28">
        <f>spliced_mgdp!D176</f>
        <v>1.3916500994035852E-2</v>
      </c>
      <c r="C175" s="2">
        <v>123456789</v>
      </c>
      <c r="D175" s="2">
        <v>123456789</v>
      </c>
    </row>
    <row r="176" spans="1:4" x14ac:dyDescent="0.45">
      <c r="A176" t="s">
        <v>309</v>
      </c>
      <c r="B176" s="28">
        <f>spliced_mgdp!D177</f>
        <v>2.3487261146496907E-2</v>
      </c>
      <c r="C176" s="2">
        <v>123456789</v>
      </c>
      <c r="D176" s="2">
        <v>123456789</v>
      </c>
    </row>
    <row r="177" spans="1:4" x14ac:dyDescent="0.45">
      <c r="A177" t="s">
        <v>310</v>
      </c>
      <c r="B177" s="28">
        <f>spliced_mgdp!D178</f>
        <v>2.6409849086576953E-2</v>
      </c>
      <c r="C177" s="2">
        <v>123456789</v>
      </c>
      <c r="D177" s="2">
        <v>123456789</v>
      </c>
    </row>
    <row r="178" spans="1:4" x14ac:dyDescent="0.45">
      <c r="A178" t="s">
        <v>311</v>
      </c>
      <c r="B178" s="28">
        <f>spliced_mgdp!D179</f>
        <v>2.9585798816567976E-2</v>
      </c>
      <c r="C178" s="2">
        <v>123456789</v>
      </c>
      <c r="D178" s="2">
        <v>123456789</v>
      </c>
    </row>
    <row r="179" spans="1:4" x14ac:dyDescent="0.45">
      <c r="A179" t="s">
        <v>312</v>
      </c>
      <c r="B179" s="28">
        <f>spliced_mgdp!D180</f>
        <v>3.3307210031348067E-2</v>
      </c>
      <c r="C179" s="2">
        <v>123456789</v>
      </c>
      <c r="D179" s="2">
        <v>123456789</v>
      </c>
    </row>
    <row r="180" spans="1:4" x14ac:dyDescent="0.45">
      <c r="A180" t="s">
        <v>313</v>
      </c>
      <c r="B180" s="28">
        <f>spliced_mgdp!D181</f>
        <v>3.3294392523364413E-2</v>
      </c>
      <c r="C180" s="2">
        <v>123456789</v>
      </c>
      <c r="D180" s="2">
        <v>123456789</v>
      </c>
    </row>
    <row r="181" spans="1:4" x14ac:dyDescent="0.45">
      <c r="A181" t="s">
        <v>314</v>
      </c>
      <c r="B181" s="28">
        <f>spliced_mgdp!D182</f>
        <v>2.5279814743342399E-2</v>
      </c>
      <c r="C181" s="2">
        <v>123456789</v>
      </c>
      <c r="D181" s="2">
        <v>123456789</v>
      </c>
    </row>
    <row r="182" spans="1:4" x14ac:dyDescent="0.45">
      <c r="A182" t="s">
        <v>315</v>
      </c>
      <c r="B182" s="28">
        <f>spliced_mgdp!D183</f>
        <v>2.1032504780114758E-2</v>
      </c>
      <c r="C182" s="2">
        <v>123456789</v>
      </c>
      <c r="D182" s="2">
        <v>123456789</v>
      </c>
    </row>
    <row r="183" spans="1:4" x14ac:dyDescent="0.45">
      <c r="A183" t="s">
        <v>316</v>
      </c>
      <c r="B183" s="28">
        <f>spliced_mgdp!D184</f>
        <v>1.4588859416445832E-2</v>
      </c>
      <c r="C183" s="2">
        <v>123456789</v>
      </c>
      <c r="D183" s="2">
        <v>123456789</v>
      </c>
    </row>
    <row r="184" spans="1:4" x14ac:dyDescent="0.45">
      <c r="A184" t="s">
        <v>317</v>
      </c>
      <c r="B184" s="28">
        <f>spliced_mgdp!D185</f>
        <v>1.3376036171816263E-2</v>
      </c>
      <c r="C184" s="2">
        <v>123456789</v>
      </c>
      <c r="D184" s="2">
        <v>123456789</v>
      </c>
    </row>
    <row r="185" spans="1:4" x14ac:dyDescent="0.45">
      <c r="A185" t="s">
        <v>318</v>
      </c>
      <c r="B185" s="28">
        <f>spliced_mgdp!D186</f>
        <v>1.823993982700256E-2</v>
      </c>
      <c r="C185" s="2">
        <v>123456789</v>
      </c>
      <c r="D185" s="2">
        <v>123456789</v>
      </c>
    </row>
    <row r="186" spans="1:4" x14ac:dyDescent="0.45">
      <c r="A186" t="s">
        <v>319</v>
      </c>
      <c r="B186" s="28">
        <f>spliced_mgdp!D187</f>
        <v>2.3417010116148607E-2</v>
      </c>
      <c r="C186" s="2">
        <v>123456789</v>
      </c>
      <c r="D186" s="2">
        <v>123456789</v>
      </c>
    </row>
    <row r="187" spans="1:4" x14ac:dyDescent="0.45">
      <c r="A187" t="s">
        <v>320</v>
      </c>
      <c r="B187" s="28">
        <f>spliced_mgdp!D188</f>
        <v>2.277819268110548E-2</v>
      </c>
      <c r="C187" s="2">
        <v>123456789</v>
      </c>
      <c r="D187" s="2">
        <v>123456789</v>
      </c>
    </row>
    <row r="188" spans="1:4" x14ac:dyDescent="0.45">
      <c r="A188" t="s">
        <v>321</v>
      </c>
      <c r="B188" s="28">
        <f>spliced_mgdp!D189</f>
        <v>2.3588410104011581E-2</v>
      </c>
      <c r="C188" s="2">
        <v>123456789</v>
      </c>
      <c r="D188" s="2">
        <v>123456789</v>
      </c>
    </row>
    <row r="189" spans="1:4" x14ac:dyDescent="0.45">
      <c r="A189" t="s">
        <v>322</v>
      </c>
      <c r="B189" s="28">
        <f>spliced_mgdp!D190</f>
        <v>3.0834564254061947E-2</v>
      </c>
      <c r="C189" s="2">
        <v>123456789</v>
      </c>
      <c r="D189" s="2">
        <v>123456789</v>
      </c>
    </row>
    <row r="190" spans="1:4" x14ac:dyDescent="0.45">
      <c r="A190" t="s">
        <v>323</v>
      </c>
      <c r="B190" s="28">
        <f>spliced_mgdp!D191</f>
        <v>2.9465592972181431E-2</v>
      </c>
      <c r="C190" s="2">
        <v>123456789</v>
      </c>
      <c r="D190" s="2">
        <v>123456789</v>
      </c>
    </row>
    <row r="191" spans="1:4" x14ac:dyDescent="0.45">
      <c r="A191" t="s">
        <v>324</v>
      </c>
      <c r="B191" s="28">
        <f>spliced_mgdp!D192</f>
        <v>3.0601092896175075E-2</v>
      </c>
      <c r="C191" s="2">
        <v>123456789</v>
      </c>
      <c r="D191" s="2">
        <v>123456789</v>
      </c>
    </row>
    <row r="192" spans="1:4" x14ac:dyDescent="0.45">
      <c r="A192" t="s">
        <v>325</v>
      </c>
      <c r="B192" s="28">
        <f>spliced_mgdp!D193</f>
        <v>3.0741410488245968E-2</v>
      </c>
      <c r="C192" s="2">
        <v>123456789</v>
      </c>
      <c r="D192" s="2">
        <v>123456789</v>
      </c>
    </row>
    <row r="193" spans="1:4" x14ac:dyDescent="0.45">
      <c r="A193" t="s">
        <v>326</v>
      </c>
      <c r="B193" s="28">
        <f>spliced_mgdp!D194</f>
        <v>2.2556390977443552E-2</v>
      </c>
      <c r="C193" s="2">
        <v>123456789</v>
      </c>
      <c r="D193" s="2">
        <v>123456789</v>
      </c>
    </row>
    <row r="194" spans="1:4" x14ac:dyDescent="0.45">
      <c r="A194" t="s">
        <v>327</v>
      </c>
      <c r="B194" s="28">
        <f>spliced_mgdp!D195</f>
        <v>1.4737215909090828E-2</v>
      </c>
      <c r="C194" s="2">
        <v>123456789</v>
      </c>
      <c r="D194" s="2">
        <v>123456789</v>
      </c>
    </row>
    <row r="195" spans="1:4" x14ac:dyDescent="0.45">
      <c r="A195" t="s">
        <v>328</v>
      </c>
      <c r="B195" s="28">
        <f>spliced_mgdp!D196</f>
        <v>1.2526464361326539E-2</v>
      </c>
      <c r="C195" s="2">
        <v>123456789</v>
      </c>
      <c r="D195" s="2">
        <v>123456789</v>
      </c>
    </row>
    <row r="196" spans="1:4" x14ac:dyDescent="0.45">
      <c r="A196" t="s">
        <v>329</v>
      </c>
      <c r="B196" s="28">
        <f>spliced_mgdp!D197</f>
        <v>8.9379600420609329E-3</v>
      </c>
      <c r="C196" s="2">
        <v>123456789</v>
      </c>
      <c r="D196" s="2">
        <v>123456789</v>
      </c>
    </row>
    <row r="197" spans="1:4" x14ac:dyDescent="0.45">
      <c r="A197" t="s">
        <v>330</v>
      </c>
      <c r="B197" s="28">
        <f>spliced_mgdp!D198</f>
        <v>1.138353765323985E-2</v>
      </c>
      <c r="C197" s="2">
        <v>123456789</v>
      </c>
      <c r="D197" s="2">
        <v>123456789</v>
      </c>
    </row>
    <row r="198" spans="1:4" x14ac:dyDescent="0.45">
      <c r="A198" t="s">
        <v>331</v>
      </c>
      <c r="B198" s="28">
        <f>spliced_mgdp!D199</f>
        <v>8.9098532494760185E-3</v>
      </c>
      <c r="C198" s="2">
        <v>123456789</v>
      </c>
      <c r="D198" s="2">
        <v>123456789</v>
      </c>
    </row>
    <row r="199" spans="1:4" x14ac:dyDescent="0.45">
      <c r="A199" t="s">
        <v>332</v>
      </c>
      <c r="B199" s="28">
        <f>spliced_mgdp!D200</f>
        <v>1.4275766016712765E-2</v>
      </c>
      <c r="C199" s="2">
        <v>123456789</v>
      </c>
      <c r="D199" s="2">
        <v>123456789</v>
      </c>
    </row>
    <row r="200" spans="1:4" x14ac:dyDescent="0.45">
      <c r="A200" t="s">
        <v>333</v>
      </c>
      <c r="B200" s="28">
        <f>spliced_mgdp!D201</f>
        <v>1.4091858037578398E-2</v>
      </c>
      <c r="C200" s="2">
        <v>123456789</v>
      </c>
      <c r="D200" s="2">
        <v>123456789</v>
      </c>
    </row>
    <row r="201" spans="1:4" x14ac:dyDescent="0.45">
      <c r="A201" t="s">
        <v>334</v>
      </c>
      <c r="B201" s="28">
        <f>spliced_mgdp!D202</f>
        <v>1.0384215991692702E-2</v>
      </c>
      <c r="C201" s="2">
        <v>123456789</v>
      </c>
      <c r="D201" s="2">
        <v>123456789</v>
      </c>
    </row>
    <row r="202" spans="1:4" x14ac:dyDescent="0.45">
      <c r="A202" t="s">
        <v>335</v>
      </c>
      <c r="B202" s="28">
        <f>spliced_mgdp!D203</f>
        <v>-0.2391229281767957</v>
      </c>
      <c r="C202" s="2">
        <v>123456789</v>
      </c>
      <c r="D202" s="2">
        <v>123456789</v>
      </c>
    </row>
    <row r="203" spans="1:4" x14ac:dyDescent="0.45">
      <c r="A203" t="s">
        <v>336</v>
      </c>
      <c r="B203" s="28">
        <f>spliced_mgdp!D204</f>
        <v>-9.3621399176954778E-2</v>
      </c>
      <c r="C203" s="2">
        <v>123456789</v>
      </c>
      <c r="D203" s="2">
        <v>123456789</v>
      </c>
    </row>
    <row r="204" spans="1:4" x14ac:dyDescent="0.45">
      <c r="A204" t="s">
        <v>337</v>
      </c>
      <c r="B204" s="28">
        <f>spliced_mgdp!D205</f>
        <v>-7.2334590332533533E-2</v>
      </c>
      <c r="C204" s="2">
        <v>123456789</v>
      </c>
      <c r="D204" s="2">
        <v>123456789</v>
      </c>
    </row>
    <row r="205" spans="1:4" x14ac:dyDescent="0.45">
      <c r="A205" t="s">
        <v>338</v>
      </c>
      <c r="B205" s="28">
        <f>spliced_mgdp!D206</f>
        <v>-6.8365553602811935E-2</v>
      </c>
      <c r="C205" s="2">
        <v>123456789</v>
      </c>
      <c r="D205" s="2">
        <v>123456789</v>
      </c>
    </row>
    <row r="206" spans="1:4" x14ac:dyDescent="0.45">
      <c r="A206" t="s">
        <v>339</v>
      </c>
      <c r="B206" s="28">
        <f>spliced_mgdp!D207</f>
        <v>0.25197368421052646</v>
      </c>
      <c r="C206" s="2">
        <v>123456789</v>
      </c>
      <c r="D206" s="2">
        <v>123456789</v>
      </c>
    </row>
    <row r="207" spans="1:4" x14ac:dyDescent="0.45">
      <c r="A207" t="s">
        <v>340</v>
      </c>
      <c r="B207" s="28">
        <f>spliced_mgdp!D208</f>
        <v>8.764044943820215E-2</v>
      </c>
      <c r="C207" s="2">
        <v>123456789</v>
      </c>
      <c r="D207" s="2">
        <v>123456789</v>
      </c>
    </row>
    <row r="208" spans="1:4" x14ac:dyDescent="0.45">
      <c r="A208" t="s">
        <v>341</v>
      </c>
      <c r="B208" s="28">
        <f>spliced_mgdp!D209</f>
        <v>8.6836283185840912E-2</v>
      </c>
      <c r="C208" s="2">
        <v>123456789</v>
      </c>
      <c r="D208" s="2">
        <v>123456789</v>
      </c>
    </row>
    <row r="209" spans="1:5" x14ac:dyDescent="0.45">
      <c r="A209" t="s">
        <v>342</v>
      </c>
      <c r="B209" s="28">
        <f>spliced_mgdp!D210</f>
        <v>0.10850111856823275</v>
      </c>
      <c r="C209" s="2">
        <v>123456789</v>
      </c>
      <c r="D209" s="2">
        <v>123456789</v>
      </c>
    </row>
    <row r="210" spans="1:5" x14ac:dyDescent="0.45">
      <c r="A210" t="s">
        <v>343</v>
      </c>
      <c r="B210" s="28">
        <f>spliced_mgdp!D211</f>
        <v>4.2682926829268331E-2</v>
      </c>
      <c r="C210" s="2">
        <v>123456789</v>
      </c>
      <c r="D210" s="2">
        <v>123456789</v>
      </c>
    </row>
    <row r="211" spans="1:5" x14ac:dyDescent="0.45">
      <c r="A211" t="s">
        <v>344</v>
      </c>
      <c r="B211" s="28">
        <f>spliced_mgdp!D212</f>
        <v>2.8483184625943903E-2</v>
      </c>
      <c r="C211" s="2">
        <v>123456789</v>
      </c>
      <c r="D211" s="2">
        <v>123456789</v>
      </c>
    </row>
    <row r="212" spans="1:5" x14ac:dyDescent="0.45">
      <c r="A212" t="s">
        <v>345</v>
      </c>
      <c r="B212" s="28">
        <f>spliced_mgdp!D213</f>
        <v>1.916553595658077E-2</v>
      </c>
      <c r="C212" s="2">
        <v>123456789</v>
      </c>
      <c r="D212" s="2">
        <v>123456789</v>
      </c>
    </row>
    <row r="213" spans="1:5" x14ac:dyDescent="0.45">
      <c r="A213" t="s">
        <v>346</v>
      </c>
      <c r="B213" s="28">
        <f>spliced_mgdp!D214</f>
        <v>1.0420168067226676E-2</v>
      </c>
      <c r="C213" s="2">
        <v>123456789</v>
      </c>
      <c r="D213" s="2">
        <v>123456789</v>
      </c>
    </row>
    <row r="214" spans="1:5" x14ac:dyDescent="0.45">
      <c r="A214" t="s">
        <v>347</v>
      </c>
      <c r="B214" s="28">
        <f>spliced_mgdp!D215</f>
        <v>3.1783205085311739E-3</v>
      </c>
      <c r="C214" s="2">
        <v>123456789</v>
      </c>
      <c r="D214" s="2">
        <v>123456789</v>
      </c>
    </row>
    <row r="215" spans="1:5" x14ac:dyDescent="0.45">
      <c r="A215" t="s">
        <v>348</v>
      </c>
      <c r="B215" s="28">
        <f>spliced_mgdp!D216</f>
        <v>3.8461538461538325E-3</v>
      </c>
      <c r="C215" s="2">
        <v>123456789</v>
      </c>
      <c r="D215" s="2">
        <v>123456789</v>
      </c>
    </row>
    <row r="216" spans="1:5" x14ac:dyDescent="0.45">
      <c r="A216" t="s">
        <v>349</v>
      </c>
      <c r="B216" s="28">
        <f>spliced_mgdp!D217</f>
        <v>-2.4999999999999467E-3</v>
      </c>
      <c r="C216" s="2">
        <v>123456789</v>
      </c>
      <c r="D216" s="2">
        <v>123456789</v>
      </c>
    </row>
    <row r="217" spans="1:5" x14ac:dyDescent="0.45">
      <c r="A217" t="s">
        <v>350</v>
      </c>
      <c r="B217" s="28">
        <f>spliced_mgdp!D218</f>
        <v>1.9980019980023744E-3</v>
      </c>
      <c r="C217" s="2">
        <v>123456789</v>
      </c>
      <c r="D217" s="2">
        <v>123456789</v>
      </c>
    </row>
    <row r="218" spans="1:5" x14ac:dyDescent="0.45">
      <c r="A218" t="s">
        <v>351</v>
      </c>
      <c r="B218" s="28">
        <f>spliced_mgdp!D219</f>
        <v>9.6537949400798961E-3</v>
      </c>
      <c r="C218" s="2">
        <v>123456789</v>
      </c>
      <c r="D218" s="2">
        <v>123456789</v>
      </c>
    </row>
    <row r="219" spans="1:5" x14ac:dyDescent="0.45">
      <c r="A219" t="s">
        <v>352</v>
      </c>
      <c r="B219" s="28">
        <f>spliced_mgdp!D220</f>
        <v>1.2162612462512268E-2</v>
      </c>
      <c r="C219" s="2">
        <v>123456789</v>
      </c>
      <c r="D219" s="2">
        <v>123456789</v>
      </c>
    </row>
    <row r="220" spans="1:5" x14ac:dyDescent="0.45">
      <c r="A220" t="s">
        <v>353</v>
      </c>
      <c r="B220" s="28">
        <f>spliced_mgdp!D221</f>
        <v>1.6549648946840412E-2</v>
      </c>
      <c r="C220" s="2">
        <v>123456789</v>
      </c>
      <c r="D220" s="2">
        <v>123456789</v>
      </c>
    </row>
    <row r="221" spans="1:5" x14ac:dyDescent="0.45">
      <c r="A221" t="s">
        <v>354</v>
      </c>
      <c r="B221" s="28">
        <f>spliced_mgdp!D222</f>
        <v>1.4925373134328401E-2</v>
      </c>
      <c r="C221" s="2">
        <v>123456789</v>
      </c>
      <c r="D221" s="2">
        <v>123456789</v>
      </c>
    </row>
    <row r="222" spans="1:5" x14ac:dyDescent="0.45">
      <c r="A222" t="s">
        <v>355</v>
      </c>
      <c r="B222" s="28">
        <f>spliced_mgdp!D223</f>
        <v>1.2363996043521341E-2</v>
      </c>
      <c r="C222" s="2">
        <v>123456789</v>
      </c>
      <c r="D222" s="2">
        <v>123456789</v>
      </c>
      <c r="E222" s="48"/>
    </row>
    <row r="223" spans="1:5" x14ac:dyDescent="0.45">
      <c r="A223" t="s">
        <v>356</v>
      </c>
      <c r="B223" s="28">
        <f>spliced_mgdp!D224</f>
        <v>1.332675222112556E-2</v>
      </c>
      <c r="C223" s="2">
        <v>123456789</v>
      </c>
      <c r="D223" s="2">
        <v>123456789</v>
      </c>
      <c r="E223" s="48"/>
    </row>
    <row r="224" spans="1:5" x14ac:dyDescent="0.45">
      <c r="A224" s="40" t="s">
        <v>357</v>
      </c>
      <c r="B224" s="50">
        <v>1.332675222112556E-2</v>
      </c>
      <c r="C224" s="2">
        <v>123456789</v>
      </c>
      <c r="D224" s="2">
        <v>123456789</v>
      </c>
      <c r="E224" s="48"/>
    </row>
    <row r="225" spans="1:4" x14ac:dyDescent="0.45">
      <c r="A225" s="4" t="s">
        <v>438</v>
      </c>
      <c r="B225" s="44">
        <v>9.1999999999999998E-3</v>
      </c>
      <c r="C225" s="2">
        <v>123456789</v>
      </c>
      <c r="D225" s="2">
        <v>123456789</v>
      </c>
    </row>
    <row r="226" spans="1:4" x14ac:dyDescent="0.45">
      <c r="A226" s="4" t="s">
        <v>441</v>
      </c>
      <c r="B226" s="44">
        <v>9.1999999999999998E-3</v>
      </c>
      <c r="C226" s="2">
        <v>123456789</v>
      </c>
      <c r="D226" s="2">
        <v>123456789</v>
      </c>
    </row>
  </sheetData>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8AC30-AE89-43FE-B8B1-245334659C01}">
  <sheetPr>
    <tabColor theme="9" tint="0.79998168889431442"/>
  </sheetPr>
  <dimension ref="A1:D226"/>
  <sheetViews>
    <sheetView topLeftCell="A221" workbookViewId="0">
      <selection activeCell="F239" sqref="F239"/>
    </sheetView>
  </sheetViews>
  <sheetFormatPr defaultRowHeight="14.25" x14ac:dyDescent="0.45"/>
  <sheetData>
    <row r="1" spans="1:4" x14ac:dyDescent="0.45">
      <c r="B1" t="s">
        <v>6</v>
      </c>
      <c r="C1" t="s">
        <v>133</v>
      </c>
      <c r="D1" t="s">
        <v>134</v>
      </c>
    </row>
    <row r="2" spans="1:4" x14ac:dyDescent="0.45">
      <c r="A2" t="s">
        <v>135</v>
      </c>
      <c r="B2">
        <v>71.601110000000006</v>
      </c>
      <c r="C2" s="2">
        <v>123456789</v>
      </c>
      <c r="D2" s="2">
        <v>123456789</v>
      </c>
    </row>
    <row r="3" spans="1:4" x14ac:dyDescent="0.45">
      <c r="A3" t="s">
        <v>136</v>
      </c>
      <c r="B3">
        <v>86.898200000000003</v>
      </c>
      <c r="C3" s="2">
        <v>123456789</v>
      </c>
      <c r="D3" s="2">
        <v>123456789</v>
      </c>
    </row>
    <row r="4" spans="1:4" x14ac:dyDescent="0.45">
      <c r="A4" t="s">
        <v>137</v>
      </c>
      <c r="B4">
        <v>71.286860000000004</v>
      </c>
      <c r="C4" s="2">
        <v>123456789</v>
      </c>
      <c r="D4" s="2">
        <v>123456789</v>
      </c>
    </row>
    <row r="5" spans="1:4" x14ac:dyDescent="0.45">
      <c r="A5" t="s">
        <v>138</v>
      </c>
      <c r="B5">
        <v>84.943439999999995</v>
      </c>
      <c r="C5" s="2">
        <v>123456789</v>
      </c>
      <c r="D5" s="2">
        <v>123456789</v>
      </c>
    </row>
    <row r="6" spans="1:4" x14ac:dyDescent="0.45">
      <c r="A6" t="s">
        <v>139</v>
      </c>
      <c r="B6">
        <v>87.188490000000002</v>
      </c>
      <c r="C6" s="2">
        <v>123456789</v>
      </c>
      <c r="D6" s="2">
        <v>123456789</v>
      </c>
    </row>
    <row r="7" spans="1:4" x14ac:dyDescent="0.45">
      <c r="A7" t="s">
        <v>140</v>
      </c>
      <c r="B7">
        <v>104.146</v>
      </c>
      <c r="C7" s="2">
        <v>123456789</v>
      </c>
      <c r="D7" s="2">
        <v>123456789</v>
      </c>
    </row>
    <row r="8" spans="1:4" x14ac:dyDescent="0.45">
      <c r="A8" t="s">
        <v>141</v>
      </c>
      <c r="B8">
        <v>103.2461</v>
      </c>
      <c r="C8" s="2">
        <v>123456789</v>
      </c>
      <c r="D8" s="2">
        <v>123456789</v>
      </c>
    </row>
    <row r="9" spans="1:4" x14ac:dyDescent="0.45">
      <c r="A9" t="s">
        <v>142</v>
      </c>
      <c r="B9">
        <v>113.4893</v>
      </c>
      <c r="C9" s="2">
        <v>123456789</v>
      </c>
      <c r="D9" s="2">
        <v>123456789</v>
      </c>
    </row>
    <row r="10" spans="1:4" x14ac:dyDescent="0.45">
      <c r="A10" t="s">
        <v>143</v>
      </c>
      <c r="B10">
        <v>108.62990000000001</v>
      </c>
      <c r="C10" s="2">
        <v>123456789</v>
      </c>
      <c r="D10" s="2">
        <v>123456789</v>
      </c>
    </row>
    <row r="11" spans="1:4" x14ac:dyDescent="0.45">
      <c r="A11" t="s">
        <v>144</v>
      </c>
      <c r="B11">
        <v>101.6652</v>
      </c>
      <c r="C11" s="2">
        <v>123456789</v>
      </c>
      <c r="D11" s="2">
        <v>123456789</v>
      </c>
    </row>
    <row r="12" spans="1:4" x14ac:dyDescent="0.45">
      <c r="A12" t="s">
        <v>145</v>
      </c>
      <c r="B12">
        <v>108.92310000000001</v>
      </c>
      <c r="C12" s="2">
        <v>123456789</v>
      </c>
      <c r="D12" s="2">
        <v>123456789</v>
      </c>
    </row>
    <row r="13" spans="1:4" x14ac:dyDescent="0.45">
      <c r="A13" t="s">
        <v>146</v>
      </c>
      <c r="B13">
        <v>100.5814</v>
      </c>
      <c r="C13" s="2">
        <v>123456789</v>
      </c>
      <c r="D13" s="2">
        <v>123456789</v>
      </c>
    </row>
    <row r="14" spans="1:4" x14ac:dyDescent="0.45">
      <c r="A14" t="s">
        <v>147</v>
      </c>
      <c r="B14">
        <v>127.5244</v>
      </c>
      <c r="C14" s="2">
        <v>123456789</v>
      </c>
      <c r="D14" s="2">
        <v>123456789</v>
      </c>
    </row>
    <row r="15" spans="1:4" x14ac:dyDescent="0.45">
      <c r="A15" t="s">
        <v>148</v>
      </c>
      <c r="B15">
        <v>115.5707</v>
      </c>
      <c r="C15" s="2">
        <v>123456789</v>
      </c>
      <c r="D15" s="2">
        <v>123456789</v>
      </c>
    </row>
    <row r="16" spans="1:4" x14ac:dyDescent="0.45">
      <c r="A16" t="s">
        <v>149</v>
      </c>
      <c r="B16">
        <v>117.5046</v>
      </c>
      <c r="C16" s="2">
        <v>123456789</v>
      </c>
      <c r="D16" s="2">
        <v>123456789</v>
      </c>
    </row>
    <row r="17" spans="1:4" x14ac:dyDescent="0.45">
      <c r="A17" t="s">
        <v>150</v>
      </c>
      <c r="B17">
        <v>147.64869999999999</v>
      </c>
      <c r="C17" s="2">
        <v>123456789</v>
      </c>
      <c r="D17" s="2">
        <v>123456789</v>
      </c>
    </row>
    <row r="18" spans="1:4" x14ac:dyDescent="0.45">
      <c r="A18" t="s">
        <v>151</v>
      </c>
      <c r="B18">
        <v>188.72200000000001</v>
      </c>
      <c r="C18" s="2">
        <v>123456789</v>
      </c>
      <c r="D18" s="2">
        <v>123456789</v>
      </c>
    </row>
    <row r="19" spans="1:4" x14ac:dyDescent="0.45">
      <c r="A19" t="s">
        <v>152</v>
      </c>
      <c r="B19">
        <v>158.05189999999999</v>
      </c>
      <c r="C19" s="2">
        <v>123456789</v>
      </c>
      <c r="D19" s="2">
        <v>123456789</v>
      </c>
    </row>
    <row r="20" spans="1:4" x14ac:dyDescent="0.45">
      <c r="A20" t="s">
        <v>153</v>
      </c>
      <c r="B20">
        <v>179.87209999999999</v>
      </c>
      <c r="C20" s="2">
        <v>123456789</v>
      </c>
      <c r="D20" s="2">
        <v>123456789</v>
      </c>
    </row>
    <row r="21" spans="1:4" x14ac:dyDescent="0.45">
      <c r="A21" t="s">
        <v>154</v>
      </c>
      <c r="B21">
        <v>160.23990000000001</v>
      </c>
      <c r="C21" s="2">
        <v>123456789</v>
      </c>
      <c r="D21" s="2">
        <v>123456789</v>
      </c>
    </row>
    <row r="22" spans="1:4" x14ac:dyDescent="0.45">
      <c r="A22" t="s">
        <v>155</v>
      </c>
      <c r="B22">
        <v>182.92910000000001</v>
      </c>
      <c r="C22" s="2">
        <v>123456789</v>
      </c>
      <c r="D22" s="2">
        <v>123456789</v>
      </c>
    </row>
    <row r="23" spans="1:4" x14ac:dyDescent="0.45">
      <c r="A23" t="s">
        <v>156</v>
      </c>
      <c r="B23">
        <v>173.58629999999999</v>
      </c>
      <c r="C23" s="2">
        <v>123456789</v>
      </c>
      <c r="D23" s="2">
        <v>123456789</v>
      </c>
    </row>
    <row r="24" spans="1:4" x14ac:dyDescent="0.45">
      <c r="A24" t="s">
        <v>157</v>
      </c>
      <c r="B24">
        <v>128.73400000000001</v>
      </c>
      <c r="C24" s="2">
        <v>123456789</v>
      </c>
      <c r="D24" s="2">
        <v>123456789</v>
      </c>
    </row>
    <row r="25" spans="1:4" x14ac:dyDescent="0.45">
      <c r="A25" t="s">
        <v>158</v>
      </c>
      <c r="B25">
        <v>135.4699</v>
      </c>
      <c r="C25" s="2">
        <v>123456789</v>
      </c>
      <c r="D25" s="2">
        <v>123456789</v>
      </c>
    </row>
    <row r="26" spans="1:4" x14ac:dyDescent="0.45">
      <c r="A26" t="s">
        <v>159</v>
      </c>
      <c r="B26">
        <v>136.78129999999999</v>
      </c>
      <c r="C26" s="2">
        <v>123456789</v>
      </c>
      <c r="D26" s="2">
        <v>123456789</v>
      </c>
    </row>
    <row r="27" spans="1:4" x14ac:dyDescent="0.45">
      <c r="A27" t="s">
        <v>160</v>
      </c>
      <c r="B27">
        <v>127.7647</v>
      </c>
      <c r="C27" s="2">
        <v>123456789</v>
      </c>
      <c r="D27" s="2">
        <v>123456789</v>
      </c>
    </row>
    <row r="28" spans="1:4" x14ac:dyDescent="0.45">
      <c r="A28" t="s">
        <v>161</v>
      </c>
      <c r="B28">
        <v>113.73099999999999</v>
      </c>
      <c r="C28" s="2">
        <v>123456789</v>
      </c>
      <c r="D28" s="2">
        <v>123456789</v>
      </c>
    </row>
    <row r="29" spans="1:4" x14ac:dyDescent="0.45">
      <c r="A29" t="s">
        <v>162</v>
      </c>
      <c r="B29">
        <v>161.49100000000001</v>
      </c>
      <c r="C29" s="2">
        <v>123456789</v>
      </c>
      <c r="D29" s="2">
        <v>123456789</v>
      </c>
    </row>
    <row r="30" spans="1:4" x14ac:dyDescent="0.45">
      <c r="A30" t="s">
        <v>163</v>
      </c>
      <c r="B30">
        <v>139.78280000000001</v>
      </c>
      <c r="C30" s="2">
        <v>123456789</v>
      </c>
      <c r="D30" s="2">
        <v>123456789</v>
      </c>
    </row>
    <row r="31" spans="1:4" x14ac:dyDescent="0.45">
      <c r="A31" t="s">
        <v>164</v>
      </c>
      <c r="B31">
        <v>122.6319</v>
      </c>
      <c r="C31" s="2">
        <v>123456789</v>
      </c>
      <c r="D31" s="2">
        <v>123456789</v>
      </c>
    </row>
    <row r="32" spans="1:4" x14ac:dyDescent="0.45">
      <c r="A32" t="s">
        <v>165</v>
      </c>
      <c r="B32">
        <v>123.0217</v>
      </c>
      <c r="C32" s="2">
        <v>123456789</v>
      </c>
      <c r="D32" s="2">
        <v>123456789</v>
      </c>
    </row>
    <row r="33" spans="1:4" x14ac:dyDescent="0.45">
      <c r="A33" t="s">
        <v>166</v>
      </c>
      <c r="B33">
        <v>122.7255</v>
      </c>
      <c r="C33" s="2">
        <v>123456789</v>
      </c>
      <c r="D33" s="2">
        <v>123456789</v>
      </c>
    </row>
    <row r="34" spans="1:4" x14ac:dyDescent="0.45">
      <c r="A34" t="s">
        <v>167</v>
      </c>
      <c r="B34">
        <v>103.3951</v>
      </c>
      <c r="C34" s="2">
        <v>123456789</v>
      </c>
      <c r="D34" s="2">
        <v>123456789</v>
      </c>
    </row>
    <row r="35" spans="1:4" x14ac:dyDescent="0.45">
      <c r="A35" t="s">
        <v>168</v>
      </c>
      <c r="B35">
        <v>122.9699</v>
      </c>
      <c r="C35" s="2">
        <v>123456789</v>
      </c>
      <c r="D35" s="2">
        <v>123456789</v>
      </c>
    </row>
    <row r="36" spans="1:4" x14ac:dyDescent="0.45">
      <c r="A36" t="s">
        <v>169</v>
      </c>
      <c r="B36">
        <v>110.99550000000001</v>
      </c>
      <c r="C36" s="2">
        <v>123456789</v>
      </c>
      <c r="D36" s="2">
        <v>123456789</v>
      </c>
    </row>
    <row r="37" spans="1:4" x14ac:dyDescent="0.45">
      <c r="A37" t="s">
        <v>170</v>
      </c>
      <c r="B37">
        <v>119.98309999999999</v>
      </c>
      <c r="C37" s="2">
        <v>123456789</v>
      </c>
      <c r="D37" s="2">
        <v>123456789</v>
      </c>
    </row>
    <row r="38" spans="1:4" x14ac:dyDescent="0.45">
      <c r="A38" t="s">
        <v>171</v>
      </c>
      <c r="B38">
        <v>85.847049999999996</v>
      </c>
      <c r="C38" s="2">
        <v>123456789</v>
      </c>
      <c r="D38" s="2">
        <v>123456789</v>
      </c>
    </row>
    <row r="39" spans="1:4" x14ac:dyDescent="0.45">
      <c r="A39" t="s">
        <v>172</v>
      </c>
      <c r="B39">
        <v>81.332070000000002</v>
      </c>
      <c r="C39" s="2">
        <v>123456789</v>
      </c>
      <c r="D39" s="2">
        <v>123456789</v>
      </c>
    </row>
    <row r="40" spans="1:4" x14ac:dyDescent="0.45">
      <c r="A40" t="s">
        <v>173</v>
      </c>
      <c r="B40">
        <v>76.399299999999997</v>
      </c>
      <c r="C40" s="2">
        <v>123456789</v>
      </c>
      <c r="D40" s="2">
        <v>123456789</v>
      </c>
    </row>
    <row r="41" spans="1:4" x14ac:dyDescent="0.45">
      <c r="A41" t="s">
        <v>174</v>
      </c>
      <c r="B41">
        <v>117.1944</v>
      </c>
      <c r="C41" s="2">
        <v>123456789</v>
      </c>
      <c r="D41" s="2">
        <v>123456789</v>
      </c>
    </row>
    <row r="42" spans="1:4" x14ac:dyDescent="0.45">
      <c r="A42" t="s">
        <v>175</v>
      </c>
      <c r="B42">
        <v>128.2423</v>
      </c>
      <c r="C42" s="2">
        <v>123456789</v>
      </c>
      <c r="D42" s="2">
        <v>123456789</v>
      </c>
    </row>
    <row r="43" spans="1:4" x14ac:dyDescent="0.45">
      <c r="A43" t="s">
        <v>176</v>
      </c>
      <c r="B43">
        <v>120.6401</v>
      </c>
      <c r="C43" s="2">
        <v>123456789</v>
      </c>
      <c r="D43" s="2">
        <v>123456789</v>
      </c>
    </row>
    <row r="44" spans="1:4" x14ac:dyDescent="0.45">
      <c r="A44" t="s">
        <v>177</v>
      </c>
      <c r="B44">
        <v>108.1831</v>
      </c>
      <c r="C44" s="2">
        <v>123456789</v>
      </c>
      <c r="D44" s="2">
        <v>123456789</v>
      </c>
    </row>
    <row r="45" spans="1:4" x14ac:dyDescent="0.45">
      <c r="A45" t="s">
        <v>178</v>
      </c>
      <c r="B45">
        <v>112.85509999999999</v>
      </c>
      <c r="C45" s="2">
        <v>123456789</v>
      </c>
      <c r="D45" s="2">
        <v>123456789</v>
      </c>
    </row>
    <row r="46" spans="1:4" x14ac:dyDescent="0.45">
      <c r="A46" t="s">
        <v>179</v>
      </c>
      <c r="B46">
        <v>121.6478</v>
      </c>
      <c r="C46" s="2">
        <v>123456789</v>
      </c>
      <c r="D46" s="2">
        <v>123456789</v>
      </c>
    </row>
    <row r="47" spans="1:4" x14ac:dyDescent="0.45">
      <c r="A47" t="s">
        <v>180</v>
      </c>
      <c r="B47">
        <v>133.22890000000001</v>
      </c>
      <c r="C47" s="2">
        <v>123456789</v>
      </c>
      <c r="D47" s="2">
        <v>123456789</v>
      </c>
    </row>
    <row r="48" spans="1:4" x14ac:dyDescent="0.45">
      <c r="A48" t="s">
        <v>181</v>
      </c>
      <c r="B48">
        <v>118.5478</v>
      </c>
      <c r="C48" s="2">
        <v>123456789</v>
      </c>
      <c r="D48" s="2">
        <v>123456789</v>
      </c>
    </row>
    <row r="49" spans="1:4" x14ac:dyDescent="0.45">
      <c r="A49" t="s">
        <v>182</v>
      </c>
      <c r="B49">
        <v>112.70650000000001</v>
      </c>
      <c r="C49" s="2">
        <v>123456789</v>
      </c>
      <c r="D49" s="2">
        <v>123456789</v>
      </c>
    </row>
    <row r="50" spans="1:4" x14ac:dyDescent="0.45">
      <c r="A50" t="s">
        <v>183</v>
      </c>
      <c r="B50">
        <v>109.1413</v>
      </c>
      <c r="C50" s="2">
        <v>123456789</v>
      </c>
      <c r="D50" s="2">
        <v>123456789</v>
      </c>
    </row>
    <row r="51" spans="1:4" x14ac:dyDescent="0.45">
      <c r="A51" t="s">
        <v>184</v>
      </c>
      <c r="B51">
        <v>114.8394</v>
      </c>
      <c r="C51" s="2">
        <v>123456789</v>
      </c>
      <c r="D51" s="2">
        <v>123456789</v>
      </c>
    </row>
    <row r="52" spans="1:4" x14ac:dyDescent="0.45">
      <c r="A52" t="s">
        <v>185</v>
      </c>
      <c r="B52">
        <v>99.163759999999996</v>
      </c>
      <c r="C52" s="2">
        <v>123456789</v>
      </c>
      <c r="D52" s="2">
        <v>123456789</v>
      </c>
    </row>
    <row r="53" spans="1:4" x14ac:dyDescent="0.45">
      <c r="A53" t="s">
        <v>186</v>
      </c>
      <c r="B53">
        <v>114.8295</v>
      </c>
      <c r="C53" s="2">
        <v>123456789</v>
      </c>
      <c r="D53" s="2">
        <v>123456789</v>
      </c>
    </row>
    <row r="54" spans="1:4" x14ac:dyDescent="0.45">
      <c r="A54" t="s">
        <v>187</v>
      </c>
      <c r="B54">
        <v>121.0201</v>
      </c>
      <c r="C54" s="2">
        <v>123456789</v>
      </c>
      <c r="D54" s="2">
        <v>123456789</v>
      </c>
    </row>
    <row r="55" spans="1:4" x14ac:dyDescent="0.45">
      <c r="A55" t="s">
        <v>188</v>
      </c>
      <c r="B55">
        <v>122.7724</v>
      </c>
      <c r="C55" s="2">
        <v>123456789</v>
      </c>
      <c r="D55" s="2">
        <v>123456789</v>
      </c>
    </row>
    <row r="56" spans="1:4" x14ac:dyDescent="0.45">
      <c r="A56" t="s">
        <v>189</v>
      </c>
      <c r="B56">
        <v>102.57769999999999</v>
      </c>
      <c r="C56" s="2">
        <v>123456789</v>
      </c>
      <c r="D56" s="2">
        <v>123456789</v>
      </c>
    </row>
    <row r="57" spans="1:4" x14ac:dyDescent="0.45">
      <c r="A57" t="s">
        <v>190</v>
      </c>
      <c r="B57">
        <v>101.2354</v>
      </c>
      <c r="C57" s="2">
        <v>123456789</v>
      </c>
      <c r="D57" s="2">
        <v>123456789</v>
      </c>
    </row>
    <row r="58" spans="1:4" x14ac:dyDescent="0.45">
      <c r="A58" t="s">
        <v>191</v>
      </c>
      <c r="B58">
        <v>89.444829999999996</v>
      </c>
      <c r="C58" s="2">
        <v>123456789</v>
      </c>
      <c r="D58" s="2">
        <v>123456789</v>
      </c>
    </row>
    <row r="59" spans="1:4" x14ac:dyDescent="0.45">
      <c r="A59" t="s">
        <v>192</v>
      </c>
      <c r="B59">
        <v>88.35248</v>
      </c>
      <c r="C59" s="2">
        <v>123456789</v>
      </c>
      <c r="D59" s="2">
        <v>123456789</v>
      </c>
    </row>
    <row r="60" spans="1:4" x14ac:dyDescent="0.45">
      <c r="A60" t="s">
        <v>193</v>
      </c>
      <c r="B60">
        <v>90.399330000000006</v>
      </c>
      <c r="C60" s="2">
        <v>123456789</v>
      </c>
      <c r="D60" s="2">
        <v>123456789</v>
      </c>
    </row>
    <row r="61" spans="1:4" x14ac:dyDescent="0.45">
      <c r="A61" t="s">
        <v>194</v>
      </c>
      <c r="B61">
        <v>93.05744</v>
      </c>
      <c r="C61" s="2">
        <v>123456789</v>
      </c>
      <c r="D61" s="2">
        <v>123456789</v>
      </c>
    </row>
    <row r="62" spans="1:4" x14ac:dyDescent="0.45">
      <c r="A62" t="s">
        <v>195</v>
      </c>
      <c r="B62">
        <v>93.208150000000003</v>
      </c>
      <c r="C62" s="2">
        <v>123456789</v>
      </c>
      <c r="D62" s="2">
        <v>123456789</v>
      </c>
    </row>
    <row r="63" spans="1:4" x14ac:dyDescent="0.45">
      <c r="A63" t="s">
        <v>196</v>
      </c>
      <c r="B63">
        <v>86.559150000000002</v>
      </c>
      <c r="C63" s="2">
        <v>123456789</v>
      </c>
      <c r="D63" s="2">
        <v>123456789</v>
      </c>
    </row>
    <row r="64" spans="1:4" x14ac:dyDescent="0.45">
      <c r="A64" t="s">
        <v>197</v>
      </c>
      <c r="B64">
        <v>87.362589999999997</v>
      </c>
      <c r="C64" s="2">
        <v>123456789</v>
      </c>
      <c r="D64" s="2">
        <v>123456789</v>
      </c>
    </row>
    <row r="65" spans="1:4" x14ac:dyDescent="0.45">
      <c r="A65" t="s">
        <v>198</v>
      </c>
      <c r="B65">
        <v>97.265929999999997</v>
      </c>
      <c r="C65" s="2">
        <v>123456789</v>
      </c>
      <c r="D65" s="2">
        <v>123456789</v>
      </c>
    </row>
    <row r="66" spans="1:4" x14ac:dyDescent="0.45">
      <c r="A66" t="s">
        <v>199</v>
      </c>
      <c r="B66">
        <v>113.51260000000001</v>
      </c>
      <c r="C66" s="2">
        <v>123456789</v>
      </c>
      <c r="D66" s="2">
        <v>123456789</v>
      </c>
    </row>
    <row r="67" spans="1:4" x14ac:dyDescent="0.45">
      <c r="A67" t="s">
        <v>200</v>
      </c>
      <c r="B67">
        <v>88.505610000000004</v>
      </c>
      <c r="C67" s="2">
        <v>123456789</v>
      </c>
      <c r="D67" s="2">
        <v>123456789</v>
      </c>
    </row>
    <row r="68" spans="1:4" x14ac:dyDescent="0.45">
      <c r="A68" t="s">
        <v>201</v>
      </c>
      <c r="B68">
        <v>84.067539999999994</v>
      </c>
      <c r="C68" s="2">
        <v>123456789</v>
      </c>
      <c r="D68" s="2">
        <v>123456789</v>
      </c>
    </row>
    <row r="69" spans="1:4" x14ac:dyDescent="0.45">
      <c r="A69" t="s">
        <v>202</v>
      </c>
      <c r="B69">
        <v>105.63590000000001</v>
      </c>
      <c r="C69" s="2">
        <v>123456789</v>
      </c>
      <c r="D69" s="2">
        <v>123456789</v>
      </c>
    </row>
    <row r="70" spans="1:4" x14ac:dyDescent="0.45">
      <c r="A70" t="s">
        <v>203</v>
      </c>
      <c r="B70">
        <v>99.626490000000004</v>
      </c>
      <c r="C70" s="2">
        <v>123456789</v>
      </c>
      <c r="D70" s="2">
        <v>123456789</v>
      </c>
    </row>
    <row r="71" spans="1:4" x14ac:dyDescent="0.45">
      <c r="A71" t="s">
        <v>204</v>
      </c>
      <c r="B71">
        <v>111.9906</v>
      </c>
      <c r="C71" s="2">
        <v>123456789</v>
      </c>
      <c r="D71" s="2">
        <v>123456789</v>
      </c>
    </row>
    <row r="72" spans="1:4" x14ac:dyDescent="0.45">
      <c r="A72" t="s">
        <v>205</v>
      </c>
      <c r="B72">
        <v>80.930779999999999</v>
      </c>
      <c r="C72" s="2">
        <v>123456789</v>
      </c>
      <c r="D72" s="2">
        <v>123456789</v>
      </c>
    </row>
    <row r="73" spans="1:4" x14ac:dyDescent="0.45">
      <c r="A73" t="s">
        <v>206</v>
      </c>
      <c r="B73">
        <v>117.4633</v>
      </c>
      <c r="C73" s="2">
        <v>123456789</v>
      </c>
      <c r="D73" s="2">
        <v>123456789</v>
      </c>
    </row>
    <row r="74" spans="1:4" x14ac:dyDescent="0.45">
      <c r="A74" t="s">
        <v>207</v>
      </c>
      <c r="B74">
        <v>84.951220000000006</v>
      </c>
      <c r="C74" s="2">
        <v>123456789</v>
      </c>
      <c r="D74" s="2">
        <v>123456789</v>
      </c>
    </row>
    <row r="75" spans="1:4" x14ac:dyDescent="0.45">
      <c r="A75" t="s">
        <v>208</v>
      </c>
      <c r="B75">
        <v>105.9825</v>
      </c>
      <c r="C75" s="2">
        <v>123456789</v>
      </c>
      <c r="D75" s="2">
        <v>123456789</v>
      </c>
    </row>
    <row r="76" spans="1:4" x14ac:dyDescent="0.45">
      <c r="A76" t="s">
        <v>209</v>
      </c>
      <c r="B76">
        <v>86.798519999999996</v>
      </c>
      <c r="C76" s="2">
        <v>123456789</v>
      </c>
      <c r="D76" s="2">
        <v>123456789</v>
      </c>
    </row>
    <row r="77" spans="1:4" x14ac:dyDescent="0.45">
      <c r="A77" t="s">
        <v>210</v>
      </c>
      <c r="B77">
        <v>91.286169999999998</v>
      </c>
      <c r="C77" s="2">
        <v>123456789</v>
      </c>
      <c r="D77" s="2">
        <v>123456789</v>
      </c>
    </row>
    <row r="78" spans="1:4" x14ac:dyDescent="0.45">
      <c r="A78" t="s">
        <v>211</v>
      </c>
      <c r="B78">
        <v>111.0887</v>
      </c>
      <c r="C78" s="2">
        <v>123456789</v>
      </c>
      <c r="D78" s="2">
        <v>123456789</v>
      </c>
    </row>
    <row r="79" spans="1:4" x14ac:dyDescent="0.45">
      <c r="A79" t="s">
        <v>212</v>
      </c>
      <c r="B79">
        <v>110.6609</v>
      </c>
      <c r="C79" s="2">
        <v>123456789</v>
      </c>
      <c r="D79" s="2">
        <v>123456789</v>
      </c>
    </row>
    <row r="80" spans="1:4" x14ac:dyDescent="0.45">
      <c r="A80" t="s">
        <v>213</v>
      </c>
      <c r="B80">
        <v>96.754390000000001</v>
      </c>
      <c r="C80" s="2">
        <v>123456789</v>
      </c>
      <c r="D80" s="2">
        <v>123456789</v>
      </c>
    </row>
    <row r="81" spans="1:4" x14ac:dyDescent="0.45">
      <c r="A81" t="s">
        <v>214</v>
      </c>
      <c r="B81">
        <v>157.07130000000001</v>
      </c>
      <c r="C81" s="2">
        <v>123456789</v>
      </c>
      <c r="D81" s="2">
        <v>123456789</v>
      </c>
    </row>
    <row r="82" spans="1:4" x14ac:dyDescent="0.45">
      <c r="A82" t="s">
        <v>215</v>
      </c>
      <c r="B82">
        <v>121.2179</v>
      </c>
      <c r="C82" s="2">
        <v>123456789</v>
      </c>
      <c r="D82" s="2">
        <v>123456789</v>
      </c>
    </row>
    <row r="83" spans="1:4" x14ac:dyDescent="0.45">
      <c r="A83" t="s">
        <v>216</v>
      </c>
      <c r="B83">
        <v>113.6408</v>
      </c>
      <c r="C83" s="2">
        <v>123456789</v>
      </c>
      <c r="D83" s="2">
        <v>123456789</v>
      </c>
    </row>
    <row r="84" spans="1:4" x14ac:dyDescent="0.45">
      <c r="A84" t="s">
        <v>217</v>
      </c>
      <c r="B84">
        <v>138.0556</v>
      </c>
      <c r="C84" s="2">
        <v>123456789</v>
      </c>
      <c r="D84" s="2">
        <v>123456789</v>
      </c>
    </row>
    <row r="85" spans="1:4" x14ac:dyDescent="0.45">
      <c r="A85" t="s">
        <v>218</v>
      </c>
      <c r="B85">
        <v>159.80369999999999</v>
      </c>
      <c r="C85" s="2">
        <v>123456789</v>
      </c>
      <c r="D85" s="2">
        <v>123456789</v>
      </c>
    </row>
    <row r="86" spans="1:4" x14ac:dyDescent="0.45">
      <c r="A86" t="s">
        <v>219</v>
      </c>
      <c r="B86">
        <v>176.25810000000001</v>
      </c>
      <c r="C86" s="2">
        <v>123456789</v>
      </c>
      <c r="D86" s="2">
        <v>123456789</v>
      </c>
    </row>
    <row r="87" spans="1:4" x14ac:dyDescent="0.45">
      <c r="A87" t="s">
        <v>220</v>
      </c>
      <c r="B87">
        <v>124.8138</v>
      </c>
      <c r="C87" s="2">
        <v>123456789</v>
      </c>
      <c r="D87" s="2">
        <v>123456789</v>
      </c>
    </row>
    <row r="88" spans="1:4" x14ac:dyDescent="0.45">
      <c r="A88" t="s">
        <v>221</v>
      </c>
      <c r="B88">
        <v>134.93860000000001</v>
      </c>
      <c r="C88" s="2">
        <v>123456789</v>
      </c>
      <c r="D88" s="2">
        <v>123456789</v>
      </c>
    </row>
    <row r="89" spans="1:4" x14ac:dyDescent="0.45">
      <c r="A89" t="s">
        <v>222</v>
      </c>
      <c r="B89">
        <v>139.82730000000001</v>
      </c>
      <c r="C89" s="2">
        <v>123456789</v>
      </c>
      <c r="D89" s="2">
        <v>123456789</v>
      </c>
    </row>
    <row r="90" spans="1:4" x14ac:dyDescent="0.45">
      <c r="A90" t="s">
        <v>223</v>
      </c>
      <c r="B90">
        <v>185.3434</v>
      </c>
      <c r="C90" s="2">
        <v>123456789</v>
      </c>
      <c r="D90" s="2">
        <v>123456789</v>
      </c>
    </row>
    <row r="91" spans="1:4" x14ac:dyDescent="0.45">
      <c r="A91" t="s">
        <v>224</v>
      </c>
      <c r="B91">
        <v>164.07249999999999</v>
      </c>
      <c r="C91" s="2">
        <v>123456789</v>
      </c>
      <c r="D91" s="2">
        <v>123456789</v>
      </c>
    </row>
    <row r="92" spans="1:4" x14ac:dyDescent="0.45">
      <c r="A92" t="s">
        <v>225</v>
      </c>
      <c r="B92">
        <v>147.84559999999999</v>
      </c>
      <c r="C92" s="2">
        <v>123456789</v>
      </c>
      <c r="D92" s="2">
        <v>123456789</v>
      </c>
    </row>
    <row r="93" spans="1:4" x14ac:dyDescent="0.45">
      <c r="A93" t="s">
        <v>226</v>
      </c>
      <c r="B93">
        <v>176.63589999999999</v>
      </c>
      <c r="C93" s="2">
        <v>123456789</v>
      </c>
      <c r="D93" s="2">
        <v>123456789</v>
      </c>
    </row>
    <row r="94" spans="1:4" x14ac:dyDescent="0.45">
      <c r="A94" t="s">
        <v>227</v>
      </c>
      <c r="B94">
        <v>156.5814</v>
      </c>
      <c r="C94" s="2">
        <v>123456789</v>
      </c>
      <c r="D94" s="2">
        <v>123456789</v>
      </c>
    </row>
    <row r="95" spans="1:4" x14ac:dyDescent="0.45">
      <c r="A95" t="s">
        <v>228</v>
      </c>
      <c r="B95">
        <v>133.77510000000001</v>
      </c>
      <c r="C95" s="2">
        <v>123456789</v>
      </c>
      <c r="D95" s="2">
        <v>123456789</v>
      </c>
    </row>
    <row r="96" spans="1:4" x14ac:dyDescent="0.45">
      <c r="A96" t="s">
        <v>229</v>
      </c>
      <c r="B96">
        <v>127.0615</v>
      </c>
      <c r="C96" s="2">
        <v>123456789</v>
      </c>
      <c r="D96" s="2">
        <v>123456789</v>
      </c>
    </row>
    <row r="97" spans="1:4" x14ac:dyDescent="0.45">
      <c r="A97" t="s">
        <v>230</v>
      </c>
      <c r="B97">
        <v>127.4619</v>
      </c>
      <c r="C97" s="2">
        <v>123456789</v>
      </c>
      <c r="D97" s="2">
        <v>123456789</v>
      </c>
    </row>
    <row r="98" spans="1:4" x14ac:dyDescent="0.45">
      <c r="A98" t="s">
        <v>231</v>
      </c>
      <c r="B98">
        <v>114.6956</v>
      </c>
      <c r="C98" s="2">
        <v>123456789</v>
      </c>
      <c r="D98" s="2">
        <v>123456789</v>
      </c>
    </row>
    <row r="99" spans="1:4" x14ac:dyDescent="0.45">
      <c r="A99" t="s">
        <v>232</v>
      </c>
      <c r="B99">
        <v>122.51090000000001</v>
      </c>
      <c r="C99" s="2">
        <v>123456789</v>
      </c>
      <c r="D99" s="2">
        <v>123456789</v>
      </c>
    </row>
    <row r="100" spans="1:4" x14ac:dyDescent="0.45">
      <c r="A100" t="s">
        <v>233</v>
      </c>
      <c r="B100">
        <v>112.84520000000001</v>
      </c>
      <c r="C100" s="2">
        <v>123456789</v>
      </c>
      <c r="D100" s="2">
        <v>123456789</v>
      </c>
    </row>
    <row r="101" spans="1:4" x14ac:dyDescent="0.45">
      <c r="A101" t="s">
        <v>234</v>
      </c>
      <c r="B101">
        <v>127.0043</v>
      </c>
      <c r="C101" s="2">
        <v>123456789</v>
      </c>
      <c r="D101" s="2">
        <v>123456789</v>
      </c>
    </row>
    <row r="102" spans="1:4" x14ac:dyDescent="0.45">
      <c r="A102" t="s">
        <v>235</v>
      </c>
      <c r="B102">
        <v>125.9892</v>
      </c>
      <c r="C102" s="2">
        <v>123456789</v>
      </c>
      <c r="D102" s="2">
        <v>123456789</v>
      </c>
    </row>
    <row r="103" spans="1:4" x14ac:dyDescent="0.45">
      <c r="A103" t="s">
        <v>236</v>
      </c>
      <c r="B103">
        <v>120.6587</v>
      </c>
      <c r="C103" s="2">
        <v>123456789</v>
      </c>
      <c r="D103" s="2">
        <v>123456789</v>
      </c>
    </row>
    <row r="104" spans="1:4" x14ac:dyDescent="0.45">
      <c r="A104" t="s">
        <v>237</v>
      </c>
      <c r="B104">
        <v>101.93810000000001</v>
      </c>
      <c r="C104" s="2">
        <v>123456789</v>
      </c>
      <c r="D104" s="2">
        <v>123456789</v>
      </c>
    </row>
    <row r="105" spans="1:4" x14ac:dyDescent="0.45">
      <c r="A105" t="s">
        <v>238</v>
      </c>
      <c r="B105">
        <v>119.6923</v>
      </c>
      <c r="C105" s="2">
        <v>123456789</v>
      </c>
      <c r="D105" s="2">
        <v>123456789</v>
      </c>
    </row>
    <row r="106" spans="1:4" x14ac:dyDescent="0.45">
      <c r="A106" t="s">
        <v>239</v>
      </c>
      <c r="B106">
        <v>98.846149999999994</v>
      </c>
      <c r="C106" s="2">
        <v>123456789</v>
      </c>
      <c r="D106" s="2">
        <v>123456789</v>
      </c>
    </row>
    <row r="107" spans="1:4" x14ac:dyDescent="0.45">
      <c r="A107" t="s">
        <v>240</v>
      </c>
      <c r="B107">
        <v>99.745570000000001</v>
      </c>
      <c r="C107" s="2">
        <v>123456789</v>
      </c>
      <c r="D107" s="2">
        <v>123456789</v>
      </c>
    </row>
    <row r="108" spans="1:4" x14ac:dyDescent="0.45">
      <c r="A108" t="s">
        <v>241</v>
      </c>
      <c r="B108">
        <v>96.591549999999998</v>
      </c>
      <c r="C108" s="2">
        <v>123456789</v>
      </c>
      <c r="D108" s="2">
        <v>123456789</v>
      </c>
    </row>
    <row r="109" spans="1:4" x14ac:dyDescent="0.45">
      <c r="A109" t="s">
        <v>242</v>
      </c>
      <c r="B109">
        <v>88.30386</v>
      </c>
      <c r="C109" s="2">
        <v>123456789</v>
      </c>
      <c r="D109" s="2">
        <v>123456789</v>
      </c>
    </row>
    <row r="110" spans="1:4" x14ac:dyDescent="0.45">
      <c r="A110" t="s">
        <v>243</v>
      </c>
      <c r="B110">
        <v>85.390720000000002</v>
      </c>
      <c r="C110" s="2">
        <v>123456789</v>
      </c>
      <c r="D110" s="2">
        <v>123456789</v>
      </c>
    </row>
    <row r="111" spans="1:4" x14ac:dyDescent="0.45">
      <c r="A111" t="s">
        <v>244</v>
      </c>
      <c r="B111">
        <v>95.430629999999994</v>
      </c>
      <c r="C111" s="2">
        <v>123456789</v>
      </c>
      <c r="D111" s="2">
        <v>123456789</v>
      </c>
    </row>
    <row r="112" spans="1:4" x14ac:dyDescent="0.45">
      <c r="A112" t="s">
        <v>245</v>
      </c>
      <c r="B112">
        <v>95.817160000000001</v>
      </c>
      <c r="C112" s="2">
        <v>123456789</v>
      </c>
      <c r="D112" s="2">
        <v>123456789</v>
      </c>
    </row>
    <row r="113" spans="1:4" x14ac:dyDescent="0.45">
      <c r="A113" t="s">
        <v>246</v>
      </c>
      <c r="B113">
        <v>100.5274</v>
      </c>
      <c r="C113" s="2">
        <v>123456789</v>
      </c>
      <c r="D113" s="2">
        <v>123456789</v>
      </c>
    </row>
    <row r="114" spans="1:4" x14ac:dyDescent="0.45">
      <c r="A114" t="s">
        <v>247</v>
      </c>
      <c r="B114">
        <v>111.15730000000001</v>
      </c>
      <c r="C114" s="2">
        <v>123456789</v>
      </c>
      <c r="D114" s="2">
        <v>123456789</v>
      </c>
    </row>
    <row r="115" spans="1:4" x14ac:dyDescent="0.45">
      <c r="A115" t="s">
        <v>248</v>
      </c>
      <c r="B115">
        <v>114.66160000000001</v>
      </c>
      <c r="C115" s="2">
        <v>123456789</v>
      </c>
      <c r="D115" s="2">
        <v>123456789</v>
      </c>
    </row>
    <row r="116" spans="1:4" x14ac:dyDescent="0.45">
      <c r="A116" t="s">
        <v>249</v>
      </c>
      <c r="B116">
        <v>171.7516</v>
      </c>
      <c r="C116" s="2">
        <v>123456789</v>
      </c>
      <c r="D116" s="2">
        <v>123456789</v>
      </c>
    </row>
    <row r="117" spans="1:4" x14ac:dyDescent="0.45">
      <c r="A117" t="s">
        <v>250</v>
      </c>
      <c r="B117">
        <v>184.15719999999999</v>
      </c>
      <c r="C117" s="2">
        <v>123456789</v>
      </c>
      <c r="D117" s="2">
        <v>123456789</v>
      </c>
    </row>
    <row r="118" spans="1:4" x14ac:dyDescent="0.45">
      <c r="A118" t="s">
        <v>251</v>
      </c>
      <c r="B118">
        <v>91.210220000000007</v>
      </c>
      <c r="C118" s="2">
        <v>123456789</v>
      </c>
      <c r="D118" s="2">
        <v>123456789</v>
      </c>
    </row>
    <row r="119" spans="1:4" x14ac:dyDescent="0.45">
      <c r="A119" t="s">
        <v>252</v>
      </c>
      <c r="B119">
        <v>62.691650000000003</v>
      </c>
      <c r="C119" s="2">
        <v>123456789</v>
      </c>
      <c r="D119" s="2">
        <v>123456789</v>
      </c>
    </row>
    <row r="120" spans="1:4" x14ac:dyDescent="0.45">
      <c r="A120" t="s">
        <v>253</v>
      </c>
      <c r="B120">
        <v>73.645520000000005</v>
      </c>
      <c r="C120" s="2">
        <v>123456789</v>
      </c>
      <c r="D120" s="2">
        <v>123456789</v>
      </c>
    </row>
    <row r="121" spans="1:4" x14ac:dyDescent="0.45">
      <c r="A121" t="s">
        <v>254</v>
      </c>
      <c r="B121">
        <v>66.220309999999998</v>
      </c>
      <c r="C121" s="2">
        <v>123456789</v>
      </c>
      <c r="D121" s="2">
        <v>123456789</v>
      </c>
    </row>
    <row r="122" spans="1:4" x14ac:dyDescent="0.45">
      <c r="A122" t="s">
        <v>255</v>
      </c>
      <c r="B122">
        <v>58.035119999999999</v>
      </c>
      <c r="C122" s="2">
        <v>123456789</v>
      </c>
      <c r="D122" s="2">
        <v>123456789</v>
      </c>
    </row>
    <row r="123" spans="1:4" x14ac:dyDescent="0.45">
      <c r="A123" t="s">
        <v>256</v>
      </c>
      <c r="B123">
        <v>97.865049999999997</v>
      </c>
      <c r="C123" s="2">
        <v>123456789</v>
      </c>
      <c r="D123" s="2">
        <v>123456789</v>
      </c>
    </row>
    <row r="124" spans="1:4" x14ac:dyDescent="0.45">
      <c r="A124" t="s">
        <v>257</v>
      </c>
      <c r="B124">
        <v>57.34431</v>
      </c>
      <c r="C124" s="2">
        <v>123456789</v>
      </c>
      <c r="D124" s="2">
        <v>123456789</v>
      </c>
    </row>
    <row r="125" spans="1:4" x14ac:dyDescent="0.45">
      <c r="A125" t="s">
        <v>258</v>
      </c>
      <c r="B125">
        <v>63.75432</v>
      </c>
      <c r="C125" s="2">
        <v>123456789</v>
      </c>
      <c r="D125" s="2">
        <v>123456789</v>
      </c>
    </row>
    <row r="126" spans="1:4" x14ac:dyDescent="0.45">
      <c r="A126" t="s">
        <v>259</v>
      </c>
      <c r="B126">
        <v>62.247990000000001</v>
      </c>
      <c r="C126" s="2">
        <v>123456789</v>
      </c>
      <c r="D126" s="2">
        <v>123456789</v>
      </c>
    </row>
    <row r="127" spans="1:4" x14ac:dyDescent="0.45">
      <c r="A127" t="s">
        <v>260</v>
      </c>
      <c r="B127">
        <v>91.362750000000005</v>
      </c>
      <c r="C127" s="2">
        <v>123456789</v>
      </c>
      <c r="D127" s="2">
        <v>123456789</v>
      </c>
    </row>
    <row r="128" spans="1:4" x14ac:dyDescent="0.45">
      <c r="A128" t="s">
        <v>261</v>
      </c>
      <c r="B128">
        <v>125.5911</v>
      </c>
      <c r="C128" s="2">
        <v>123456789</v>
      </c>
      <c r="D128" s="2">
        <v>123456789</v>
      </c>
    </row>
    <row r="129" spans="1:4" x14ac:dyDescent="0.45">
      <c r="A129" t="s">
        <v>262</v>
      </c>
      <c r="B129">
        <v>137.65029999999999</v>
      </c>
      <c r="C129" s="2">
        <v>123456789</v>
      </c>
      <c r="D129" s="2">
        <v>123456789</v>
      </c>
    </row>
    <row r="130" spans="1:4" x14ac:dyDescent="0.45">
      <c r="A130" t="s">
        <v>263</v>
      </c>
      <c r="B130">
        <v>77.542789999999997</v>
      </c>
      <c r="C130" s="2">
        <v>123456789</v>
      </c>
      <c r="D130" s="2">
        <v>123456789</v>
      </c>
    </row>
    <row r="131" spans="1:4" x14ac:dyDescent="0.45">
      <c r="A131" t="s">
        <v>264</v>
      </c>
      <c r="B131">
        <v>77.457920000000001</v>
      </c>
      <c r="C131" s="2">
        <v>123456789</v>
      </c>
      <c r="D131" s="2">
        <v>123456789</v>
      </c>
    </row>
    <row r="132" spans="1:4" x14ac:dyDescent="0.45">
      <c r="A132" t="s">
        <v>265</v>
      </c>
      <c r="B132">
        <v>103.1564</v>
      </c>
      <c r="C132" s="2">
        <v>123456789</v>
      </c>
      <c r="D132" s="2">
        <v>123456789</v>
      </c>
    </row>
    <row r="133" spans="1:4" x14ac:dyDescent="0.45">
      <c r="A133" t="s">
        <v>266</v>
      </c>
      <c r="B133">
        <v>114.0573</v>
      </c>
      <c r="C133" s="2">
        <v>123456789</v>
      </c>
      <c r="D133" s="2">
        <v>123456789</v>
      </c>
    </row>
    <row r="134" spans="1:4" x14ac:dyDescent="0.45">
      <c r="A134" t="s">
        <v>267</v>
      </c>
      <c r="B134">
        <v>166.59030000000001</v>
      </c>
      <c r="C134" s="2">
        <v>123456789</v>
      </c>
      <c r="D134" s="2">
        <v>123456789</v>
      </c>
    </row>
    <row r="135" spans="1:4" x14ac:dyDescent="0.45">
      <c r="A135" t="s">
        <v>268</v>
      </c>
      <c r="B135">
        <v>124.07559999999999</v>
      </c>
      <c r="C135" s="2">
        <v>123456789</v>
      </c>
      <c r="D135" s="2">
        <v>123456789</v>
      </c>
    </row>
    <row r="136" spans="1:4" x14ac:dyDescent="0.45">
      <c r="A136" t="s">
        <v>269</v>
      </c>
      <c r="B136">
        <v>76.570710000000005</v>
      </c>
      <c r="C136" s="2">
        <v>123456789</v>
      </c>
      <c r="D136" s="2">
        <v>123456789</v>
      </c>
    </row>
    <row r="137" spans="1:4" x14ac:dyDescent="0.45">
      <c r="A137" t="s">
        <v>270</v>
      </c>
      <c r="B137">
        <v>62.345790000000001</v>
      </c>
      <c r="C137" s="2">
        <v>123456789</v>
      </c>
      <c r="D137" s="2">
        <v>123456789</v>
      </c>
    </row>
    <row r="138" spans="1:4" x14ac:dyDescent="0.45">
      <c r="A138" t="s">
        <v>271</v>
      </c>
      <c r="B138">
        <v>47.683599999999998</v>
      </c>
      <c r="C138" s="2">
        <v>123456789</v>
      </c>
      <c r="D138" s="2">
        <v>123456789</v>
      </c>
    </row>
    <row r="139" spans="1:4" x14ac:dyDescent="0.45">
      <c r="A139" t="s">
        <v>272</v>
      </c>
      <c r="B139">
        <v>43.624549999999999</v>
      </c>
      <c r="C139" s="2">
        <v>123456789</v>
      </c>
      <c r="D139" s="2">
        <v>123456789</v>
      </c>
    </row>
    <row r="140" spans="1:4" x14ac:dyDescent="0.45">
      <c r="A140" t="s">
        <v>273</v>
      </c>
      <c r="B140">
        <v>47.059069999999998</v>
      </c>
      <c r="C140" s="2">
        <v>123456789</v>
      </c>
      <c r="D140" s="2">
        <v>123456789</v>
      </c>
    </row>
    <row r="141" spans="1:4" x14ac:dyDescent="0.45">
      <c r="A141" t="s">
        <v>274</v>
      </c>
      <c r="B141">
        <v>60.254899999999999</v>
      </c>
      <c r="C141" s="2">
        <v>123456789</v>
      </c>
      <c r="D141" s="2">
        <v>123456789</v>
      </c>
    </row>
    <row r="142" spans="1:4" x14ac:dyDescent="0.45">
      <c r="A142" t="s">
        <v>275</v>
      </c>
      <c r="B142">
        <v>39.237900000000003</v>
      </c>
      <c r="C142" s="2">
        <v>123456789</v>
      </c>
      <c r="D142" s="2">
        <v>123456789</v>
      </c>
    </row>
    <row r="143" spans="1:4" x14ac:dyDescent="0.45">
      <c r="A143" t="s">
        <v>276</v>
      </c>
      <c r="B143">
        <v>66.744029999999995</v>
      </c>
      <c r="C143" s="2">
        <v>123456789</v>
      </c>
      <c r="D143" s="2">
        <v>123456789</v>
      </c>
    </row>
    <row r="144" spans="1:4" x14ac:dyDescent="0.45">
      <c r="A144" t="s">
        <v>277</v>
      </c>
      <c r="B144">
        <v>55.429400000000001</v>
      </c>
      <c r="C144" s="2">
        <v>123456789</v>
      </c>
      <c r="D144" s="2">
        <v>123456789</v>
      </c>
    </row>
    <row r="145" spans="1:4" x14ac:dyDescent="0.45">
      <c r="A145" t="s">
        <v>278</v>
      </c>
      <c r="B145">
        <v>40.426279999999998</v>
      </c>
      <c r="C145" s="2">
        <v>123456789</v>
      </c>
      <c r="D145" s="2">
        <v>123456789</v>
      </c>
    </row>
    <row r="146" spans="1:4" x14ac:dyDescent="0.45">
      <c r="A146" t="s">
        <v>279</v>
      </c>
      <c r="B146">
        <v>41.209519999999998</v>
      </c>
      <c r="C146" s="2">
        <v>123456789</v>
      </c>
      <c r="D146" s="2">
        <v>123456789</v>
      </c>
    </row>
    <row r="147" spans="1:4" x14ac:dyDescent="0.45">
      <c r="A147" t="s">
        <v>280</v>
      </c>
      <c r="B147">
        <v>56.976619999999997</v>
      </c>
      <c r="C147" s="2">
        <v>123456789</v>
      </c>
      <c r="D147" s="2">
        <v>123456789</v>
      </c>
    </row>
    <row r="148" spans="1:4" x14ac:dyDescent="0.45">
      <c r="A148" t="s">
        <v>281</v>
      </c>
      <c r="B148">
        <v>56.997169999999997</v>
      </c>
      <c r="C148" s="2">
        <v>123456789</v>
      </c>
      <c r="D148" s="2">
        <v>123456789</v>
      </c>
    </row>
    <row r="149" spans="1:4" x14ac:dyDescent="0.45">
      <c r="A149" t="s">
        <v>282</v>
      </c>
      <c r="B149">
        <v>63.078119999999998</v>
      </c>
      <c r="C149" s="2">
        <v>123456789</v>
      </c>
      <c r="D149" s="2">
        <v>123456789</v>
      </c>
    </row>
    <row r="150" spans="1:4" x14ac:dyDescent="0.45">
      <c r="A150" t="s">
        <v>283</v>
      </c>
      <c r="B150">
        <v>59.786450000000002</v>
      </c>
      <c r="C150" s="2">
        <v>123456789</v>
      </c>
      <c r="D150" s="2">
        <v>123456789</v>
      </c>
    </row>
    <row r="151" spans="1:4" x14ac:dyDescent="0.45">
      <c r="A151" t="s">
        <v>284</v>
      </c>
      <c r="B151">
        <v>60.335799999999999</v>
      </c>
      <c r="C151" s="2">
        <v>123456789</v>
      </c>
      <c r="D151" s="2">
        <v>123456789</v>
      </c>
    </row>
    <row r="152" spans="1:4" x14ac:dyDescent="0.45">
      <c r="A152" t="s">
        <v>285</v>
      </c>
      <c r="B152">
        <v>86.137370000000004</v>
      </c>
      <c r="C152" s="2">
        <v>123456789</v>
      </c>
      <c r="D152" s="2">
        <v>123456789</v>
      </c>
    </row>
    <row r="153" spans="1:4" x14ac:dyDescent="0.45">
      <c r="A153" t="s">
        <v>286</v>
      </c>
      <c r="B153">
        <v>124.7298</v>
      </c>
      <c r="C153" s="2">
        <v>123456789</v>
      </c>
      <c r="D153" s="2">
        <v>123456789</v>
      </c>
    </row>
    <row r="154" spans="1:4" x14ac:dyDescent="0.45">
      <c r="A154" t="s">
        <v>287</v>
      </c>
      <c r="B154">
        <v>151.03569999999999</v>
      </c>
      <c r="C154" s="2">
        <v>123456789</v>
      </c>
      <c r="D154" s="2">
        <v>123456789</v>
      </c>
    </row>
    <row r="155" spans="1:4" x14ac:dyDescent="0.45">
      <c r="A155" t="s">
        <v>288</v>
      </c>
      <c r="B155">
        <v>116.3463</v>
      </c>
      <c r="C155" s="2">
        <v>123456789</v>
      </c>
      <c r="D155" s="2">
        <v>123456789</v>
      </c>
    </row>
    <row r="156" spans="1:4" x14ac:dyDescent="0.45">
      <c r="A156" t="s">
        <v>289</v>
      </c>
      <c r="B156">
        <v>149.36359999999999</v>
      </c>
      <c r="C156" s="2">
        <v>123456789</v>
      </c>
      <c r="D156" s="2">
        <v>123456789</v>
      </c>
    </row>
    <row r="157" spans="1:4" x14ac:dyDescent="0.45">
      <c r="A157" t="s">
        <v>290</v>
      </c>
      <c r="B157">
        <v>178.42519999999999</v>
      </c>
      <c r="C157" s="2">
        <v>123456789</v>
      </c>
      <c r="D157" s="2">
        <v>123456789</v>
      </c>
    </row>
    <row r="158" spans="1:4" x14ac:dyDescent="0.45">
      <c r="A158" t="s">
        <v>291</v>
      </c>
      <c r="B158">
        <v>123.76519999999999</v>
      </c>
      <c r="C158" s="2">
        <v>123456789</v>
      </c>
      <c r="D158" s="2">
        <v>123456789</v>
      </c>
    </row>
    <row r="159" spans="1:4" x14ac:dyDescent="0.45">
      <c r="A159" t="s">
        <v>292</v>
      </c>
      <c r="B159">
        <v>127.4954</v>
      </c>
      <c r="C159" s="2">
        <v>123456789</v>
      </c>
      <c r="D159" s="2">
        <v>123456789</v>
      </c>
    </row>
    <row r="160" spans="1:4" x14ac:dyDescent="0.45">
      <c r="A160" t="s">
        <v>293</v>
      </c>
      <c r="B160">
        <v>115.5954</v>
      </c>
      <c r="C160" s="2">
        <v>123456789</v>
      </c>
      <c r="D160" s="2">
        <v>123456789</v>
      </c>
    </row>
    <row r="161" spans="1:4" x14ac:dyDescent="0.45">
      <c r="A161" t="s">
        <v>294</v>
      </c>
      <c r="B161">
        <v>117.0307</v>
      </c>
      <c r="C161" s="2">
        <v>123456789</v>
      </c>
      <c r="D161" s="2">
        <v>123456789</v>
      </c>
    </row>
    <row r="162" spans="1:4" x14ac:dyDescent="0.45">
      <c r="A162" t="s">
        <v>295</v>
      </c>
      <c r="B162">
        <v>150.56559999999999</v>
      </c>
      <c r="C162" s="2">
        <v>123456789</v>
      </c>
      <c r="D162" s="2">
        <v>123456789</v>
      </c>
    </row>
    <row r="163" spans="1:4" x14ac:dyDescent="0.45">
      <c r="A163" t="s">
        <v>296</v>
      </c>
      <c r="B163">
        <v>196.18709999999999</v>
      </c>
      <c r="C163" s="2">
        <v>123456789</v>
      </c>
      <c r="D163" s="2">
        <v>123456789</v>
      </c>
    </row>
    <row r="164" spans="1:4" x14ac:dyDescent="0.45">
      <c r="A164" t="s">
        <v>297</v>
      </c>
      <c r="B164">
        <v>145.58279999999999</v>
      </c>
      <c r="C164" s="2">
        <v>123456789</v>
      </c>
      <c r="D164" s="2">
        <v>123456789</v>
      </c>
    </row>
    <row r="165" spans="1:4" x14ac:dyDescent="0.45">
      <c r="A165" t="s">
        <v>298</v>
      </c>
      <c r="B165">
        <v>151.27680000000001</v>
      </c>
      <c r="C165" s="2">
        <v>123456789</v>
      </c>
      <c r="D165" s="2">
        <v>123456789</v>
      </c>
    </row>
    <row r="166" spans="1:4" x14ac:dyDescent="0.45">
      <c r="A166" t="s">
        <v>299</v>
      </c>
      <c r="B166">
        <v>124.7413</v>
      </c>
      <c r="C166" s="2">
        <v>123456789</v>
      </c>
      <c r="D166" s="2">
        <v>123456789</v>
      </c>
    </row>
    <row r="167" spans="1:4" x14ac:dyDescent="0.45">
      <c r="A167" t="s">
        <v>300</v>
      </c>
      <c r="B167">
        <v>104.95959999999999</v>
      </c>
      <c r="C167" s="2">
        <v>123456789</v>
      </c>
      <c r="D167" s="2">
        <v>123456789</v>
      </c>
    </row>
    <row r="168" spans="1:4" x14ac:dyDescent="0.45">
      <c r="A168" t="s">
        <v>301</v>
      </c>
      <c r="B168">
        <v>160.03630000000001</v>
      </c>
      <c r="C168" s="2">
        <v>123456789</v>
      </c>
      <c r="D168" s="2">
        <v>123456789</v>
      </c>
    </row>
    <row r="169" spans="1:4" x14ac:dyDescent="0.45">
      <c r="A169" t="s">
        <v>302</v>
      </c>
      <c r="B169">
        <v>166.73910000000001</v>
      </c>
      <c r="C169" s="2">
        <v>123456789</v>
      </c>
      <c r="D169" s="2">
        <v>123456789</v>
      </c>
    </row>
    <row r="170" spans="1:4" x14ac:dyDescent="0.45">
      <c r="A170" t="s">
        <v>303</v>
      </c>
      <c r="B170">
        <v>124.33710000000001</v>
      </c>
      <c r="C170" s="2">
        <v>123456789</v>
      </c>
      <c r="D170" s="2">
        <v>123456789</v>
      </c>
    </row>
    <row r="171" spans="1:4" x14ac:dyDescent="0.45">
      <c r="A171" t="s">
        <v>304</v>
      </c>
      <c r="B171">
        <v>143.5823</v>
      </c>
      <c r="C171" s="2">
        <v>123456789</v>
      </c>
      <c r="D171" s="2">
        <v>123456789</v>
      </c>
    </row>
    <row r="172" spans="1:4" x14ac:dyDescent="0.45">
      <c r="A172" t="s">
        <v>305</v>
      </c>
      <c r="B172">
        <v>117.5324</v>
      </c>
      <c r="C172" s="2">
        <v>123456789</v>
      </c>
      <c r="D172" s="2">
        <v>123456789</v>
      </c>
    </row>
    <row r="173" spans="1:4" x14ac:dyDescent="0.45">
      <c r="A173" t="s">
        <v>306</v>
      </c>
      <c r="B173">
        <v>152.2457</v>
      </c>
      <c r="C173" s="2">
        <v>123456789</v>
      </c>
      <c r="D173" s="2">
        <v>123456789</v>
      </c>
    </row>
    <row r="174" spans="1:4" x14ac:dyDescent="0.45">
      <c r="A174" t="s">
        <v>307</v>
      </c>
      <c r="B174">
        <v>131.3716</v>
      </c>
      <c r="C174" s="2">
        <v>123456789</v>
      </c>
      <c r="D174" s="2">
        <v>123456789</v>
      </c>
    </row>
    <row r="175" spans="1:4" x14ac:dyDescent="0.45">
      <c r="A175" t="s">
        <v>308</v>
      </c>
      <c r="B175">
        <v>88.299580000000006</v>
      </c>
      <c r="C175" s="2">
        <v>123456789</v>
      </c>
      <c r="D175" s="2">
        <v>123456789</v>
      </c>
    </row>
    <row r="176" spans="1:4" x14ac:dyDescent="0.45">
      <c r="A176" t="s">
        <v>309</v>
      </c>
      <c r="B176">
        <v>84.699299999999994</v>
      </c>
      <c r="C176" s="2">
        <v>123456789</v>
      </c>
      <c r="D176" s="2">
        <v>123456789</v>
      </c>
    </row>
    <row r="177" spans="1:4" x14ac:dyDescent="0.45">
      <c r="A177" t="s">
        <v>310</v>
      </c>
      <c r="B177">
        <v>94.165030000000002</v>
      </c>
      <c r="C177" s="2">
        <v>123456789</v>
      </c>
      <c r="D177" s="2">
        <v>123456789</v>
      </c>
    </row>
    <row r="178" spans="1:4" x14ac:dyDescent="0.45">
      <c r="A178" t="s">
        <v>311</v>
      </c>
      <c r="B178">
        <v>110.9141</v>
      </c>
      <c r="C178" s="2">
        <v>123456789</v>
      </c>
      <c r="D178" s="2">
        <v>123456789</v>
      </c>
    </row>
    <row r="179" spans="1:4" x14ac:dyDescent="0.45">
      <c r="A179" t="s">
        <v>312</v>
      </c>
      <c r="B179">
        <v>76.689509999999999</v>
      </c>
      <c r="C179" s="2">
        <v>123456789</v>
      </c>
      <c r="D179" s="2">
        <v>123456789</v>
      </c>
    </row>
    <row r="180" spans="1:4" x14ac:dyDescent="0.45">
      <c r="A180" t="s">
        <v>313</v>
      </c>
      <c r="B180">
        <v>123.69750000000001</v>
      </c>
      <c r="C180" s="2">
        <v>123456789</v>
      </c>
      <c r="D180" s="2">
        <v>123456789</v>
      </c>
    </row>
    <row r="181" spans="1:4" x14ac:dyDescent="0.45">
      <c r="A181" t="s">
        <v>314</v>
      </c>
      <c r="B181">
        <v>101.37560000000001</v>
      </c>
      <c r="C181" s="2">
        <v>123456789</v>
      </c>
      <c r="D181" s="2">
        <v>123456789</v>
      </c>
    </row>
    <row r="182" spans="1:4" x14ac:dyDescent="0.45">
      <c r="A182" t="s">
        <v>315</v>
      </c>
      <c r="B182">
        <v>128.77090000000001</v>
      </c>
      <c r="C182" s="2">
        <v>123456789</v>
      </c>
      <c r="D182" s="2">
        <v>123456789</v>
      </c>
    </row>
    <row r="183" spans="1:4" x14ac:dyDescent="0.45">
      <c r="A183" t="s">
        <v>316</v>
      </c>
      <c r="B183">
        <v>153.4008</v>
      </c>
      <c r="C183" s="2">
        <v>123456789</v>
      </c>
      <c r="D183" s="2">
        <v>123456789</v>
      </c>
    </row>
    <row r="184" spans="1:4" x14ac:dyDescent="0.45">
      <c r="A184" t="s">
        <v>317</v>
      </c>
      <c r="B184">
        <v>119.1063</v>
      </c>
      <c r="C184" s="2">
        <v>123456789</v>
      </c>
      <c r="D184" s="2">
        <v>123456789</v>
      </c>
    </row>
    <row r="185" spans="1:4" x14ac:dyDescent="0.45">
      <c r="A185" t="s">
        <v>318</v>
      </c>
      <c r="B185">
        <v>97.883160000000004</v>
      </c>
      <c r="C185" s="2">
        <v>123456789</v>
      </c>
      <c r="D185" s="2">
        <v>123456789</v>
      </c>
    </row>
    <row r="186" spans="1:4" x14ac:dyDescent="0.45">
      <c r="A186" t="s">
        <v>319</v>
      </c>
      <c r="B186">
        <v>205.7928</v>
      </c>
      <c r="C186" s="2">
        <v>123456789</v>
      </c>
      <c r="D186" s="2">
        <v>123456789</v>
      </c>
    </row>
    <row r="187" spans="1:4" x14ac:dyDescent="0.45">
      <c r="A187" t="s">
        <v>320</v>
      </c>
      <c r="B187">
        <v>315.95609999999999</v>
      </c>
      <c r="C187" s="2">
        <v>123456789</v>
      </c>
      <c r="D187" s="2">
        <v>123456789</v>
      </c>
    </row>
    <row r="188" spans="1:4" x14ac:dyDescent="0.45">
      <c r="A188" t="s">
        <v>321</v>
      </c>
      <c r="B188">
        <v>359.74209999999999</v>
      </c>
      <c r="C188" s="2">
        <v>123456789</v>
      </c>
      <c r="D188" s="2">
        <v>123456789</v>
      </c>
    </row>
    <row r="189" spans="1:4" x14ac:dyDescent="0.45">
      <c r="A189" t="s">
        <v>322</v>
      </c>
      <c r="B189">
        <v>275.0652</v>
      </c>
      <c r="C189" s="2">
        <v>123456789</v>
      </c>
      <c r="D189" s="2">
        <v>123456789</v>
      </c>
    </row>
    <row r="190" spans="1:4" x14ac:dyDescent="0.45">
      <c r="A190" t="s">
        <v>323</v>
      </c>
      <c r="B190">
        <v>228.11760000000001</v>
      </c>
      <c r="C190" s="2">
        <v>123456789</v>
      </c>
      <c r="D190" s="2">
        <v>123456789</v>
      </c>
    </row>
    <row r="191" spans="1:4" x14ac:dyDescent="0.45">
      <c r="A191" t="s">
        <v>324</v>
      </c>
      <c r="B191">
        <v>215.8562</v>
      </c>
      <c r="C191" s="2">
        <v>123456789</v>
      </c>
      <c r="D191" s="2">
        <v>123456789</v>
      </c>
    </row>
    <row r="192" spans="1:4" x14ac:dyDescent="0.45">
      <c r="A192" t="s">
        <v>325</v>
      </c>
      <c r="B192">
        <v>158.54730000000001</v>
      </c>
      <c r="C192" s="2">
        <v>123456789</v>
      </c>
      <c r="D192" s="2">
        <v>123456789</v>
      </c>
    </row>
    <row r="193" spans="1:4" x14ac:dyDescent="0.45">
      <c r="A193" t="s">
        <v>326</v>
      </c>
      <c r="B193">
        <v>186.57409999999999</v>
      </c>
      <c r="C193" s="2">
        <v>123456789</v>
      </c>
      <c r="D193" s="2">
        <v>123456789</v>
      </c>
    </row>
    <row r="194" spans="1:4" x14ac:dyDescent="0.45">
      <c r="A194" t="s">
        <v>327</v>
      </c>
      <c r="B194">
        <v>116.5047</v>
      </c>
      <c r="C194" s="2">
        <v>123456789</v>
      </c>
      <c r="D194" s="2">
        <v>123456789</v>
      </c>
    </row>
    <row r="195" spans="1:4" x14ac:dyDescent="0.45">
      <c r="A195" t="s">
        <v>328</v>
      </c>
      <c r="B195">
        <v>109.77249999999999</v>
      </c>
      <c r="C195" s="2">
        <v>123456789</v>
      </c>
      <c r="D195" s="2">
        <v>123456789</v>
      </c>
    </row>
    <row r="196" spans="1:4" x14ac:dyDescent="0.45">
      <c r="A196" t="s">
        <v>329</v>
      </c>
      <c r="B196">
        <v>136.18940000000001</v>
      </c>
      <c r="C196" s="2">
        <v>123456789</v>
      </c>
      <c r="D196" s="2">
        <v>123456789</v>
      </c>
    </row>
    <row r="197" spans="1:4" x14ac:dyDescent="0.45">
      <c r="A197" t="s">
        <v>330</v>
      </c>
      <c r="B197">
        <v>204.97</v>
      </c>
      <c r="C197" s="2">
        <v>123456789</v>
      </c>
      <c r="D197" s="2">
        <v>123456789</v>
      </c>
    </row>
    <row r="198" spans="1:4" x14ac:dyDescent="0.45">
      <c r="A198" t="s">
        <v>331</v>
      </c>
      <c r="B198">
        <v>239.90479999999999</v>
      </c>
      <c r="C198" s="2">
        <v>123456789</v>
      </c>
      <c r="D198" s="2">
        <v>123456789</v>
      </c>
    </row>
    <row r="199" spans="1:4" x14ac:dyDescent="0.45">
      <c r="A199" t="s">
        <v>332</v>
      </c>
      <c r="B199">
        <v>148.00219999999999</v>
      </c>
      <c r="C199" s="2">
        <v>123456789</v>
      </c>
      <c r="D199" s="2">
        <v>123456789</v>
      </c>
    </row>
    <row r="200" spans="1:4" x14ac:dyDescent="0.45">
      <c r="A200" t="s">
        <v>333</v>
      </c>
      <c r="B200">
        <v>209.45650000000001</v>
      </c>
      <c r="C200" s="2">
        <v>123456789</v>
      </c>
      <c r="D200" s="2">
        <v>123456789</v>
      </c>
    </row>
    <row r="201" spans="1:4" x14ac:dyDescent="0.45">
      <c r="A201" t="s">
        <v>334</v>
      </c>
      <c r="B201">
        <v>236.73759999999999</v>
      </c>
      <c r="C201" s="2">
        <v>123456789</v>
      </c>
      <c r="D201" s="2">
        <v>123456789</v>
      </c>
    </row>
    <row r="202" spans="1:4" x14ac:dyDescent="0.45">
      <c r="A202" t="s">
        <v>335</v>
      </c>
      <c r="B202">
        <v>206.32859999999999</v>
      </c>
      <c r="C202" s="2">
        <v>123456789</v>
      </c>
      <c r="D202" s="2">
        <v>123456789</v>
      </c>
    </row>
    <row r="203" spans="1:4" x14ac:dyDescent="0.45">
      <c r="A203" t="s">
        <v>336</v>
      </c>
      <c r="B203">
        <v>194.60210000000001</v>
      </c>
      <c r="C203" s="2">
        <v>123456789</v>
      </c>
      <c r="D203" s="2">
        <v>123456789</v>
      </c>
    </row>
    <row r="204" spans="1:4" x14ac:dyDescent="0.45">
      <c r="A204" t="s">
        <v>337</v>
      </c>
      <c r="B204">
        <v>183.67580000000001</v>
      </c>
      <c r="C204" s="2">
        <v>123456789</v>
      </c>
      <c r="D204" s="2">
        <v>123456789</v>
      </c>
    </row>
    <row r="205" spans="1:4" x14ac:dyDescent="0.45">
      <c r="A205" t="s">
        <v>338</v>
      </c>
      <c r="B205">
        <v>203.73099999999999</v>
      </c>
      <c r="C205" s="2">
        <v>123456789</v>
      </c>
      <c r="D205" s="2">
        <v>123456789</v>
      </c>
    </row>
    <row r="206" spans="1:4" x14ac:dyDescent="0.45">
      <c r="A206" t="s">
        <v>339</v>
      </c>
      <c r="B206">
        <v>131.01830000000001</v>
      </c>
      <c r="C206" s="2">
        <v>123456789</v>
      </c>
      <c r="D206" s="2">
        <v>123456789</v>
      </c>
    </row>
    <row r="207" spans="1:4" x14ac:dyDescent="0.45">
      <c r="A207" t="s">
        <v>340</v>
      </c>
      <c r="B207">
        <v>94.575850000000003</v>
      </c>
      <c r="C207" s="2">
        <v>123456789</v>
      </c>
      <c r="D207" s="2">
        <v>123456789</v>
      </c>
    </row>
    <row r="208" spans="1:4" x14ac:dyDescent="0.45">
      <c r="A208" t="s">
        <v>341</v>
      </c>
      <c r="B208">
        <v>82.031270000000006</v>
      </c>
      <c r="C208" s="2">
        <v>123456789</v>
      </c>
      <c r="D208" s="2">
        <v>123456789</v>
      </c>
    </row>
    <row r="209" spans="1:4" x14ac:dyDescent="0.45">
      <c r="A209" t="s">
        <v>342</v>
      </c>
      <c r="B209">
        <v>118.0462</v>
      </c>
      <c r="C209" s="2">
        <v>123456789</v>
      </c>
      <c r="D209" s="2">
        <v>123456789</v>
      </c>
    </row>
    <row r="210" spans="1:4" x14ac:dyDescent="0.45">
      <c r="A210" t="s">
        <v>343</v>
      </c>
      <c r="B210">
        <v>112.98650000000001</v>
      </c>
      <c r="C210" s="2">
        <v>123456789</v>
      </c>
      <c r="D210" s="2">
        <v>123456789</v>
      </c>
    </row>
    <row r="211" spans="1:4" x14ac:dyDescent="0.45">
      <c r="A211" t="s">
        <v>344</v>
      </c>
      <c r="B211">
        <v>115.8141</v>
      </c>
      <c r="C211" s="2">
        <v>123456789</v>
      </c>
      <c r="D211" s="2">
        <v>123456789</v>
      </c>
    </row>
    <row r="212" spans="1:4" x14ac:dyDescent="0.45">
      <c r="A212" t="s">
        <v>345</v>
      </c>
      <c r="B212">
        <v>179.5403</v>
      </c>
      <c r="C212" s="2">
        <v>123456789</v>
      </c>
      <c r="D212" s="2">
        <v>123456789</v>
      </c>
    </row>
    <row r="213" spans="1:4" x14ac:dyDescent="0.45">
      <c r="A213" t="s">
        <v>346</v>
      </c>
      <c r="B213">
        <v>262.51420000000002</v>
      </c>
      <c r="C213" s="2">
        <v>123456789</v>
      </c>
      <c r="D213" s="2">
        <v>123456789</v>
      </c>
    </row>
    <row r="214" spans="1:4" x14ac:dyDescent="0.45">
      <c r="A214" t="s">
        <v>347</v>
      </c>
      <c r="B214">
        <v>131.39089999999999</v>
      </c>
      <c r="C214" s="2">
        <v>123456789</v>
      </c>
      <c r="D214" s="2">
        <v>123456789</v>
      </c>
    </row>
    <row r="215" spans="1:4" x14ac:dyDescent="0.45">
      <c r="A215" t="s">
        <v>348</v>
      </c>
      <c r="B215">
        <v>122.99339999999999</v>
      </c>
      <c r="C215" s="2">
        <v>123456789</v>
      </c>
      <c r="D215" s="2">
        <v>123456789</v>
      </c>
    </row>
    <row r="216" spans="1:4" x14ac:dyDescent="0.45">
      <c r="A216" t="s">
        <v>349</v>
      </c>
      <c r="B216">
        <v>121.8</v>
      </c>
      <c r="C216" s="2">
        <v>123456789</v>
      </c>
      <c r="D216" s="2">
        <v>123456789</v>
      </c>
    </row>
    <row r="217" spans="1:4" x14ac:dyDescent="0.45">
      <c r="A217" t="s">
        <v>350</v>
      </c>
      <c r="B217">
        <v>114.92230000000001</v>
      </c>
      <c r="C217" s="2">
        <v>123456789</v>
      </c>
      <c r="D217" s="2">
        <v>123456789</v>
      </c>
    </row>
    <row r="218" spans="1:4" x14ac:dyDescent="0.45">
      <c r="A218" t="s">
        <v>351</v>
      </c>
      <c r="B218">
        <v>116.7527</v>
      </c>
      <c r="C218" s="2">
        <v>123456789</v>
      </c>
      <c r="D218" s="2">
        <v>123456789</v>
      </c>
    </row>
    <row r="219" spans="1:4" x14ac:dyDescent="0.45">
      <c r="A219" t="s">
        <v>352</v>
      </c>
      <c r="B219">
        <v>131.34889999999999</v>
      </c>
      <c r="C219" s="2">
        <v>123456789</v>
      </c>
      <c r="D219" s="2">
        <v>123456789</v>
      </c>
    </row>
    <row r="220" spans="1:4" x14ac:dyDescent="0.45">
      <c r="A220" t="s">
        <v>353</v>
      </c>
      <c r="B220">
        <v>161.5213</v>
      </c>
      <c r="C220" s="2">
        <v>123456789</v>
      </c>
      <c r="D220" s="2">
        <v>123456789</v>
      </c>
    </row>
    <row r="221" spans="1:4" x14ac:dyDescent="0.45">
      <c r="A221" t="s">
        <v>354</v>
      </c>
      <c r="B221">
        <v>273.99349999999998</v>
      </c>
      <c r="C221" s="2">
        <v>123456789</v>
      </c>
      <c r="D221" s="2">
        <v>123456789</v>
      </c>
    </row>
    <row r="222" spans="1:4" x14ac:dyDescent="0.45">
      <c r="A222" t="s">
        <v>355</v>
      </c>
      <c r="B222">
        <v>309.65089999999998</v>
      </c>
      <c r="C222" s="2">
        <v>123456789</v>
      </c>
      <c r="D222" s="2">
        <v>123456789</v>
      </c>
    </row>
    <row r="223" spans="1:4" x14ac:dyDescent="0.45">
      <c r="A223" t="s">
        <v>356</v>
      </c>
      <c r="B223">
        <v>403.00868733723956</v>
      </c>
      <c r="C223" s="2">
        <v>123456789</v>
      </c>
      <c r="D223" s="2">
        <v>123456789</v>
      </c>
    </row>
    <row r="224" spans="1:4" x14ac:dyDescent="0.45">
      <c r="A224" t="s">
        <v>357</v>
      </c>
      <c r="B224">
        <v>307.40158081054688</v>
      </c>
      <c r="C224" s="2">
        <v>123456789</v>
      </c>
      <c r="D224" s="2">
        <v>123456789</v>
      </c>
    </row>
    <row r="225" spans="1:4" x14ac:dyDescent="0.45">
      <c r="A225" t="s">
        <v>438</v>
      </c>
      <c r="B225">
        <v>307.40158081054688</v>
      </c>
      <c r="C225" s="2">
        <v>123456789</v>
      </c>
      <c r="D225" s="2">
        <v>123456789</v>
      </c>
    </row>
    <row r="226" spans="1:4" x14ac:dyDescent="0.45">
      <c r="A226" t="s">
        <v>441</v>
      </c>
      <c r="B226">
        <v>307.40158081054688</v>
      </c>
      <c r="C226" s="2">
        <v>123456789</v>
      </c>
      <c r="D226" s="2">
        <v>123456789</v>
      </c>
    </row>
  </sheetData>
  <phoneticPr fontId="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0950-1DAE-45B9-B880-B4F2812EB873}">
  <sheetPr>
    <tabColor theme="9" tint="0.79998168889431442"/>
  </sheetPr>
  <dimension ref="A1:D226"/>
  <sheetViews>
    <sheetView topLeftCell="A211" workbookViewId="0">
      <selection activeCell="G225" sqref="G225"/>
    </sheetView>
  </sheetViews>
  <sheetFormatPr defaultRowHeight="14.25" x14ac:dyDescent="0.45"/>
  <sheetData>
    <row r="1" spans="1:4" x14ac:dyDescent="0.45">
      <c r="B1" t="s">
        <v>6</v>
      </c>
      <c r="C1" t="s">
        <v>133</v>
      </c>
      <c r="D1" t="s">
        <v>134</v>
      </c>
    </row>
    <row r="2" spans="1:4" x14ac:dyDescent="0.45">
      <c r="A2" t="s">
        <v>135</v>
      </c>
      <c r="B2">
        <v>0.1497</v>
      </c>
      <c r="C2" s="2">
        <v>123456789</v>
      </c>
      <c r="D2" s="2">
        <v>123456789</v>
      </c>
    </row>
    <row r="3" spans="1:4" x14ac:dyDescent="0.45">
      <c r="A3" t="s">
        <v>136</v>
      </c>
      <c r="B3">
        <v>-3.1934999999999998</v>
      </c>
      <c r="C3" s="2">
        <v>123456789</v>
      </c>
      <c r="D3" s="2">
        <v>123456789</v>
      </c>
    </row>
    <row r="4" spans="1:4" x14ac:dyDescent="0.45">
      <c r="A4" t="s">
        <v>137</v>
      </c>
      <c r="B4">
        <v>0.6825</v>
      </c>
      <c r="C4" s="2">
        <v>123456789</v>
      </c>
      <c r="D4" s="2">
        <v>123456789</v>
      </c>
    </row>
    <row r="5" spans="1:4" x14ac:dyDescent="0.45">
      <c r="A5" t="s">
        <v>138</v>
      </c>
      <c r="B5">
        <v>-2.3022999999999998</v>
      </c>
      <c r="C5" s="2">
        <v>123456789</v>
      </c>
      <c r="D5" s="2">
        <v>123456789</v>
      </c>
    </row>
    <row r="6" spans="1:4" x14ac:dyDescent="0.45">
      <c r="A6" t="s">
        <v>139</v>
      </c>
      <c r="B6">
        <v>-0.82420000000000004</v>
      </c>
      <c r="C6" s="2">
        <v>123456789</v>
      </c>
      <c r="D6" s="2">
        <v>123456789</v>
      </c>
    </row>
    <row r="7" spans="1:4" x14ac:dyDescent="0.45">
      <c r="A7" t="s">
        <v>140</v>
      </c>
      <c r="B7">
        <v>0.72809999999999997</v>
      </c>
      <c r="C7" s="2">
        <v>123456789</v>
      </c>
      <c r="D7" s="2">
        <v>123456789</v>
      </c>
    </row>
    <row r="8" spans="1:4" x14ac:dyDescent="0.45">
      <c r="A8" t="s">
        <v>141</v>
      </c>
      <c r="B8">
        <v>1.6004</v>
      </c>
      <c r="C8" s="2">
        <v>123456789</v>
      </c>
      <c r="D8" s="2">
        <v>123456789</v>
      </c>
    </row>
    <row r="9" spans="1:4" x14ac:dyDescent="0.45">
      <c r="A9" t="s">
        <v>142</v>
      </c>
      <c r="B9">
        <v>7.2469000000000001</v>
      </c>
      <c r="C9" s="2">
        <v>123456789</v>
      </c>
      <c r="D9" s="2">
        <v>123456789</v>
      </c>
    </row>
    <row r="10" spans="1:4" x14ac:dyDescent="0.45">
      <c r="A10" t="s">
        <v>143</v>
      </c>
      <c r="B10">
        <v>12.5296</v>
      </c>
      <c r="C10" s="2">
        <v>123456789</v>
      </c>
      <c r="D10" s="2">
        <v>123456789</v>
      </c>
    </row>
    <row r="11" spans="1:4" x14ac:dyDescent="0.45">
      <c r="A11" t="s">
        <v>144</v>
      </c>
      <c r="B11">
        <v>22.093</v>
      </c>
      <c r="C11" s="2">
        <v>123456789</v>
      </c>
      <c r="D11" s="2">
        <v>123456789</v>
      </c>
    </row>
    <row r="12" spans="1:4" x14ac:dyDescent="0.45">
      <c r="A12" t="s">
        <v>145</v>
      </c>
      <c r="B12">
        <v>30.8904</v>
      </c>
      <c r="C12" s="2">
        <v>123456789</v>
      </c>
      <c r="D12" s="2">
        <v>123456789</v>
      </c>
    </row>
    <row r="13" spans="1:4" x14ac:dyDescent="0.45">
      <c r="A13" t="s">
        <v>146</v>
      </c>
      <c r="B13">
        <v>33.208300000000001</v>
      </c>
      <c r="C13" s="2">
        <v>123456789</v>
      </c>
      <c r="D13" s="2">
        <v>123456789</v>
      </c>
    </row>
    <row r="14" spans="1:4" x14ac:dyDescent="0.45">
      <c r="A14" t="s">
        <v>147</v>
      </c>
      <c r="B14">
        <v>40.054200000000002</v>
      </c>
      <c r="C14" s="2">
        <v>123456789</v>
      </c>
      <c r="D14" s="2">
        <v>123456789</v>
      </c>
    </row>
    <row r="15" spans="1:4" x14ac:dyDescent="0.45">
      <c r="A15" t="s">
        <v>148</v>
      </c>
      <c r="B15">
        <v>32.384999999999998</v>
      </c>
      <c r="C15" s="2">
        <v>123456789</v>
      </c>
      <c r="D15" s="2">
        <v>123456789</v>
      </c>
    </row>
    <row r="16" spans="1:4" x14ac:dyDescent="0.45">
      <c r="A16" t="s">
        <v>149</v>
      </c>
      <c r="B16">
        <v>22.897099999999998</v>
      </c>
      <c r="C16" s="2">
        <v>123456789</v>
      </c>
      <c r="D16" s="2">
        <v>123456789</v>
      </c>
    </row>
    <row r="17" spans="1:4" x14ac:dyDescent="0.45">
      <c r="A17" t="s">
        <v>150</v>
      </c>
      <c r="B17">
        <v>13.7057</v>
      </c>
      <c r="C17" s="2">
        <v>123456789</v>
      </c>
      <c r="D17" s="2">
        <v>123456789</v>
      </c>
    </row>
    <row r="18" spans="1:4" x14ac:dyDescent="0.45">
      <c r="A18" t="s">
        <v>151</v>
      </c>
      <c r="B18">
        <v>0.80130000000000001</v>
      </c>
      <c r="C18" s="2">
        <v>123456789</v>
      </c>
      <c r="D18" s="2">
        <v>123456789</v>
      </c>
    </row>
    <row r="19" spans="1:4" x14ac:dyDescent="0.45">
      <c r="A19" t="s">
        <v>152</v>
      </c>
      <c r="B19">
        <v>-6.0823999999999998</v>
      </c>
      <c r="C19" s="2">
        <v>123456789</v>
      </c>
      <c r="D19" s="2">
        <v>123456789</v>
      </c>
    </row>
    <row r="20" spans="1:4" x14ac:dyDescent="0.45">
      <c r="A20" t="s">
        <v>153</v>
      </c>
      <c r="B20">
        <v>-11.137</v>
      </c>
      <c r="C20" s="2">
        <v>123456789</v>
      </c>
      <c r="D20" s="2">
        <v>123456789</v>
      </c>
    </row>
    <row r="21" spans="1:4" x14ac:dyDescent="0.45">
      <c r="A21" t="s">
        <v>154</v>
      </c>
      <c r="B21">
        <v>-11.759499999999999</v>
      </c>
      <c r="C21" s="2">
        <v>123456789</v>
      </c>
      <c r="D21" s="2">
        <v>123456789</v>
      </c>
    </row>
    <row r="22" spans="1:4" x14ac:dyDescent="0.45">
      <c r="A22" t="s">
        <v>155</v>
      </c>
      <c r="B22">
        <v>-13.2102</v>
      </c>
      <c r="C22" s="2">
        <v>123456789</v>
      </c>
      <c r="D22" s="2">
        <v>123456789</v>
      </c>
    </row>
    <row r="23" spans="1:4" x14ac:dyDescent="0.45">
      <c r="A23" t="s">
        <v>156</v>
      </c>
      <c r="B23">
        <v>-13.8772</v>
      </c>
      <c r="C23" s="2">
        <v>123456789</v>
      </c>
      <c r="D23" s="2">
        <v>123456789</v>
      </c>
    </row>
    <row r="24" spans="1:4" x14ac:dyDescent="0.45">
      <c r="A24" t="s">
        <v>157</v>
      </c>
      <c r="B24">
        <v>-13.7387</v>
      </c>
      <c r="C24" s="2">
        <v>123456789</v>
      </c>
      <c r="D24" s="2">
        <v>123456789</v>
      </c>
    </row>
    <row r="25" spans="1:4" x14ac:dyDescent="0.45">
      <c r="A25" t="s">
        <v>158</v>
      </c>
      <c r="B25">
        <v>-12.793900000000001</v>
      </c>
      <c r="C25" s="2">
        <v>123456789</v>
      </c>
      <c r="D25" s="2">
        <v>123456789</v>
      </c>
    </row>
    <row r="26" spans="1:4" x14ac:dyDescent="0.45">
      <c r="A26" t="s">
        <v>159</v>
      </c>
      <c r="B26">
        <v>-10.0465</v>
      </c>
      <c r="C26" s="2">
        <v>123456789</v>
      </c>
      <c r="D26" s="2">
        <v>123456789</v>
      </c>
    </row>
    <row r="27" spans="1:4" x14ac:dyDescent="0.45">
      <c r="A27" t="s">
        <v>160</v>
      </c>
      <c r="B27">
        <v>-4.8136000000000001</v>
      </c>
      <c r="C27" s="2">
        <v>123456789</v>
      </c>
      <c r="D27" s="2">
        <v>123456789</v>
      </c>
    </row>
    <row r="28" spans="1:4" x14ac:dyDescent="0.45">
      <c r="A28" t="s">
        <v>161</v>
      </c>
      <c r="B28">
        <v>-4.1456</v>
      </c>
      <c r="C28" s="2">
        <v>123456789</v>
      </c>
      <c r="D28" s="2">
        <v>123456789</v>
      </c>
    </row>
    <row r="29" spans="1:4" x14ac:dyDescent="0.45">
      <c r="A29" t="s">
        <v>162</v>
      </c>
      <c r="B29">
        <v>-4.2324000000000002</v>
      </c>
      <c r="C29" s="2">
        <v>123456789</v>
      </c>
      <c r="D29" s="2">
        <v>123456789</v>
      </c>
    </row>
    <row r="30" spans="1:4" x14ac:dyDescent="0.45">
      <c r="A30" t="s">
        <v>163</v>
      </c>
      <c r="B30">
        <v>-7.4621000000000004</v>
      </c>
      <c r="C30" s="2">
        <v>123456789</v>
      </c>
      <c r="D30" s="2">
        <v>123456789</v>
      </c>
    </row>
    <row r="31" spans="1:4" x14ac:dyDescent="0.45">
      <c r="A31" t="s">
        <v>164</v>
      </c>
      <c r="B31">
        <v>-8.9741999999999997</v>
      </c>
      <c r="C31" s="2">
        <v>123456789</v>
      </c>
      <c r="D31" s="2">
        <v>123456789</v>
      </c>
    </row>
    <row r="32" spans="1:4" x14ac:dyDescent="0.45">
      <c r="A32" t="s">
        <v>165</v>
      </c>
      <c r="B32">
        <v>-7.7491000000000003</v>
      </c>
      <c r="C32" s="2">
        <v>123456789</v>
      </c>
      <c r="D32" s="2">
        <v>123456789</v>
      </c>
    </row>
    <row r="33" spans="1:4" x14ac:dyDescent="0.45">
      <c r="A33" t="s">
        <v>166</v>
      </c>
      <c r="B33">
        <v>-3.3426</v>
      </c>
      <c r="C33" s="2">
        <v>123456789</v>
      </c>
      <c r="D33" s="2">
        <v>123456789</v>
      </c>
    </row>
    <row r="34" spans="1:4" x14ac:dyDescent="0.45">
      <c r="A34" t="s">
        <v>167</v>
      </c>
      <c r="B34">
        <v>1.4341999999999999</v>
      </c>
      <c r="C34" s="2">
        <v>123456789</v>
      </c>
      <c r="D34" s="2">
        <v>123456789</v>
      </c>
    </row>
    <row r="35" spans="1:4" x14ac:dyDescent="0.45">
      <c r="A35" t="s">
        <v>168</v>
      </c>
      <c r="B35">
        <v>6.3121</v>
      </c>
      <c r="C35" s="2">
        <v>123456789</v>
      </c>
      <c r="D35" s="2">
        <v>123456789</v>
      </c>
    </row>
    <row r="36" spans="1:4" x14ac:dyDescent="0.45">
      <c r="A36" t="s">
        <v>169</v>
      </c>
      <c r="B36">
        <v>10.4078</v>
      </c>
      <c r="C36" s="2">
        <v>123456789</v>
      </c>
      <c r="D36" s="2">
        <v>123456789</v>
      </c>
    </row>
    <row r="37" spans="1:4" x14ac:dyDescent="0.45">
      <c r="A37" t="s">
        <v>170</v>
      </c>
      <c r="B37">
        <v>14.4513</v>
      </c>
      <c r="C37" s="2">
        <v>123456789</v>
      </c>
      <c r="D37" s="2">
        <v>123456789</v>
      </c>
    </row>
    <row r="38" spans="1:4" x14ac:dyDescent="0.45">
      <c r="A38" t="s">
        <v>171</v>
      </c>
      <c r="B38">
        <v>17.014800000000001</v>
      </c>
      <c r="C38" s="2">
        <v>123456789</v>
      </c>
      <c r="D38" s="2">
        <v>123456789</v>
      </c>
    </row>
    <row r="39" spans="1:4" x14ac:dyDescent="0.45">
      <c r="A39" t="s">
        <v>172</v>
      </c>
      <c r="B39">
        <v>19.635000000000002</v>
      </c>
      <c r="C39" s="2">
        <v>123456789</v>
      </c>
      <c r="D39" s="2">
        <v>123456789</v>
      </c>
    </row>
    <row r="40" spans="1:4" x14ac:dyDescent="0.45">
      <c r="A40" t="s">
        <v>173</v>
      </c>
      <c r="B40">
        <v>15.6698</v>
      </c>
      <c r="C40" s="2">
        <v>123456789</v>
      </c>
      <c r="D40" s="2">
        <v>123456789</v>
      </c>
    </row>
    <row r="41" spans="1:4" x14ac:dyDescent="0.45">
      <c r="A41" t="s">
        <v>174</v>
      </c>
      <c r="B41">
        <v>12.9377</v>
      </c>
      <c r="C41" s="2">
        <v>123456789</v>
      </c>
      <c r="D41" s="2">
        <v>123456789</v>
      </c>
    </row>
    <row r="42" spans="1:4" x14ac:dyDescent="0.45">
      <c r="A42" t="s">
        <v>175</v>
      </c>
      <c r="B42">
        <v>11.4658</v>
      </c>
      <c r="C42" s="2">
        <v>123456789</v>
      </c>
      <c r="D42" s="2">
        <v>123456789</v>
      </c>
    </row>
    <row r="43" spans="1:4" x14ac:dyDescent="0.45">
      <c r="A43" t="s">
        <v>176</v>
      </c>
      <c r="B43">
        <v>4.6422999999999996</v>
      </c>
      <c r="C43" s="2">
        <v>123456789</v>
      </c>
      <c r="D43" s="2">
        <v>123456789</v>
      </c>
    </row>
    <row r="44" spans="1:4" x14ac:dyDescent="0.45">
      <c r="A44" t="s">
        <v>177</v>
      </c>
      <c r="B44">
        <v>5.0808</v>
      </c>
      <c r="C44" s="2">
        <v>123456789</v>
      </c>
      <c r="D44" s="2">
        <v>123456789</v>
      </c>
    </row>
    <row r="45" spans="1:4" x14ac:dyDescent="0.45">
      <c r="A45" t="s">
        <v>178</v>
      </c>
      <c r="B45">
        <v>0.19489999999999999</v>
      </c>
      <c r="C45" s="2">
        <v>123456789</v>
      </c>
      <c r="D45" s="2">
        <v>123456789</v>
      </c>
    </row>
    <row r="46" spans="1:4" x14ac:dyDescent="0.45">
      <c r="A46" t="s">
        <v>179</v>
      </c>
      <c r="B46">
        <v>-3.5371000000000001</v>
      </c>
      <c r="C46" s="2">
        <v>123456789</v>
      </c>
      <c r="D46" s="2">
        <v>123456789</v>
      </c>
    </row>
    <row r="47" spans="1:4" x14ac:dyDescent="0.45">
      <c r="A47" t="s">
        <v>180</v>
      </c>
      <c r="B47">
        <v>-3.8502999999999998</v>
      </c>
      <c r="C47" s="2">
        <v>123456789</v>
      </c>
      <c r="D47" s="2">
        <v>123456789</v>
      </c>
    </row>
    <row r="48" spans="1:4" x14ac:dyDescent="0.45">
      <c r="A48" t="s">
        <v>181</v>
      </c>
      <c r="B48">
        <v>-5.9362000000000004</v>
      </c>
      <c r="C48" s="2">
        <v>123456789</v>
      </c>
      <c r="D48" s="2">
        <v>123456789</v>
      </c>
    </row>
    <row r="49" spans="1:4" x14ac:dyDescent="0.45">
      <c r="A49" t="s">
        <v>182</v>
      </c>
      <c r="B49">
        <v>-8.2111999999999998</v>
      </c>
      <c r="C49" s="2">
        <v>123456789</v>
      </c>
      <c r="D49" s="2">
        <v>123456789</v>
      </c>
    </row>
    <row r="50" spans="1:4" x14ac:dyDescent="0.45">
      <c r="A50" t="s">
        <v>183</v>
      </c>
      <c r="B50">
        <v>-9.2223000000000006</v>
      </c>
      <c r="C50" s="2">
        <v>123456789</v>
      </c>
      <c r="D50" s="2">
        <v>123456789</v>
      </c>
    </row>
    <row r="51" spans="1:4" x14ac:dyDescent="0.45">
      <c r="A51" t="s">
        <v>184</v>
      </c>
      <c r="B51">
        <v>-6.6205999999999996</v>
      </c>
      <c r="C51" s="2">
        <v>123456789</v>
      </c>
      <c r="D51" s="2">
        <v>123456789</v>
      </c>
    </row>
    <row r="52" spans="1:4" x14ac:dyDescent="0.45">
      <c r="A52" t="s">
        <v>185</v>
      </c>
      <c r="B52">
        <v>-4.6550000000000002</v>
      </c>
      <c r="C52" s="2">
        <v>123456789</v>
      </c>
      <c r="D52" s="2">
        <v>123456789</v>
      </c>
    </row>
    <row r="53" spans="1:4" x14ac:dyDescent="0.45">
      <c r="A53" t="s">
        <v>186</v>
      </c>
      <c r="B53">
        <v>-0.83120000000000005</v>
      </c>
      <c r="C53" s="2">
        <v>123456789</v>
      </c>
      <c r="D53" s="2">
        <v>123456789</v>
      </c>
    </row>
    <row r="54" spans="1:4" x14ac:dyDescent="0.45">
      <c r="A54" t="s">
        <v>187</v>
      </c>
      <c r="B54">
        <v>5.2214999999999998</v>
      </c>
      <c r="C54" s="2">
        <v>123456789</v>
      </c>
      <c r="D54" s="2">
        <v>123456789</v>
      </c>
    </row>
    <row r="55" spans="1:4" x14ac:dyDescent="0.45">
      <c r="A55" t="s">
        <v>188</v>
      </c>
      <c r="B55">
        <v>6.1289999999999996</v>
      </c>
      <c r="C55" s="2">
        <v>123456789</v>
      </c>
      <c r="D55" s="2">
        <v>123456789</v>
      </c>
    </row>
    <row r="56" spans="1:4" x14ac:dyDescent="0.45">
      <c r="A56" t="s">
        <v>189</v>
      </c>
      <c r="B56">
        <v>7.5483000000000002</v>
      </c>
      <c r="C56" s="2">
        <v>123456789</v>
      </c>
      <c r="D56" s="2">
        <v>123456789</v>
      </c>
    </row>
    <row r="57" spans="1:4" x14ac:dyDescent="0.45">
      <c r="A57" t="s">
        <v>190</v>
      </c>
      <c r="B57">
        <v>7.0175000000000001</v>
      </c>
      <c r="C57" s="2">
        <v>123456789</v>
      </c>
      <c r="D57" s="2">
        <v>123456789</v>
      </c>
    </row>
    <row r="58" spans="1:4" x14ac:dyDescent="0.45">
      <c r="A58" t="s">
        <v>191</v>
      </c>
      <c r="B58">
        <v>5.0910000000000002</v>
      </c>
      <c r="C58" s="2">
        <v>123456789</v>
      </c>
      <c r="D58" s="2">
        <v>123456789</v>
      </c>
    </row>
    <row r="59" spans="1:4" x14ac:dyDescent="0.45">
      <c r="A59" t="s">
        <v>192</v>
      </c>
      <c r="B59">
        <v>4.2805</v>
      </c>
      <c r="C59" s="2">
        <v>123456789</v>
      </c>
      <c r="D59" s="2">
        <v>123456789</v>
      </c>
    </row>
    <row r="60" spans="1:4" x14ac:dyDescent="0.45">
      <c r="A60" t="s">
        <v>193</v>
      </c>
      <c r="B60">
        <v>4.5453000000000001</v>
      </c>
      <c r="C60" s="2">
        <v>123456789</v>
      </c>
      <c r="D60" s="2">
        <v>123456789</v>
      </c>
    </row>
    <row r="61" spans="1:4" x14ac:dyDescent="0.45">
      <c r="A61" t="s">
        <v>194</v>
      </c>
      <c r="B61">
        <v>5.3529</v>
      </c>
      <c r="C61" s="2">
        <v>123456789</v>
      </c>
      <c r="D61" s="2">
        <v>123456789</v>
      </c>
    </row>
    <row r="62" spans="1:4" x14ac:dyDescent="0.45">
      <c r="A62" t="s">
        <v>195</v>
      </c>
      <c r="B62">
        <v>3.7225999999999999</v>
      </c>
      <c r="C62" s="2">
        <v>123456789</v>
      </c>
      <c r="D62" s="2">
        <v>123456789</v>
      </c>
    </row>
    <row r="63" spans="1:4" x14ac:dyDescent="0.45">
      <c r="A63" t="s">
        <v>196</v>
      </c>
      <c r="B63">
        <v>3.8178999999999998</v>
      </c>
      <c r="C63" s="2">
        <v>123456789</v>
      </c>
      <c r="D63" s="2">
        <v>123456789</v>
      </c>
    </row>
    <row r="64" spans="1:4" x14ac:dyDescent="0.45">
      <c r="A64" t="s">
        <v>197</v>
      </c>
      <c r="B64">
        <v>2.2932999999999999</v>
      </c>
      <c r="C64" s="2">
        <v>123456789</v>
      </c>
      <c r="D64" s="2">
        <v>123456789</v>
      </c>
    </row>
    <row r="65" spans="1:4" x14ac:dyDescent="0.45">
      <c r="A65" t="s">
        <v>198</v>
      </c>
      <c r="B65">
        <v>4.4992999999999999</v>
      </c>
      <c r="C65" s="2">
        <v>123456789</v>
      </c>
      <c r="D65" s="2">
        <v>123456789</v>
      </c>
    </row>
    <row r="66" spans="1:4" x14ac:dyDescent="0.45">
      <c r="A66" t="s">
        <v>199</v>
      </c>
      <c r="B66">
        <v>7.3010000000000002</v>
      </c>
      <c r="C66" s="2">
        <v>123456789</v>
      </c>
      <c r="D66" s="2">
        <v>123456789</v>
      </c>
    </row>
    <row r="67" spans="1:4" x14ac:dyDescent="0.45">
      <c r="A67" t="s">
        <v>200</v>
      </c>
      <c r="B67">
        <v>9.3375000000000004</v>
      </c>
      <c r="C67" s="2">
        <v>123456789</v>
      </c>
      <c r="D67" s="2">
        <v>123456789</v>
      </c>
    </row>
    <row r="68" spans="1:4" x14ac:dyDescent="0.45">
      <c r="A68" t="s">
        <v>201</v>
      </c>
      <c r="B68">
        <v>11.637600000000001</v>
      </c>
      <c r="C68" s="2">
        <v>123456789</v>
      </c>
      <c r="D68" s="2">
        <v>123456789</v>
      </c>
    </row>
    <row r="69" spans="1:4" x14ac:dyDescent="0.45">
      <c r="A69" t="s">
        <v>202</v>
      </c>
      <c r="B69">
        <v>11.1157</v>
      </c>
      <c r="C69" s="2">
        <v>123456789</v>
      </c>
      <c r="D69" s="2">
        <v>123456789</v>
      </c>
    </row>
    <row r="70" spans="1:4" x14ac:dyDescent="0.45">
      <c r="A70" t="s">
        <v>203</v>
      </c>
      <c r="B70">
        <v>11.7424</v>
      </c>
      <c r="C70" s="2">
        <v>123456789</v>
      </c>
      <c r="D70" s="2">
        <v>123456789</v>
      </c>
    </row>
    <row r="71" spans="1:4" x14ac:dyDescent="0.45">
      <c r="A71" t="s">
        <v>204</v>
      </c>
      <c r="B71">
        <v>11.9862</v>
      </c>
      <c r="C71" s="2">
        <v>123456789</v>
      </c>
      <c r="D71" s="2">
        <v>123456789</v>
      </c>
    </row>
    <row r="72" spans="1:4" x14ac:dyDescent="0.45">
      <c r="A72" t="s">
        <v>205</v>
      </c>
      <c r="B72">
        <v>12.8324</v>
      </c>
      <c r="C72" s="2">
        <v>123456789</v>
      </c>
      <c r="D72" s="2">
        <v>123456789</v>
      </c>
    </row>
    <row r="73" spans="1:4" x14ac:dyDescent="0.45">
      <c r="A73" t="s">
        <v>206</v>
      </c>
      <c r="B73">
        <v>15.9732</v>
      </c>
      <c r="C73" s="2">
        <v>123456789</v>
      </c>
      <c r="D73" s="2">
        <v>123456789</v>
      </c>
    </row>
    <row r="74" spans="1:4" x14ac:dyDescent="0.45">
      <c r="A74" t="s">
        <v>207</v>
      </c>
      <c r="B74">
        <v>17.715399999999999</v>
      </c>
      <c r="C74" s="2">
        <v>123456789</v>
      </c>
      <c r="D74" s="2">
        <v>123456789</v>
      </c>
    </row>
    <row r="75" spans="1:4" x14ac:dyDescent="0.45">
      <c r="A75" t="s">
        <v>208</v>
      </c>
      <c r="B75">
        <v>18.684799999999999</v>
      </c>
      <c r="C75" s="2">
        <v>123456789</v>
      </c>
      <c r="D75" s="2">
        <v>123456789</v>
      </c>
    </row>
    <row r="76" spans="1:4" x14ac:dyDescent="0.45">
      <c r="A76" t="s">
        <v>209</v>
      </c>
      <c r="B76">
        <v>27.198499999999999</v>
      </c>
      <c r="C76" s="2">
        <v>123456789</v>
      </c>
      <c r="D76" s="2">
        <v>123456789</v>
      </c>
    </row>
    <row r="77" spans="1:4" x14ac:dyDescent="0.45">
      <c r="A77" t="s">
        <v>210</v>
      </c>
      <c r="B77">
        <v>27.246200000000002</v>
      </c>
      <c r="C77" s="2">
        <v>123456789</v>
      </c>
      <c r="D77" s="2">
        <v>123456789</v>
      </c>
    </row>
    <row r="78" spans="1:4" x14ac:dyDescent="0.45">
      <c r="A78" t="s">
        <v>211</v>
      </c>
      <c r="B78">
        <v>24.018799999999999</v>
      </c>
      <c r="C78" s="2">
        <v>123456789</v>
      </c>
      <c r="D78" s="2">
        <v>123456789</v>
      </c>
    </row>
    <row r="79" spans="1:4" x14ac:dyDescent="0.45">
      <c r="A79" t="s">
        <v>212</v>
      </c>
      <c r="B79">
        <v>20.7683</v>
      </c>
      <c r="C79" s="2">
        <v>123456789</v>
      </c>
      <c r="D79" s="2">
        <v>123456789</v>
      </c>
    </row>
    <row r="80" spans="1:4" x14ac:dyDescent="0.45">
      <c r="A80" t="s">
        <v>213</v>
      </c>
      <c r="B80">
        <v>10.5907</v>
      </c>
      <c r="C80" s="2">
        <v>123456789</v>
      </c>
      <c r="D80" s="2">
        <v>123456789</v>
      </c>
    </row>
    <row r="81" spans="1:4" x14ac:dyDescent="0.45">
      <c r="A81" t="s">
        <v>214</v>
      </c>
      <c r="B81">
        <v>1.659</v>
      </c>
      <c r="C81" s="2">
        <v>123456789</v>
      </c>
      <c r="D81" s="2">
        <v>123456789</v>
      </c>
    </row>
    <row r="82" spans="1:4" x14ac:dyDescent="0.45">
      <c r="A82" t="s">
        <v>215</v>
      </c>
      <c r="B82">
        <v>-2.7370999999999999</v>
      </c>
      <c r="C82" s="2">
        <v>123456789</v>
      </c>
      <c r="D82" s="2">
        <v>123456789</v>
      </c>
    </row>
    <row r="83" spans="1:4" x14ac:dyDescent="0.45">
      <c r="A83" t="s">
        <v>216</v>
      </c>
      <c r="B83">
        <v>-7.69</v>
      </c>
      <c r="C83" s="2">
        <v>123456789</v>
      </c>
      <c r="D83" s="2">
        <v>123456789</v>
      </c>
    </row>
    <row r="84" spans="1:4" x14ac:dyDescent="0.45">
      <c r="A84" t="s">
        <v>217</v>
      </c>
      <c r="B84">
        <v>-9.9198000000000004</v>
      </c>
      <c r="C84" s="2">
        <v>123456789</v>
      </c>
      <c r="D84" s="2">
        <v>123456789</v>
      </c>
    </row>
    <row r="85" spans="1:4" x14ac:dyDescent="0.45">
      <c r="A85" t="s">
        <v>218</v>
      </c>
      <c r="B85">
        <v>-9.8308</v>
      </c>
      <c r="C85" s="2">
        <v>123456789</v>
      </c>
      <c r="D85" s="2">
        <v>123456789</v>
      </c>
    </row>
    <row r="86" spans="1:4" x14ac:dyDescent="0.45">
      <c r="A86" t="s">
        <v>219</v>
      </c>
      <c r="B86">
        <v>-8.4223999999999997</v>
      </c>
      <c r="C86" s="2">
        <v>123456789</v>
      </c>
      <c r="D86" s="2">
        <v>123456789</v>
      </c>
    </row>
    <row r="87" spans="1:4" x14ac:dyDescent="0.45">
      <c r="A87" t="s">
        <v>220</v>
      </c>
      <c r="B87">
        <v>-9.1974999999999998</v>
      </c>
      <c r="C87" s="2">
        <v>123456789</v>
      </c>
      <c r="D87" s="2">
        <v>123456789</v>
      </c>
    </row>
    <row r="88" spans="1:4" x14ac:dyDescent="0.45">
      <c r="A88" t="s">
        <v>221</v>
      </c>
      <c r="B88">
        <v>-8.5642999999999994</v>
      </c>
      <c r="C88" s="2">
        <v>123456789</v>
      </c>
      <c r="D88" s="2">
        <v>123456789</v>
      </c>
    </row>
    <row r="89" spans="1:4" x14ac:dyDescent="0.45">
      <c r="A89" t="s">
        <v>222</v>
      </c>
      <c r="B89">
        <v>-7.1614000000000004</v>
      </c>
      <c r="C89" s="2">
        <v>123456789</v>
      </c>
      <c r="D89" s="2">
        <v>123456789</v>
      </c>
    </row>
    <row r="90" spans="1:4" x14ac:dyDescent="0.45">
      <c r="A90" t="s">
        <v>223</v>
      </c>
      <c r="B90">
        <v>-7.3655999999999997</v>
      </c>
      <c r="C90" s="2">
        <v>123456789</v>
      </c>
      <c r="D90" s="2">
        <v>123456789</v>
      </c>
    </row>
    <row r="91" spans="1:4" x14ac:dyDescent="0.45">
      <c r="A91" t="s">
        <v>224</v>
      </c>
      <c r="B91">
        <v>-6.9862000000000002</v>
      </c>
      <c r="C91" s="2">
        <v>123456789</v>
      </c>
      <c r="D91" s="2">
        <v>123456789</v>
      </c>
    </row>
    <row r="92" spans="1:4" x14ac:dyDescent="0.45">
      <c r="A92" t="s">
        <v>225</v>
      </c>
      <c r="B92">
        <v>-7.4287999999999998</v>
      </c>
      <c r="C92" s="2">
        <v>123456789</v>
      </c>
      <c r="D92" s="2">
        <v>123456789</v>
      </c>
    </row>
    <row r="93" spans="1:4" x14ac:dyDescent="0.45">
      <c r="A93" t="s">
        <v>226</v>
      </c>
      <c r="B93">
        <v>-9.8391000000000002</v>
      </c>
      <c r="C93" s="2">
        <v>123456789</v>
      </c>
      <c r="D93" s="2">
        <v>123456789</v>
      </c>
    </row>
    <row r="94" spans="1:4" x14ac:dyDescent="0.45">
      <c r="A94" t="s">
        <v>227</v>
      </c>
      <c r="B94">
        <v>-7.6128</v>
      </c>
      <c r="C94" s="2">
        <v>123456789</v>
      </c>
      <c r="D94" s="2">
        <v>123456789</v>
      </c>
    </row>
    <row r="95" spans="1:4" x14ac:dyDescent="0.45">
      <c r="A95" t="s">
        <v>228</v>
      </c>
      <c r="B95">
        <v>-4.6303000000000001</v>
      </c>
      <c r="C95" s="2">
        <v>123456789</v>
      </c>
      <c r="D95" s="2">
        <v>123456789</v>
      </c>
    </row>
    <row r="96" spans="1:4" x14ac:dyDescent="0.45">
      <c r="A96" t="s">
        <v>229</v>
      </c>
      <c r="B96">
        <v>-3.2724000000000002</v>
      </c>
      <c r="C96" s="2">
        <v>123456789</v>
      </c>
      <c r="D96" s="2">
        <v>123456789</v>
      </c>
    </row>
    <row r="97" spans="1:4" x14ac:dyDescent="0.45">
      <c r="A97" t="s">
        <v>230</v>
      </c>
      <c r="B97">
        <v>-0.88629999999999998</v>
      </c>
      <c r="C97" s="2">
        <v>123456789</v>
      </c>
      <c r="D97" s="2">
        <v>123456789</v>
      </c>
    </row>
    <row r="98" spans="1:4" x14ac:dyDescent="0.45">
      <c r="A98" t="s">
        <v>231</v>
      </c>
      <c r="B98">
        <v>-0.38979999999999998</v>
      </c>
      <c r="C98" s="2">
        <v>123456789</v>
      </c>
      <c r="D98" s="2">
        <v>123456789</v>
      </c>
    </row>
    <row r="99" spans="1:4" x14ac:dyDescent="0.45">
      <c r="A99" t="s">
        <v>232</v>
      </c>
      <c r="B99">
        <v>0.64800000000000002</v>
      </c>
      <c r="C99" s="2">
        <v>123456789</v>
      </c>
      <c r="D99" s="2">
        <v>123456789</v>
      </c>
    </row>
    <row r="100" spans="1:4" x14ac:dyDescent="0.45">
      <c r="A100" t="s">
        <v>233</v>
      </c>
      <c r="B100">
        <v>0.62170000000000003</v>
      </c>
      <c r="C100" s="2">
        <v>123456789</v>
      </c>
      <c r="D100" s="2">
        <v>123456789</v>
      </c>
    </row>
    <row r="101" spans="1:4" x14ac:dyDescent="0.45">
      <c r="A101" t="s">
        <v>234</v>
      </c>
      <c r="B101">
        <v>1.7744</v>
      </c>
      <c r="C101" s="2">
        <v>123456789</v>
      </c>
      <c r="D101" s="2">
        <v>123456789</v>
      </c>
    </row>
    <row r="102" spans="1:4" x14ac:dyDescent="0.45">
      <c r="A102" t="s">
        <v>235</v>
      </c>
      <c r="B102">
        <v>-0.9153</v>
      </c>
      <c r="C102" s="2">
        <v>123456789</v>
      </c>
      <c r="D102" s="2">
        <v>123456789</v>
      </c>
    </row>
    <row r="103" spans="1:4" x14ac:dyDescent="0.45">
      <c r="A103" t="s">
        <v>236</v>
      </c>
      <c r="B103">
        <v>-1.0790999999999999</v>
      </c>
      <c r="C103" s="2">
        <v>123456789</v>
      </c>
      <c r="D103" s="2">
        <v>123456789</v>
      </c>
    </row>
    <row r="104" spans="1:4" x14ac:dyDescent="0.45">
      <c r="A104" t="s">
        <v>237</v>
      </c>
      <c r="B104">
        <v>-2.2715000000000001</v>
      </c>
      <c r="C104" s="2">
        <v>123456789</v>
      </c>
      <c r="D104" s="2">
        <v>123456789</v>
      </c>
    </row>
    <row r="105" spans="1:4" x14ac:dyDescent="0.45">
      <c r="A105" t="s">
        <v>238</v>
      </c>
      <c r="B105">
        <v>-3.2057000000000002</v>
      </c>
      <c r="C105" s="2">
        <v>123456789</v>
      </c>
      <c r="D105" s="2">
        <v>123456789</v>
      </c>
    </row>
    <row r="106" spans="1:4" x14ac:dyDescent="0.45">
      <c r="A106" t="s">
        <v>239</v>
      </c>
      <c r="B106">
        <v>-0.63900000000000001</v>
      </c>
      <c r="C106" s="2">
        <v>123456789</v>
      </c>
      <c r="D106" s="2">
        <v>123456789</v>
      </c>
    </row>
    <row r="107" spans="1:4" x14ac:dyDescent="0.45">
      <c r="A107" t="s">
        <v>240</v>
      </c>
      <c r="B107">
        <v>-1.2655000000000001</v>
      </c>
      <c r="C107" s="2">
        <v>123456789</v>
      </c>
      <c r="D107" s="2">
        <v>123456789</v>
      </c>
    </row>
    <row r="108" spans="1:4" x14ac:dyDescent="0.45">
      <c r="A108" t="s">
        <v>241</v>
      </c>
      <c r="B108">
        <v>1.7986</v>
      </c>
      <c r="C108" s="2">
        <v>123456789</v>
      </c>
      <c r="D108" s="2">
        <v>123456789</v>
      </c>
    </row>
    <row r="109" spans="1:4" x14ac:dyDescent="0.45">
      <c r="A109" t="s">
        <v>242</v>
      </c>
      <c r="B109">
        <v>4.9112</v>
      </c>
      <c r="C109" s="2">
        <v>123456789</v>
      </c>
      <c r="D109" s="2">
        <v>123456789</v>
      </c>
    </row>
    <row r="110" spans="1:4" x14ac:dyDescent="0.45">
      <c r="A110" t="s">
        <v>243</v>
      </c>
      <c r="B110">
        <v>5.3745000000000003</v>
      </c>
      <c r="C110" s="2">
        <v>123456789</v>
      </c>
      <c r="D110" s="2">
        <v>123456789</v>
      </c>
    </row>
    <row r="111" spans="1:4" x14ac:dyDescent="0.45">
      <c r="A111" t="s">
        <v>244</v>
      </c>
      <c r="B111">
        <v>7.5163000000000002</v>
      </c>
      <c r="C111" s="2">
        <v>123456789</v>
      </c>
      <c r="D111" s="2">
        <v>123456789</v>
      </c>
    </row>
    <row r="112" spans="1:4" x14ac:dyDescent="0.45">
      <c r="A112" t="s">
        <v>245</v>
      </c>
      <c r="B112">
        <v>8.3847000000000005</v>
      </c>
      <c r="C112" s="2">
        <v>123456789</v>
      </c>
      <c r="D112" s="2">
        <v>123456789</v>
      </c>
    </row>
    <row r="113" spans="1:4" x14ac:dyDescent="0.45">
      <c r="A113" t="s">
        <v>246</v>
      </c>
      <c r="B113">
        <v>6.0034999999999998</v>
      </c>
      <c r="C113" s="2">
        <v>123456789</v>
      </c>
      <c r="D113" s="2">
        <v>123456789</v>
      </c>
    </row>
    <row r="114" spans="1:4" x14ac:dyDescent="0.45">
      <c r="A114" t="s">
        <v>247</v>
      </c>
      <c r="B114">
        <v>7.4116999999999997</v>
      </c>
      <c r="C114" s="2">
        <v>123456789</v>
      </c>
      <c r="D114" s="2">
        <v>123456789</v>
      </c>
    </row>
    <row r="115" spans="1:4" x14ac:dyDescent="0.45">
      <c r="A115" t="s">
        <v>248</v>
      </c>
      <c r="B115">
        <v>10.741199999999999</v>
      </c>
      <c r="C115" s="2">
        <v>123456789</v>
      </c>
      <c r="D115" s="2">
        <v>123456789</v>
      </c>
    </row>
    <row r="116" spans="1:4" x14ac:dyDescent="0.45">
      <c r="A116" t="s">
        <v>249</v>
      </c>
      <c r="B116">
        <v>10.4556</v>
      </c>
      <c r="C116" s="2">
        <v>123456789</v>
      </c>
      <c r="D116" s="2">
        <v>123456789</v>
      </c>
    </row>
    <row r="117" spans="1:4" x14ac:dyDescent="0.45">
      <c r="A117" t="s">
        <v>250</v>
      </c>
      <c r="B117">
        <v>10.485900000000001</v>
      </c>
      <c r="C117" s="2">
        <v>123456789</v>
      </c>
      <c r="D117" s="2">
        <v>123456789</v>
      </c>
    </row>
    <row r="118" spans="1:4" x14ac:dyDescent="0.45">
      <c r="A118" t="s">
        <v>251</v>
      </c>
      <c r="B118">
        <v>8.3851999999999993</v>
      </c>
      <c r="C118" s="2">
        <v>123456789</v>
      </c>
      <c r="D118" s="2">
        <v>123456789</v>
      </c>
    </row>
    <row r="119" spans="1:4" x14ac:dyDescent="0.45">
      <c r="A119" t="s">
        <v>252</v>
      </c>
      <c r="B119">
        <v>7.2850000000000001</v>
      </c>
      <c r="C119" s="2">
        <v>123456789</v>
      </c>
      <c r="D119" s="2">
        <v>123456789</v>
      </c>
    </row>
    <row r="120" spans="1:4" x14ac:dyDescent="0.45">
      <c r="A120" t="s">
        <v>253</v>
      </c>
      <c r="B120">
        <v>9.0389999999999997</v>
      </c>
      <c r="C120" s="2">
        <v>123456789</v>
      </c>
      <c r="D120" s="2">
        <v>123456789</v>
      </c>
    </row>
    <row r="121" spans="1:4" x14ac:dyDescent="0.45">
      <c r="A121" t="s">
        <v>254</v>
      </c>
      <c r="B121">
        <v>12.707800000000001</v>
      </c>
      <c r="C121" s="2">
        <v>123456789</v>
      </c>
      <c r="D121" s="2">
        <v>123456789</v>
      </c>
    </row>
    <row r="122" spans="1:4" x14ac:dyDescent="0.45">
      <c r="A122" t="s">
        <v>255</v>
      </c>
      <c r="B122">
        <v>15.0928</v>
      </c>
      <c r="C122" s="2">
        <v>123456789</v>
      </c>
      <c r="D122" s="2">
        <v>123456789</v>
      </c>
    </row>
    <row r="123" spans="1:4" x14ac:dyDescent="0.45">
      <c r="A123" t="s">
        <v>256</v>
      </c>
      <c r="B123">
        <v>16.690200000000001</v>
      </c>
      <c r="C123" s="2">
        <v>123456789</v>
      </c>
      <c r="D123" s="2">
        <v>123456789</v>
      </c>
    </row>
    <row r="124" spans="1:4" x14ac:dyDescent="0.45">
      <c r="A124" t="s">
        <v>257</v>
      </c>
      <c r="B124">
        <v>12.2003</v>
      </c>
      <c r="C124" s="2">
        <v>123456789</v>
      </c>
      <c r="D124" s="2">
        <v>123456789</v>
      </c>
    </row>
    <row r="125" spans="1:4" x14ac:dyDescent="0.45">
      <c r="A125" t="s">
        <v>258</v>
      </c>
      <c r="B125">
        <v>12.2217</v>
      </c>
      <c r="C125" s="2">
        <v>123456789</v>
      </c>
      <c r="D125" s="2">
        <v>123456789</v>
      </c>
    </row>
    <row r="126" spans="1:4" x14ac:dyDescent="0.45">
      <c r="A126" t="s">
        <v>259</v>
      </c>
      <c r="B126">
        <v>9.2086000000000006</v>
      </c>
      <c r="C126" s="2">
        <v>123456789</v>
      </c>
      <c r="D126" s="2">
        <v>123456789</v>
      </c>
    </row>
    <row r="127" spans="1:4" x14ac:dyDescent="0.45">
      <c r="A127" t="s">
        <v>260</v>
      </c>
      <c r="B127">
        <v>6.6006</v>
      </c>
      <c r="C127" s="2">
        <v>123456789</v>
      </c>
      <c r="D127" s="2">
        <v>123456789</v>
      </c>
    </row>
    <row r="128" spans="1:4" x14ac:dyDescent="0.45">
      <c r="A128" t="s">
        <v>261</v>
      </c>
      <c r="B128">
        <v>8.1640999999999995</v>
      </c>
      <c r="C128" s="2">
        <v>123456789</v>
      </c>
      <c r="D128" s="2">
        <v>123456789</v>
      </c>
    </row>
    <row r="129" spans="1:4" x14ac:dyDescent="0.45">
      <c r="A129" t="s">
        <v>262</v>
      </c>
      <c r="B129">
        <v>3.6101999999999999</v>
      </c>
      <c r="C129" s="2">
        <v>123456789</v>
      </c>
      <c r="D129" s="2">
        <v>123456789</v>
      </c>
    </row>
    <row r="130" spans="1:4" x14ac:dyDescent="0.45">
      <c r="A130" t="s">
        <v>263</v>
      </c>
      <c r="B130">
        <v>6.9607000000000001</v>
      </c>
      <c r="C130" s="2">
        <v>123456789</v>
      </c>
      <c r="D130" s="2">
        <v>123456789</v>
      </c>
    </row>
    <row r="131" spans="1:4" x14ac:dyDescent="0.45">
      <c r="A131" t="s">
        <v>264</v>
      </c>
      <c r="B131">
        <v>12.352</v>
      </c>
      <c r="C131" s="2">
        <v>123456789</v>
      </c>
      <c r="D131" s="2">
        <v>123456789</v>
      </c>
    </row>
    <row r="132" spans="1:4" x14ac:dyDescent="0.45">
      <c r="A132" t="s">
        <v>265</v>
      </c>
      <c r="B132">
        <v>15.7537</v>
      </c>
      <c r="C132" s="2">
        <v>123456789</v>
      </c>
      <c r="D132" s="2">
        <v>123456789</v>
      </c>
    </row>
    <row r="133" spans="1:4" x14ac:dyDescent="0.45">
      <c r="A133" t="s">
        <v>266</v>
      </c>
      <c r="B133">
        <v>23.370200000000001</v>
      </c>
      <c r="C133" s="2">
        <v>123456789</v>
      </c>
      <c r="D133" s="2">
        <v>123456789</v>
      </c>
    </row>
    <row r="134" spans="1:4" x14ac:dyDescent="0.45">
      <c r="A134" t="s">
        <v>267</v>
      </c>
      <c r="B134">
        <v>21.535299999999999</v>
      </c>
      <c r="C134" s="2">
        <v>123456789</v>
      </c>
      <c r="D134" s="2">
        <v>123456789</v>
      </c>
    </row>
    <row r="135" spans="1:4" x14ac:dyDescent="0.45">
      <c r="A135" t="s">
        <v>268</v>
      </c>
      <c r="B135">
        <v>16.106200000000001</v>
      </c>
      <c r="C135" s="2">
        <v>123456789</v>
      </c>
      <c r="D135" s="2">
        <v>123456789</v>
      </c>
    </row>
    <row r="136" spans="1:4" x14ac:dyDescent="0.45">
      <c r="A136" t="s">
        <v>269</v>
      </c>
      <c r="B136">
        <v>11.6633</v>
      </c>
      <c r="C136" s="2">
        <v>123456789</v>
      </c>
      <c r="D136" s="2">
        <v>123456789</v>
      </c>
    </row>
    <row r="137" spans="1:4" x14ac:dyDescent="0.45">
      <c r="A137" t="s">
        <v>270</v>
      </c>
      <c r="B137">
        <v>8.5701999999999998</v>
      </c>
      <c r="C137" s="2">
        <v>123456789</v>
      </c>
      <c r="D137" s="2">
        <v>123456789</v>
      </c>
    </row>
    <row r="138" spans="1:4" x14ac:dyDescent="0.45">
      <c r="A138" t="s">
        <v>271</v>
      </c>
      <c r="B138">
        <v>7.6882000000000001</v>
      </c>
      <c r="C138" s="2">
        <v>123456789</v>
      </c>
      <c r="D138" s="2">
        <v>123456789</v>
      </c>
    </row>
    <row r="139" spans="1:4" x14ac:dyDescent="0.45">
      <c r="A139" t="s">
        <v>272</v>
      </c>
      <c r="B139">
        <v>10.466900000000001</v>
      </c>
      <c r="C139" s="2">
        <v>123456789</v>
      </c>
      <c r="D139" s="2">
        <v>123456789</v>
      </c>
    </row>
    <row r="140" spans="1:4" x14ac:dyDescent="0.45">
      <c r="A140" t="s">
        <v>273</v>
      </c>
      <c r="B140">
        <v>12.411199999999999</v>
      </c>
      <c r="C140" s="2">
        <v>123456789</v>
      </c>
      <c r="D140" s="2">
        <v>123456789</v>
      </c>
    </row>
    <row r="141" spans="1:4" x14ac:dyDescent="0.45">
      <c r="A141" t="s">
        <v>274</v>
      </c>
      <c r="B141">
        <v>10.7403</v>
      </c>
      <c r="C141" s="2">
        <v>123456789</v>
      </c>
      <c r="D141" s="2">
        <v>123456789</v>
      </c>
    </row>
    <row r="142" spans="1:4" x14ac:dyDescent="0.45">
      <c r="A142" t="s">
        <v>275</v>
      </c>
      <c r="B142">
        <v>7.2157999999999998</v>
      </c>
      <c r="C142" s="2">
        <v>123456789</v>
      </c>
      <c r="D142" s="2">
        <v>123456789</v>
      </c>
    </row>
    <row r="143" spans="1:4" x14ac:dyDescent="0.45">
      <c r="A143" t="s">
        <v>276</v>
      </c>
      <c r="B143">
        <v>3.8675999999999999</v>
      </c>
      <c r="C143" s="2">
        <v>123456789</v>
      </c>
      <c r="D143" s="2">
        <v>123456789</v>
      </c>
    </row>
    <row r="144" spans="1:4" x14ac:dyDescent="0.45">
      <c r="A144" t="s">
        <v>277</v>
      </c>
      <c r="B144">
        <v>1.5348999999999999</v>
      </c>
      <c r="C144" s="2">
        <v>123456789</v>
      </c>
      <c r="D144" s="2">
        <v>123456789</v>
      </c>
    </row>
    <row r="145" spans="1:4" x14ac:dyDescent="0.45">
      <c r="A145" t="s">
        <v>278</v>
      </c>
      <c r="B145">
        <v>1.2666999999999999</v>
      </c>
      <c r="C145" s="2">
        <v>123456789</v>
      </c>
      <c r="D145" s="2">
        <v>123456789</v>
      </c>
    </row>
    <row r="146" spans="1:4" x14ac:dyDescent="0.45">
      <c r="A146" t="s">
        <v>279</v>
      </c>
      <c r="B146">
        <v>4.3522999999999996</v>
      </c>
      <c r="C146" s="2">
        <v>123456789</v>
      </c>
      <c r="D146" s="2">
        <v>123456789</v>
      </c>
    </row>
    <row r="147" spans="1:4" x14ac:dyDescent="0.45">
      <c r="A147" t="s">
        <v>280</v>
      </c>
      <c r="B147">
        <v>4.8789999999999996</v>
      </c>
      <c r="C147" s="2">
        <v>123456789</v>
      </c>
      <c r="D147" s="2">
        <v>123456789</v>
      </c>
    </row>
    <row r="148" spans="1:4" x14ac:dyDescent="0.45">
      <c r="A148" t="s">
        <v>281</v>
      </c>
      <c r="B148">
        <v>5.2778</v>
      </c>
      <c r="C148" s="2">
        <v>123456789</v>
      </c>
      <c r="D148" s="2">
        <v>123456789</v>
      </c>
    </row>
    <row r="149" spans="1:4" x14ac:dyDescent="0.45">
      <c r="A149" t="s">
        <v>282</v>
      </c>
      <c r="B149">
        <v>6.8745000000000003</v>
      </c>
      <c r="C149" s="2">
        <v>123456789</v>
      </c>
      <c r="D149" s="2">
        <v>123456789</v>
      </c>
    </row>
    <row r="150" spans="1:4" x14ac:dyDescent="0.45">
      <c r="A150" t="s">
        <v>283</v>
      </c>
      <c r="B150">
        <v>7.4874999999999998</v>
      </c>
      <c r="C150" s="2">
        <v>123456789</v>
      </c>
      <c r="D150" s="2">
        <v>123456789</v>
      </c>
    </row>
    <row r="151" spans="1:4" x14ac:dyDescent="0.45">
      <c r="A151" t="s">
        <v>284</v>
      </c>
      <c r="B151">
        <v>8.0073000000000008</v>
      </c>
      <c r="C151" s="2">
        <v>123456789</v>
      </c>
      <c r="D151" s="2">
        <v>123456789</v>
      </c>
    </row>
    <row r="152" spans="1:4" x14ac:dyDescent="0.45">
      <c r="A152" t="s">
        <v>285</v>
      </c>
      <c r="B152">
        <v>8.4601000000000006</v>
      </c>
      <c r="C152" s="2">
        <v>123456789</v>
      </c>
      <c r="D152" s="2">
        <v>123456789</v>
      </c>
    </row>
    <row r="153" spans="1:4" x14ac:dyDescent="0.45">
      <c r="A153" t="s">
        <v>286</v>
      </c>
      <c r="B153">
        <v>6.0244999999999997</v>
      </c>
      <c r="C153" s="2">
        <v>123456789</v>
      </c>
      <c r="D153" s="2">
        <v>123456789</v>
      </c>
    </row>
    <row r="154" spans="1:4" x14ac:dyDescent="0.45">
      <c r="A154" t="s">
        <v>287</v>
      </c>
      <c r="B154">
        <v>1.2516</v>
      </c>
      <c r="C154" s="2">
        <v>123456789</v>
      </c>
      <c r="D154" s="2">
        <v>123456789</v>
      </c>
    </row>
    <row r="155" spans="1:4" x14ac:dyDescent="0.45">
      <c r="A155" t="s">
        <v>288</v>
      </c>
      <c r="B155">
        <v>-4.0522999999999998</v>
      </c>
      <c r="C155" s="2">
        <v>123456789</v>
      </c>
      <c r="D155" s="2">
        <v>123456789</v>
      </c>
    </row>
    <row r="156" spans="1:4" x14ac:dyDescent="0.45">
      <c r="A156" t="s">
        <v>289</v>
      </c>
      <c r="B156">
        <v>-11.4024</v>
      </c>
      <c r="C156" s="2">
        <v>123456789</v>
      </c>
      <c r="D156" s="2">
        <v>123456789</v>
      </c>
    </row>
    <row r="157" spans="1:4" x14ac:dyDescent="0.45">
      <c r="A157" t="s">
        <v>290</v>
      </c>
      <c r="B157">
        <v>-16.472000000000001</v>
      </c>
      <c r="C157" s="2">
        <v>123456789</v>
      </c>
      <c r="D157" s="2">
        <v>123456789</v>
      </c>
    </row>
    <row r="158" spans="1:4" x14ac:dyDescent="0.45">
      <c r="A158" t="s">
        <v>291</v>
      </c>
      <c r="B158">
        <v>-17.860700000000001</v>
      </c>
      <c r="C158" s="2">
        <v>123456789</v>
      </c>
      <c r="D158" s="2">
        <v>123456789</v>
      </c>
    </row>
    <row r="159" spans="1:4" x14ac:dyDescent="0.45">
      <c r="A159" t="s">
        <v>292</v>
      </c>
      <c r="B159">
        <v>-15.540800000000001</v>
      </c>
      <c r="C159" s="2">
        <v>123456789</v>
      </c>
      <c r="D159" s="2">
        <v>123456789</v>
      </c>
    </row>
    <row r="160" spans="1:4" x14ac:dyDescent="0.45">
      <c r="A160" t="s">
        <v>293</v>
      </c>
      <c r="B160">
        <v>-8.1575000000000006</v>
      </c>
      <c r="C160" s="2">
        <v>123456789</v>
      </c>
      <c r="D160" s="2">
        <v>123456789</v>
      </c>
    </row>
    <row r="161" spans="1:4" x14ac:dyDescent="0.45">
      <c r="A161" t="s">
        <v>294</v>
      </c>
      <c r="B161">
        <v>-0.40560000000000002</v>
      </c>
      <c r="C161" s="2">
        <v>123456789</v>
      </c>
      <c r="D161" s="2">
        <v>123456789</v>
      </c>
    </row>
    <row r="162" spans="1:4" x14ac:dyDescent="0.45">
      <c r="A162" t="s">
        <v>295</v>
      </c>
      <c r="B162">
        <v>4.2206000000000001</v>
      </c>
      <c r="C162" s="2">
        <v>123456789</v>
      </c>
      <c r="D162" s="2">
        <v>123456789</v>
      </c>
    </row>
    <row r="163" spans="1:4" x14ac:dyDescent="0.45">
      <c r="A163" t="s">
        <v>296</v>
      </c>
      <c r="B163">
        <v>4.6242999999999999</v>
      </c>
      <c r="C163" s="2">
        <v>123456789</v>
      </c>
      <c r="D163" s="2">
        <v>123456789</v>
      </c>
    </row>
    <row r="164" spans="1:4" x14ac:dyDescent="0.45">
      <c r="A164" t="s">
        <v>297</v>
      </c>
      <c r="B164">
        <v>2.5154999999999998</v>
      </c>
      <c r="C164" s="2">
        <v>123456789</v>
      </c>
      <c r="D164" s="2">
        <v>123456789</v>
      </c>
    </row>
    <row r="165" spans="1:4" x14ac:dyDescent="0.45">
      <c r="A165" t="s">
        <v>298</v>
      </c>
      <c r="B165">
        <v>-1.7653000000000001</v>
      </c>
      <c r="C165" s="2">
        <v>123456789</v>
      </c>
      <c r="D165" s="2">
        <v>123456789</v>
      </c>
    </row>
    <row r="166" spans="1:4" x14ac:dyDescent="0.45">
      <c r="A166" t="s">
        <v>299</v>
      </c>
      <c r="B166">
        <v>-4.5693000000000001</v>
      </c>
      <c r="C166" s="2">
        <v>123456789</v>
      </c>
      <c r="D166" s="2">
        <v>123456789</v>
      </c>
    </row>
    <row r="167" spans="1:4" x14ac:dyDescent="0.45">
      <c r="A167" t="s">
        <v>300</v>
      </c>
      <c r="B167">
        <v>-5.9630999999999998</v>
      </c>
      <c r="C167" s="2">
        <v>123456789</v>
      </c>
      <c r="D167" s="2">
        <v>123456789</v>
      </c>
    </row>
    <row r="168" spans="1:4" x14ac:dyDescent="0.45">
      <c r="A168" t="s">
        <v>301</v>
      </c>
      <c r="B168">
        <v>-6.3490000000000002</v>
      </c>
      <c r="C168" s="2">
        <v>123456789</v>
      </c>
      <c r="D168" s="2">
        <v>123456789</v>
      </c>
    </row>
    <row r="169" spans="1:4" x14ac:dyDescent="0.45">
      <c r="A169" t="s">
        <v>302</v>
      </c>
      <c r="B169">
        <v>-5.7446000000000002</v>
      </c>
      <c r="C169" s="2">
        <v>123456789</v>
      </c>
      <c r="D169" s="2">
        <v>123456789</v>
      </c>
    </row>
    <row r="170" spans="1:4" x14ac:dyDescent="0.45">
      <c r="A170" t="s">
        <v>303</v>
      </c>
      <c r="B170">
        <v>-3.8603000000000001</v>
      </c>
      <c r="C170" s="2">
        <v>123456789</v>
      </c>
      <c r="D170" s="2">
        <v>123456789</v>
      </c>
    </row>
    <row r="171" spans="1:4" x14ac:dyDescent="0.45">
      <c r="A171" t="s">
        <v>304</v>
      </c>
      <c r="B171">
        <v>-1.9516</v>
      </c>
      <c r="C171" s="2">
        <v>123456789</v>
      </c>
      <c r="D171" s="2">
        <v>123456789</v>
      </c>
    </row>
    <row r="172" spans="1:4" x14ac:dyDescent="0.45">
      <c r="A172" t="s">
        <v>305</v>
      </c>
      <c r="B172">
        <v>-1.9992000000000001</v>
      </c>
      <c r="C172" s="2">
        <v>123456789</v>
      </c>
      <c r="D172" s="2">
        <v>123456789</v>
      </c>
    </row>
    <row r="173" spans="1:4" x14ac:dyDescent="0.45">
      <c r="A173" t="s">
        <v>306</v>
      </c>
      <c r="B173">
        <v>-1.6156999999999999</v>
      </c>
      <c r="C173" s="2">
        <v>123456789</v>
      </c>
      <c r="D173" s="2">
        <v>123456789</v>
      </c>
    </row>
    <row r="174" spans="1:4" x14ac:dyDescent="0.45">
      <c r="A174" t="s">
        <v>307</v>
      </c>
      <c r="B174">
        <v>-1.3655999999999999</v>
      </c>
      <c r="C174" s="2">
        <v>123456789</v>
      </c>
      <c r="D174" s="2">
        <v>123456789</v>
      </c>
    </row>
    <row r="175" spans="1:4" x14ac:dyDescent="0.45">
      <c r="A175" t="s">
        <v>308</v>
      </c>
      <c r="B175">
        <v>-1.1386000000000001</v>
      </c>
      <c r="C175" s="2">
        <v>123456789</v>
      </c>
      <c r="D175" s="2">
        <v>123456789</v>
      </c>
    </row>
    <row r="176" spans="1:4" x14ac:dyDescent="0.45">
      <c r="A176" t="s">
        <v>309</v>
      </c>
      <c r="B176">
        <v>0.2422</v>
      </c>
      <c r="C176" s="2">
        <v>123456789</v>
      </c>
      <c r="D176" s="2">
        <v>123456789</v>
      </c>
    </row>
    <row r="177" spans="1:4" x14ac:dyDescent="0.45">
      <c r="A177" t="s">
        <v>310</v>
      </c>
      <c r="B177">
        <v>2.2183000000000002</v>
      </c>
      <c r="C177" s="2">
        <v>123456789</v>
      </c>
      <c r="D177" s="2">
        <v>123456789</v>
      </c>
    </row>
    <row r="178" spans="1:4" x14ac:dyDescent="0.45">
      <c r="A178" t="s">
        <v>311</v>
      </c>
      <c r="B178">
        <v>4.7182000000000004</v>
      </c>
      <c r="C178" s="2">
        <v>123456789</v>
      </c>
      <c r="D178" s="2">
        <v>123456789</v>
      </c>
    </row>
    <row r="179" spans="1:4" x14ac:dyDescent="0.45">
      <c r="A179" t="s">
        <v>312</v>
      </c>
      <c r="B179">
        <v>6.2272999999999996</v>
      </c>
      <c r="C179" s="2">
        <v>123456789</v>
      </c>
      <c r="D179" s="2">
        <v>123456789</v>
      </c>
    </row>
    <row r="180" spans="1:4" x14ac:dyDescent="0.45">
      <c r="A180" t="s">
        <v>313</v>
      </c>
      <c r="B180">
        <v>7.3125999999999998</v>
      </c>
      <c r="C180" s="2">
        <v>123456789</v>
      </c>
      <c r="D180" s="2">
        <v>123456789</v>
      </c>
    </row>
    <row r="181" spans="1:4" x14ac:dyDescent="0.45">
      <c r="A181" t="s">
        <v>314</v>
      </c>
      <c r="B181">
        <v>7.5326000000000004</v>
      </c>
      <c r="C181" s="2">
        <v>123456789</v>
      </c>
      <c r="D181" s="2">
        <v>123456789</v>
      </c>
    </row>
    <row r="182" spans="1:4" x14ac:dyDescent="0.45">
      <c r="A182" t="s">
        <v>315</v>
      </c>
      <c r="B182">
        <v>6.5384000000000002</v>
      </c>
      <c r="C182" s="2">
        <v>123456789</v>
      </c>
      <c r="D182" s="2">
        <v>123456789</v>
      </c>
    </row>
    <row r="183" spans="1:4" x14ac:dyDescent="0.45">
      <c r="A183" t="s">
        <v>316</v>
      </c>
      <c r="B183">
        <v>5.3868</v>
      </c>
      <c r="C183" s="2">
        <v>123456789</v>
      </c>
      <c r="D183" s="2">
        <v>123456789</v>
      </c>
    </row>
    <row r="184" spans="1:4" x14ac:dyDescent="0.45">
      <c r="A184" t="s">
        <v>317</v>
      </c>
      <c r="B184">
        <v>5.2983000000000002</v>
      </c>
      <c r="C184" s="2">
        <v>123456789</v>
      </c>
      <c r="D184" s="2">
        <v>123456789</v>
      </c>
    </row>
    <row r="185" spans="1:4" x14ac:dyDescent="0.45">
      <c r="A185" t="s">
        <v>318</v>
      </c>
      <c r="B185">
        <v>6.4027000000000003</v>
      </c>
      <c r="C185" s="2">
        <v>123456789</v>
      </c>
      <c r="D185" s="2">
        <v>123456789</v>
      </c>
    </row>
    <row r="186" spans="1:4" x14ac:dyDescent="0.45">
      <c r="A186" t="s">
        <v>319</v>
      </c>
      <c r="B186">
        <v>7.6512000000000002</v>
      </c>
      <c r="C186" s="2">
        <v>123456789</v>
      </c>
      <c r="D186" s="2">
        <v>123456789</v>
      </c>
    </row>
    <row r="187" spans="1:4" x14ac:dyDescent="0.45">
      <c r="A187" t="s">
        <v>320</v>
      </c>
      <c r="B187">
        <v>7.6241000000000003</v>
      </c>
      <c r="C187" s="2">
        <v>123456789</v>
      </c>
      <c r="D187" s="2">
        <v>123456789</v>
      </c>
    </row>
    <row r="188" spans="1:4" x14ac:dyDescent="0.45">
      <c r="A188" t="s">
        <v>321</v>
      </c>
      <c r="B188">
        <v>6.0102000000000002</v>
      </c>
      <c r="C188" s="2">
        <v>123456789</v>
      </c>
      <c r="D188" s="2">
        <v>123456789</v>
      </c>
    </row>
    <row r="189" spans="1:4" x14ac:dyDescent="0.45">
      <c r="A189" t="s">
        <v>322</v>
      </c>
      <c r="B189">
        <v>4.1703999999999999</v>
      </c>
      <c r="C189" s="2">
        <v>123456789</v>
      </c>
      <c r="D189" s="2">
        <v>123456789</v>
      </c>
    </row>
    <row r="190" spans="1:4" x14ac:dyDescent="0.45">
      <c r="A190" t="s">
        <v>323</v>
      </c>
      <c r="B190">
        <v>2.1781000000000001</v>
      </c>
      <c r="C190" s="2">
        <v>123456789</v>
      </c>
      <c r="D190" s="2">
        <v>123456789</v>
      </c>
    </row>
    <row r="191" spans="1:4" x14ac:dyDescent="0.45">
      <c r="A191" t="s">
        <v>324</v>
      </c>
      <c r="B191">
        <v>1.6348</v>
      </c>
      <c r="C191" s="2">
        <v>123456789</v>
      </c>
      <c r="D191" s="2">
        <v>123456789</v>
      </c>
    </row>
    <row r="192" spans="1:4" x14ac:dyDescent="0.45">
      <c r="A192" t="s">
        <v>325</v>
      </c>
      <c r="B192">
        <v>1.8813</v>
      </c>
      <c r="C192" s="2">
        <v>123456789</v>
      </c>
      <c r="D192" s="2">
        <v>123456789</v>
      </c>
    </row>
    <row r="193" spans="1:4" x14ac:dyDescent="0.45">
      <c r="A193" t="s">
        <v>326</v>
      </c>
      <c r="B193">
        <v>1.5434000000000001</v>
      </c>
      <c r="C193" s="2">
        <v>123456789</v>
      </c>
      <c r="D193" s="2">
        <v>123456789</v>
      </c>
    </row>
    <row r="194" spans="1:4" x14ac:dyDescent="0.45">
      <c r="A194" t="s">
        <v>327</v>
      </c>
      <c r="B194">
        <v>1.5867</v>
      </c>
      <c r="C194" s="2">
        <v>123456789</v>
      </c>
      <c r="D194" s="2">
        <v>123456789</v>
      </c>
    </row>
    <row r="195" spans="1:4" x14ac:dyDescent="0.45">
      <c r="A195" t="s">
        <v>328</v>
      </c>
      <c r="B195">
        <v>0.77539999999999998</v>
      </c>
      <c r="C195" s="2">
        <v>123456789</v>
      </c>
      <c r="D195" s="2">
        <v>123456789</v>
      </c>
    </row>
    <row r="196" spans="1:4" x14ac:dyDescent="0.45">
      <c r="A196" t="s">
        <v>329</v>
      </c>
      <c r="B196">
        <v>0.25369999999999998</v>
      </c>
      <c r="C196" s="2">
        <v>123456789</v>
      </c>
      <c r="D196" s="2">
        <v>123456789</v>
      </c>
    </row>
    <row r="197" spans="1:4" x14ac:dyDescent="0.45">
      <c r="A197" t="s">
        <v>330</v>
      </c>
      <c r="B197">
        <v>0.1268</v>
      </c>
      <c r="C197" s="2">
        <v>123456789</v>
      </c>
      <c r="D197" s="2">
        <v>123456789</v>
      </c>
    </row>
    <row r="198" spans="1:4" x14ac:dyDescent="0.45">
      <c r="A198" t="s">
        <v>331</v>
      </c>
      <c r="B198">
        <v>-0.44990000000000002</v>
      </c>
      <c r="C198" s="2">
        <v>123456789</v>
      </c>
      <c r="D198" s="2">
        <v>123456789</v>
      </c>
    </row>
    <row r="199" spans="1:4" x14ac:dyDescent="0.45">
      <c r="A199" t="s">
        <v>332</v>
      </c>
      <c r="B199">
        <v>-1.0012000000000001</v>
      </c>
      <c r="C199" s="2">
        <v>123456789</v>
      </c>
      <c r="D199" s="2">
        <v>123456789</v>
      </c>
    </row>
    <row r="200" spans="1:4" x14ac:dyDescent="0.45">
      <c r="A200" t="s">
        <v>333</v>
      </c>
      <c r="B200">
        <v>-1.0953999999999999</v>
      </c>
      <c r="C200" s="2">
        <v>123456789</v>
      </c>
      <c r="D200" s="2">
        <v>123456789</v>
      </c>
    </row>
    <row r="201" spans="1:4" x14ac:dyDescent="0.45">
      <c r="A201" t="s">
        <v>334</v>
      </c>
      <c r="B201">
        <v>-0.53420000000000001</v>
      </c>
      <c r="C201" s="2">
        <v>123456789</v>
      </c>
      <c r="D201" s="2">
        <v>123456789</v>
      </c>
    </row>
    <row r="202" spans="1:4" x14ac:dyDescent="0.45">
      <c r="A202" t="s">
        <v>335</v>
      </c>
      <c r="B202">
        <v>8.4199999999999997E-2</v>
      </c>
      <c r="C202" s="2">
        <v>123456789</v>
      </c>
      <c r="D202" s="2">
        <v>123456789</v>
      </c>
    </row>
    <row r="203" spans="1:4" x14ac:dyDescent="0.45">
      <c r="A203" t="s">
        <v>336</v>
      </c>
      <c r="B203">
        <v>0.55059999999999998</v>
      </c>
      <c r="C203" s="2">
        <v>123456789</v>
      </c>
      <c r="D203" s="2">
        <v>123456789</v>
      </c>
    </row>
    <row r="204" spans="1:4" x14ac:dyDescent="0.45">
      <c r="A204" t="s">
        <v>337</v>
      </c>
      <c r="B204">
        <v>1.9239999999999999</v>
      </c>
      <c r="C204" s="2">
        <v>123456789</v>
      </c>
      <c r="D204" s="2">
        <v>123456789</v>
      </c>
    </row>
    <row r="205" spans="1:4" x14ac:dyDescent="0.45">
      <c r="A205" t="s">
        <v>338</v>
      </c>
      <c r="B205">
        <v>5.2389999999999999</v>
      </c>
      <c r="C205" s="2">
        <v>123456789</v>
      </c>
      <c r="D205" s="2">
        <v>123456789</v>
      </c>
    </row>
    <row r="206" spans="1:4" x14ac:dyDescent="0.45">
      <c r="A206" t="s">
        <v>339</v>
      </c>
      <c r="B206">
        <v>7.0110999999999999</v>
      </c>
      <c r="C206" s="2">
        <v>123456789</v>
      </c>
      <c r="D206" s="2">
        <v>123456789</v>
      </c>
    </row>
    <row r="207" spans="1:4" x14ac:dyDescent="0.45">
      <c r="A207" t="s">
        <v>340</v>
      </c>
      <c r="B207">
        <v>7.2168999999999999</v>
      </c>
      <c r="C207" s="2">
        <v>123456789</v>
      </c>
      <c r="D207" s="2">
        <v>123456789</v>
      </c>
    </row>
    <row r="208" spans="1:4" x14ac:dyDescent="0.45">
      <c r="A208" t="s">
        <v>341</v>
      </c>
      <c r="B208">
        <v>5.3914</v>
      </c>
      <c r="C208" s="2">
        <v>123456789</v>
      </c>
      <c r="D208" s="2">
        <v>123456789</v>
      </c>
    </row>
    <row r="209" spans="1:4" x14ac:dyDescent="0.45">
      <c r="A209" t="s">
        <v>342</v>
      </c>
      <c r="B209">
        <v>2.2576999999999998</v>
      </c>
      <c r="C209" s="2">
        <v>123456789</v>
      </c>
      <c r="D209" s="2">
        <v>123456789</v>
      </c>
    </row>
    <row r="210" spans="1:4" x14ac:dyDescent="0.45">
      <c r="A210" t="s">
        <v>343</v>
      </c>
      <c r="B210">
        <v>1.8588</v>
      </c>
      <c r="C210" s="2">
        <v>123456789</v>
      </c>
      <c r="D210" s="2">
        <v>123456789</v>
      </c>
    </row>
    <row r="211" spans="1:4" x14ac:dyDescent="0.45">
      <c r="A211" t="s">
        <v>344</v>
      </c>
      <c r="B211">
        <v>-0.21299999999999999</v>
      </c>
      <c r="C211" s="2">
        <v>123456789</v>
      </c>
      <c r="D211" s="2">
        <v>123456789</v>
      </c>
    </row>
    <row r="212" spans="1:4" x14ac:dyDescent="0.45">
      <c r="A212" t="s">
        <v>345</v>
      </c>
      <c r="B212">
        <v>0.84989999999999999</v>
      </c>
      <c r="C212" s="2">
        <v>123456789</v>
      </c>
      <c r="D212" s="2">
        <v>123456789</v>
      </c>
    </row>
    <row r="213" spans="1:4" x14ac:dyDescent="0.45">
      <c r="A213" t="s">
        <v>346</v>
      </c>
      <c r="B213">
        <v>-1.5612999999999999</v>
      </c>
      <c r="C213" s="2">
        <v>123456789</v>
      </c>
      <c r="D213" s="2">
        <v>123456789</v>
      </c>
    </row>
    <row r="214" spans="1:4" x14ac:dyDescent="0.45">
      <c r="A214" t="s">
        <v>347</v>
      </c>
      <c r="B214">
        <v>-5.6189</v>
      </c>
      <c r="C214" s="2">
        <v>123456789</v>
      </c>
      <c r="D214" s="2">
        <v>123456789</v>
      </c>
    </row>
    <row r="215" spans="1:4" x14ac:dyDescent="0.45">
      <c r="A215" t="s">
        <v>348</v>
      </c>
      <c r="B215">
        <v>-6.9328000000000003</v>
      </c>
      <c r="C215" s="2">
        <v>123456789</v>
      </c>
      <c r="D215" s="2">
        <v>123456789</v>
      </c>
    </row>
    <row r="216" spans="1:4" x14ac:dyDescent="0.45">
      <c r="A216" t="s">
        <v>349</v>
      </c>
      <c r="B216">
        <v>-7.3078000000000003</v>
      </c>
      <c r="C216" s="2">
        <v>123456789</v>
      </c>
      <c r="D216" s="2">
        <v>123456789</v>
      </c>
    </row>
    <row r="217" spans="1:4" x14ac:dyDescent="0.45">
      <c r="A217" t="s">
        <v>350</v>
      </c>
      <c r="B217">
        <v>-6.3556999999999997</v>
      </c>
      <c r="C217" s="2">
        <v>123456789</v>
      </c>
      <c r="D217" s="2">
        <v>123456789</v>
      </c>
    </row>
    <row r="218" spans="1:4" x14ac:dyDescent="0.45">
      <c r="A218" t="s">
        <v>351</v>
      </c>
      <c r="B218">
        <v>-4.6943000000000001</v>
      </c>
      <c r="C218" s="2">
        <v>123456789</v>
      </c>
      <c r="D218" s="2">
        <v>123456789</v>
      </c>
    </row>
    <row r="219" spans="1:4" x14ac:dyDescent="0.45">
      <c r="A219" t="s">
        <v>352</v>
      </c>
      <c r="B219">
        <v>-1.67</v>
      </c>
      <c r="C219" s="2">
        <v>123456789</v>
      </c>
      <c r="D219" s="2">
        <v>123456789</v>
      </c>
    </row>
    <row r="220" spans="1:4" x14ac:dyDescent="0.45">
      <c r="A220" t="s">
        <v>353</v>
      </c>
      <c r="B220">
        <v>-1.0369999999999999</v>
      </c>
      <c r="C220" s="2">
        <v>123456789</v>
      </c>
      <c r="D220" s="2">
        <v>123456789</v>
      </c>
    </row>
    <row r="221" spans="1:4" x14ac:dyDescent="0.45">
      <c r="A221" t="s">
        <v>354</v>
      </c>
      <c r="B221">
        <v>0.443</v>
      </c>
      <c r="C221" s="2">
        <v>123456789</v>
      </c>
      <c r="D221" s="2">
        <v>123456789</v>
      </c>
    </row>
    <row r="222" spans="1:4" x14ac:dyDescent="0.45">
      <c r="A222" t="s">
        <v>355</v>
      </c>
      <c r="B222">
        <v>1.8540000000000001</v>
      </c>
      <c r="C222" s="2">
        <v>123456789</v>
      </c>
      <c r="D222" s="2">
        <v>123456789</v>
      </c>
    </row>
    <row r="223" spans="1:4" x14ac:dyDescent="0.45">
      <c r="A223" t="s">
        <v>356</v>
      </c>
      <c r="B223">
        <v>-0.63600000000000001</v>
      </c>
      <c r="C223" s="2">
        <v>123456789</v>
      </c>
      <c r="D223" s="2">
        <v>123456789</v>
      </c>
    </row>
    <row r="224" spans="1:4" x14ac:dyDescent="0.45">
      <c r="A224" s="4" t="s">
        <v>357</v>
      </c>
      <c r="B224" s="4">
        <v>-0.63600000000000001</v>
      </c>
      <c r="C224" s="2">
        <v>123456789</v>
      </c>
      <c r="D224" s="2">
        <v>123456789</v>
      </c>
    </row>
    <row r="225" spans="1:4" x14ac:dyDescent="0.45">
      <c r="A225" s="4" t="s">
        <v>438</v>
      </c>
      <c r="B225" s="4">
        <v>-0.63600000000000001</v>
      </c>
      <c r="C225" s="2">
        <v>123456789</v>
      </c>
      <c r="D225" s="2">
        <v>123456789</v>
      </c>
    </row>
    <row r="226" spans="1:4" x14ac:dyDescent="0.45">
      <c r="A226" s="4" t="s">
        <v>441</v>
      </c>
      <c r="B226" s="4">
        <v>-0.63600000000000001</v>
      </c>
      <c r="C226" s="2">
        <v>123456789</v>
      </c>
      <c r="D226" s="2">
        <v>123456789</v>
      </c>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7B70-5308-46DA-9322-AA1AC71BF6FD}">
  <sheetPr>
    <tabColor theme="9" tint="0.79998168889431442"/>
  </sheetPr>
  <dimension ref="A1:D226"/>
  <sheetViews>
    <sheetView topLeftCell="A211" workbookViewId="0">
      <selection activeCell="F222" sqref="F222"/>
    </sheetView>
  </sheetViews>
  <sheetFormatPr defaultRowHeight="14.25" x14ac:dyDescent="0.45"/>
  <sheetData>
    <row r="1" spans="1:4" x14ac:dyDescent="0.45">
      <c r="B1" t="s">
        <v>6</v>
      </c>
      <c r="C1" t="s">
        <v>133</v>
      </c>
      <c r="D1" t="s">
        <v>134</v>
      </c>
    </row>
    <row r="2" spans="1:4" x14ac:dyDescent="0.45">
      <c r="A2" t="s">
        <v>135</v>
      </c>
      <c r="B2">
        <f>LN(housing_approvals!B2)</f>
        <v>12.266341480957848</v>
      </c>
      <c r="C2" s="2">
        <v>123456789</v>
      </c>
      <c r="D2" s="2">
        <v>123456789</v>
      </c>
    </row>
    <row r="3" spans="1:4" x14ac:dyDescent="0.45">
      <c r="A3" t="s">
        <v>136</v>
      </c>
      <c r="B3">
        <f>LN(housing_approvals!B3)</f>
        <v>12.145177355860584</v>
      </c>
      <c r="C3" s="2">
        <v>123456789</v>
      </c>
      <c r="D3" s="2">
        <v>123456789</v>
      </c>
    </row>
    <row r="4" spans="1:4" x14ac:dyDescent="0.45">
      <c r="A4" t="s">
        <v>137</v>
      </c>
      <c r="B4">
        <f>LN(housing_approvals!B4)</f>
        <v>12.284363842350869</v>
      </c>
      <c r="C4" s="2">
        <v>123456789</v>
      </c>
      <c r="D4" s="2">
        <v>123456789</v>
      </c>
    </row>
    <row r="5" spans="1:4" x14ac:dyDescent="0.45">
      <c r="A5" t="s">
        <v>138</v>
      </c>
      <c r="B5">
        <f>LN(housing_approvals!B5)</f>
        <v>12.17893804361298</v>
      </c>
      <c r="C5" s="2">
        <v>123456789</v>
      </c>
      <c r="D5" s="2">
        <v>123456789</v>
      </c>
    </row>
    <row r="6" spans="1:4" x14ac:dyDescent="0.45">
      <c r="A6" t="s">
        <v>139</v>
      </c>
      <c r="B6">
        <f>LN(housing_approvals!B6)</f>
        <v>12.232534876111266</v>
      </c>
      <c r="C6" s="2">
        <v>123456789</v>
      </c>
      <c r="D6" s="2">
        <v>123456789</v>
      </c>
    </row>
    <row r="7" spans="1:4" x14ac:dyDescent="0.45">
      <c r="A7" t="s">
        <v>140</v>
      </c>
      <c r="B7">
        <f>LN(housing_approvals!B7)</f>
        <v>12.285891313316204</v>
      </c>
      <c r="C7" s="2">
        <v>123456789</v>
      </c>
      <c r="D7" s="2">
        <v>123456789</v>
      </c>
    </row>
    <row r="8" spans="1:4" x14ac:dyDescent="0.45">
      <c r="A8" t="s">
        <v>141</v>
      </c>
      <c r="B8">
        <f>LN(housing_approvals!B8)</f>
        <v>12.314670468967476</v>
      </c>
      <c r="C8" s="2">
        <v>123456789</v>
      </c>
      <c r="D8" s="2">
        <v>123456789</v>
      </c>
    </row>
    <row r="9" spans="1:4" x14ac:dyDescent="0.45">
      <c r="A9" t="s">
        <v>142</v>
      </c>
      <c r="B9">
        <f>LN(housing_approvals!B9)</f>
        <v>12.483261295997478</v>
      </c>
      <c r="C9" s="2">
        <v>123456789</v>
      </c>
      <c r="D9" s="2">
        <v>123456789</v>
      </c>
    </row>
    <row r="10" spans="1:4" x14ac:dyDescent="0.45">
      <c r="A10" t="s">
        <v>143</v>
      </c>
      <c r="B10">
        <f>LN(housing_approvals!B10)</f>
        <v>12.618796546711348</v>
      </c>
      <c r="C10" s="2">
        <v>123456789</v>
      </c>
      <c r="D10" s="2">
        <v>123456789</v>
      </c>
    </row>
    <row r="11" spans="1:4" x14ac:dyDescent="0.45">
      <c r="A11" t="s">
        <v>144</v>
      </c>
      <c r="B11">
        <f>LN(housing_approvals!B11)</f>
        <v>12.825372842910276</v>
      </c>
      <c r="C11" s="2">
        <v>123456789</v>
      </c>
      <c r="D11" s="2">
        <v>123456789</v>
      </c>
    </row>
    <row r="12" spans="1:4" x14ac:dyDescent="0.45">
      <c r="A12" t="s">
        <v>145</v>
      </c>
      <c r="B12">
        <f>LN(housing_approvals!B12)</f>
        <v>12.983817282657053</v>
      </c>
      <c r="C12" s="2">
        <v>123456789</v>
      </c>
      <c r="D12" s="2">
        <v>123456789</v>
      </c>
    </row>
    <row r="13" spans="1:4" x14ac:dyDescent="0.45">
      <c r="A13" t="s">
        <v>146</v>
      </c>
      <c r="B13">
        <f>LN(housing_approvals!B13)</f>
        <v>13.021697650926459</v>
      </c>
      <c r="C13" s="2">
        <v>123456789</v>
      </c>
      <c r="D13" s="2">
        <v>123456789</v>
      </c>
    </row>
    <row r="14" spans="1:4" x14ac:dyDescent="0.45">
      <c r="A14" t="s">
        <v>147</v>
      </c>
      <c r="B14">
        <f>LN(housing_approvals!B14)</f>
        <v>13.125865637080905</v>
      </c>
      <c r="C14" s="2">
        <v>123456789</v>
      </c>
      <c r="D14" s="2">
        <v>123456789</v>
      </c>
    </row>
    <row r="15" spans="1:4" x14ac:dyDescent="0.45">
      <c r="A15" t="s">
        <v>148</v>
      </c>
      <c r="B15">
        <f>LN(housing_approvals!B15)</f>
        <v>13.008406552037238</v>
      </c>
      <c r="C15" s="2">
        <v>123456789</v>
      </c>
      <c r="D15" s="2">
        <v>123456789</v>
      </c>
    </row>
    <row r="16" spans="1:4" x14ac:dyDescent="0.45">
      <c r="A16" t="s">
        <v>149</v>
      </c>
      <c r="B16">
        <f>LN(housing_approvals!B16)</f>
        <v>12.840943508365077</v>
      </c>
      <c r="C16" s="2">
        <v>123456789</v>
      </c>
      <c r="D16" s="2">
        <v>123456789</v>
      </c>
    </row>
    <row r="17" spans="1:4" x14ac:dyDescent="0.45">
      <c r="A17" t="s">
        <v>150</v>
      </c>
      <c r="B17">
        <f>LN(housing_approvals!B17)</f>
        <v>12.646624738827345</v>
      </c>
      <c r="C17" s="2">
        <v>123456789</v>
      </c>
      <c r="D17" s="2">
        <v>123456789</v>
      </c>
    </row>
    <row r="18" spans="1:4" x14ac:dyDescent="0.45">
      <c r="A18" t="s">
        <v>151</v>
      </c>
      <c r="B18">
        <f>LN(housing_approvals!B18)</f>
        <v>12.288338437807742</v>
      </c>
      <c r="C18" s="2">
        <v>123456789</v>
      </c>
      <c r="D18" s="2">
        <v>123456789</v>
      </c>
    </row>
    <row r="19" spans="1:4" x14ac:dyDescent="0.45">
      <c r="A19" t="s">
        <v>152</v>
      </c>
      <c r="B19">
        <f>LN(housing_approvals!B19)</f>
        <v>12.027174554293412</v>
      </c>
      <c r="C19" s="2">
        <v>123456789</v>
      </c>
      <c r="D19" s="2">
        <v>123456789</v>
      </c>
    </row>
    <row r="20" spans="1:4" x14ac:dyDescent="0.45">
      <c r="A20" t="s">
        <v>153</v>
      </c>
      <c r="B20">
        <f>LN(housing_approvals!B20)</f>
        <v>11.779814587093995</v>
      </c>
      <c r="C20" s="2">
        <v>123456789</v>
      </c>
      <c r="D20" s="2">
        <v>123456789</v>
      </c>
    </row>
    <row r="21" spans="1:4" x14ac:dyDescent="0.45">
      <c r="A21" t="s">
        <v>154</v>
      </c>
      <c r="B21">
        <f>LN(housing_approvals!B21)</f>
        <v>11.744640920730433</v>
      </c>
      <c r="C21" s="2">
        <v>123456789</v>
      </c>
      <c r="D21" s="2">
        <v>123456789</v>
      </c>
    </row>
    <row r="22" spans="1:4" x14ac:dyDescent="0.45">
      <c r="A22" t="s">
        <v>155</v>
      </c>
      <c r="B22">
        <f>LN(housing_approvals!B22)</f>
        <v>11.657525361390137</v>
      </c>
      <c r="C22" s="2">
        <v>123456789</v>
      </c>
      <c r="D22" s="2">
        <v>123456789</v>
      </c>
    </row>
    <row r="23" spans="1:4" x14ac:dyDescent="0.45">
      <c r="A23" t="s">
        <v>156</v>
      </c>
      <c r="B23">
        <f>LN(housing_approvals!B23)</f>
        <v>11.614774151332982</v>
      </c>
      <c r="C23" s="2">
        <v>123456789</v>
      </c>
      <c r="D23" s="2">
        <v>123456789</v>
      </c>
    </row>
    <row r="24" spans="1:4" x14ac:dyDescent="0.45">
      <c r="A24" t="s">
        <v>157</v>
      </c>
      <c r="B24">
        <f>LN(housing_approvals!B24)</f>
        <v>11.623802881871617</v>
      </c>
      <c r="C24" s="2">
        <v>123456789</v>
      </c>
      <c r="D24" s="2">
        <v>123456789</v>
      </c>
    </row>
    <row r="25" spans="1:4" x14ac:dyDescent="0.45">
      <c r="A25" t="s">
        <v>158</v>
      </c>
      <c r="B25">
        <f>LN(housing_approvals!B25)</f>
        <v>11.683310387485738</v>
      </c>
      <c r="C25" s="2">
        <v>123456789</v>
      </c>
      <c r="D25" s="2">
        <v>123456789</v>
      </c>
    </row>
    <row r="26" spans="1:4" x14ac:dyDescent="0.45">
      <c r="A26" t="s">
        <v>159</v>
      </c>
      <c r="B26">
        <f>LN(housing_approvals!B26)</f>
        <v>11.838598853959697</v>
      </c>
      <c r="C26" s="2">
        <v>123456789</v>
      </c>
      <c r="D26" s="2">
        <v>123456789</v>
      </c>
    </row>
    <row r="27" spans="1:4" x14ac:dyDescent="0.45">
      <c r="A27" t="s">
        <v>160</v>
      </c>
      <c r="B27">
        <f>LN(housing_approvals!B27)</f>
        <v>12.080723270667063</v>
      </c>
      <c r="C27" s="2">
        <v>123456789</v>
      </c>
      <c r="D27" s="2">
        <v>123456789</v>
      </c>
    </row>
    <row r="28" spans="1:4" x14ac:dyDescent="0.45">
      <c r="A28" t="s">
        <v>161</v>
      </c>
      <c r="B28">
        <f>LN(housing_approvals!B28)</f>
        <v>12.107804132617478</v>
      </c>
      <c r="C28" s="2">
        <v>123456789</v>
      </c>
      <c r="D28" s="2">
        <v>123456789</v>
      </c>
    </row>
    <row r="29" spans="1:4" x14ac:dyDescent="0.45">
      <c r="A29" t="s">
        <v>162</v>
      </c>
      <c r="B29">
        <f>LN(housing_approvals!B29)</f>
        <v>12.104326422020506</v>
      </c>
      <c r="C29" s="2">
        <v>123456789</v>
      </c>
      <c r="D29" s="2">
        <v>123456789</v>
      </c>
    </row>
    <row r="30" spans="1:4" x14ac:dyDescent="0.45">
      <c r="A30" t="s">
        <v>163</v>
      </c>
      <c r="B30">
        <f>LN(housing_approvals!B30)</f>
        <v>11.965494431532354</v>
      </c>
      <c r="C30" s="2">
        <v>123456789</v>
      </c>
      <c r="D30" s="2">
        <v>123456789</v>
      </c>
    </row>
    <row r="31" spans="1:4" x14ac:dyDescent="0.45">
      <c r="A31" t="s">
        <v>164</v>
      </c>
      <c r="B31">
        <f>LN(housing_approvals!B31)</f>
        <v>11.893216793850803</v>
      </c>
      <c r="C31" s="2">
        <v>123456789</v>
      </c>
      <c r="D31" s="2">
        <v>123456789</v>
      </c>
    </row>
    <row r="32" spans="1:4" x14ac:dyDescent="0.45">
      <c r="A32" t="s">
        <v>165</v>
      </c>
      <c r="B32">
        <f>LN(housing_approvals!B32)</f>
        <v>11.952171654362873</v>
      </c>
      <c r="C32" s="2">
        <v>123456789</v>
      </c>
      <c r="D32" s="2">
        <v>123456789</v>
      </c>
    </row>
    <row r="33" spans="1:4" x14ac:dyDescent="0.45">
      <c r="A33" t="s">
        <v>166</v>
      </c>
      <c r="B33">
        <f>LN(housing_approvals!B33)</f>
        <v>12.139416117385677</v>
      </c>
      <c r="C33" s="2">
        <v>123456789</v>
      </c>
      <c r="D33" s="2">
        <v>123456789</v>
      </c>
    </row>
    <row r="34" spans="1:4" x14ac:dyDescent="0.45">
      <c r="A34" t="s">
        <v>167</v>
      </c>
      <c r="B34">
        <f>LN(housing_approvals!B34)</f>
        <v>12.309250644307916</v>
      </c>
      <c r="C34" s="2">
        <v>123456789</v>
      </c>
      <c r="D34" s="2">
        <v>123456789</v>
      </c>
    </row>
    <row r="35" spans="1:4" x14ac:dyDescent="0.45">
      <c r="A35" t="s">
        <v>168</v>
      </c>
      <c r="B35">
        <f>LN(housing_approvals!B35)</f>
        <v>12.457240742765046</v>
      </c>
      <c r="C35" s="2">
        <v>123456789</v>
      </c>
      <c r="D35" s="2">
        <v>123456789</v>
      </c>
    </row>
    <row r="36" spans="1:4" x14ac:dyDescent="0.45">
      <c r="A36" t="s">
        <v>169</v>
      </c>
      <c r="B36">
        <f>LN(housing_approvals!B36)</f>
        <v>12.5665450319791</v>
      </c>
      <c r="C36" s="2">
        <v>123456789</v>
      </c>
      <c r="D36" s="2">
        <v>123456789</v>
      </c>
    </row>
    <row r="37" spans="1:4" x14ac:dyDescent="0.45">
      <c r="A37" t="s">
        <v>170</v>
      </c>
      <c r="B37">
        <f>LN(housing_approvals!B37)</f>
        <v>12.663873855444148</v>
      </c>
      <c r="C37" s="2">
        <v>123456789</v>
      </c>
      <c r="D37" s="2">
        <v>123456789</v>
      </c>
    </row>
    <row r="38" spans="1:4" x14ac:dyDescent="0.45">
      <c r="A38" t="s">
        <v>171</v>
      </c>
      <c r="B38">
        <f>LN(housing_approvals!B38)</f>
        <v>12.721007072643244</v>
      </c>
      <c r="C38" s="2">
        <v>123456789</v>
      </c>
      <c r="D38" s="2">
        <v>123456789</v>
      </c>
    </row>
    <row r="39" spans="1:4" x14ac:dyDescent="0.45">
      <c r="A39" t="s">
        <v>172</v>
      </c>
      <c r="B39">
        <f>LN(housing_approvals!B39)</f>
        <v>12.776214715763849</v>
      </c>
      <c r="C39" s="2">
        <v>123456789</v>
      </c>
      <c r="D39" s="2">
        <v>123456789</v>
      </c>
    </row>
    <row r="40" spans="1:4" x14ac:dyDescent="0.45">
      <c r="A40" t="s">
        <v>173</v>
      </c>
      <c r="B40">
        <f>LN(housing_approvals!B40)</f>
        <v>12.691438158574247</v>
      </c>
      <c r="C40" s="2">
        <v>123456789</v>
      </c>
      <c r="D40" s="2">
        <v>123456789</v>
      </c>
    </row>
    <row r="41" spans="1:4" x14ac:dyDescent="0.45">
      <c r="A41" t="s">
        <v>174</v>
      </c>
      <c r="B41">
        <f>LN(housing_approvals!B41)</f>
        <v>12.628540754136406</v>
      </c>
      <c r="C41" s="2">
        <v>123456789</v>
      </c>
      <c r="D41" s="2">
        <v>123456789</v>
      </c>
    </row>
    <row r="42" spans="1:4" x14ac:dyDescent="0.45">
      <c r="A42" t="s">
        <v>175</v>
      </c>
      <c r="B42">
        <f>LN(housing_approvals!B42)</f>
        <v>12.592940626329808</v>
      </c>
      <c r="C42" s="2">
        <v>123456789</v>
      </c>
      <c r="D42" s="2">
        <v>123456789</v>
      </c>
    </row>
    <row r="43" spans="1:4" x14ac:dyDescent="0.45">
      <c r="A43" t="s">
        <v>176</v>
      </c>
      <c r="B43">
        <f>LN(housing_approvals!B43)</f>
        <v>12.409006364508979</v>
      </c>
      <c r="C43" s="2">
        <v>123456789</v>
      </c>
      <c r="D43" s="2">
        <v>123456789</v>
      </c>
    </row>
    <row r="44" spans="1:4" x14ac:dyDescent="0.45">
      <c r="A44" t="s">
        <v>177</v>
      </c>
      <c r="B44">
        <f>LN(housing_approvals!B44)</f>
        <v>12.421899990369749</v>
      </c>
      <c r="C44" s="2">
        <v>123456789</v>
      </c>
      <c r="D44" s="2">
        <v>123456789</v>
      </c>
    </row>
    <row r="45" spans="1:4" x14ac:dyDescent="0.45">
      <c r="A45" t="s">
        <v>178</v>
      </c>
      <c r="B45">
        <f>LN(housing_approvals!B45)</f>
        <v>12.267883076692742</v>
      </c>
      <c r="C45" s="2">
        <v>123456789</v>
      </c>
      <c r="D45" s="2">
        <v>123456789</v>
      </c>
    </row>
    <row r="46" spans="1:4" x14ac:dyDescent="0.45">
      <c r="A46" t="s">
        <v>179</v>
      </c>
      <c r="B46">
        <f>LN(housing_approvals!B46)</f>
        <v>12.131850379422925</v>
      </c>
      <c r="C46" s="2">
        <v>123456789</v>
      </c>
      <c r="D46" s="2">
        <v>123456789</v>
      </c>
    </row>
    <row r="47" spans="1:4" x14ac:dyDescent="0.45">
      <c r="A47" t="s">
        <v>180</v>
      </c>
      <c r="B47">
        <f>LN(housing_approvals!B47)</f>
        <v>12.119545807124773</v>
      </c>
      <c r="C47" s="2">
        <v>123456789</v>
      </c>
      <c r="D47" s="2">
        <v>123456789</v>
      </c>
    </row>
    <row r="48" spans="1:4" x14ac:dyDescent="0.45">
      <c r="A48" t="s">
        <v>181</v>
      </c>
      <c r="B48">
        <f>LN(housing_approvals!B48)</f>
        <v>12.033493001409346</v>
      </c>
      <c r="C48" s="2">
        <v>123456789</v>
      </c>
      <c r="D48" s="2">
        <v>123456789</v>
      </c>
    </row>
    <row r="49" spans="1:4" x14ac:dyDescent="0.45">
      <c r="A49" t="s">
        <v>182</v>
      </c>
      <c r="B49">
        <f>LN(housing_approvals!B49)</f>
        <v>11.930340484636286</v>
      </c>
      <c r="C49" s="2">
        <v>123456789</v>
      </c>
      <c r="D49" s="2">
        <v>123456789</v>
      </c>
    </row>
    <row r="50" spans="1:4" x14ac:dyDescent="0.45">
      <c r="A50" t="s">
        <v>183</v>
      </c>
      <c r="B50">
        <f>LN(housing_approvals!B50)</f>
        <v>11.880842400616443</v>
      </c>
      <c r="C50" s="2">
        <v>123456789</v>
      </c>
      <c r="D50" s="2">
        <v>123456789</v>
      </c>
    </row>
    <row r="51" spans="1:4" x14ac:dyDescent="0.45">
      <c r="A51" t="s">
        <v>184</v>
      </c>
      <c r="B51">
        <f>LN(housing_approvals!B51)</f>
        <v>12.003564543085711</v>
      </c>
      <c r="C51" s="2">
        <v>123456789</v>
      </c>
      <c r="D51" s="2">
        <v>123456789</v>
      </c>
    </row>
    <row r="52" spans="1:4" x14ac:dyDescent="0.45">
      <c r="A52" t="s">
        <v>185</v>
      </c>
      <c r="B52">
        <f>LN(housing_approvals!B52)</f>
        <v>12.087219652958289</v>
      </c>
      <c r="C52" s="2">
        <v>123456789</v>
      </c>
      <c r="D52" s="2">
        <v>123456789</v>
      </c>
    </row>
    <row r="53" spans="1:4" x14ac:dyDescent="0.45">
      <c r="A53" t="s">
        <v>186</v>
      </c>
      <c r="B53">
        <f>LN(housing_approvals!B53)</f>
        <v>12.232287703357972</v>
      </c>
      <c r="C53" s="2">
        <v>123456789</v>
      </c>
      <c r="D53" s="2">
        <v>123456789</v>
      </c>
    </row>
    <row r="54" spans="1:4" x14ac:dyDescent="0.45">
      <c r="A54" t="s">
        <v>187</v>
      </c>
      <c r="B54">
        <f>LN(housing_approvals!B54)</f>
        <v>12.426002141735164</v>
      </c>
      <c r="C54" s="2">
        <v>123456789</v>
      </c>
      <c r="D54" s="2">
        <v>123456789</v>
      </c>
    </row>
    <row r="55" spans="1:4" x14ac:dyDescent="0.45">
      <c r="A55" t="s">
        <v>188</v>
      </c>
      <c r="B55">
        <f>LN(housing_approvals!B55)</f>
        <v>12.452063811710433</v>
      </c>
      <c r="C55" s="2">
        <v>123456789</v>
      </c>
      <c r="D55" s="2">
        <v>123456789</v>
      </c>
    </row>
    <row r="56" spans="1:4" x14ac:dyDescent="0.45">
      <c r="A56" t="s">
        <v>189</v>
      </c>
      <c r="B56">
        <f>LN(housing_approvals!B56)</f>
        <v>12.49150857952562</v>
      </c>
      <c r="C56" s="2">
        <v>123456789</v>
      </c>
      <c r="D56" s="2">
        <v>123456789</v>
      </c>
    </row>
    <row r="57" spans="1:4" x14ac:dyDescent="0.45">
      <c r="A57" t="s">
        <v>190</v>
      </c>
      <c r="B57">
        <f>LN(housing_approvals!B57)</f>
        <v>12.476938262212988</v>
      </c>
      <c r="C57" s="2">
        <v>123456789</v>
      </c>
      <c r="D57" s="2">
        <v>123456789</v>
      </c>
    </row>
    <row r="58" spans="1:4" x14ac:dyDescent="0.45">
      <c r="A58" t="s">
        <v>191</v>
      </c>
      <c r="B58">
        <f>LN(housing_approvals!B58)</f>
        <v>12.422197940877814</v>
      </c>
      <c r="C58" s="2">
        <v>123456789</v>
      </c>
      <c r="D58" s="2">
        <v>123456789</v>
      </c>
    </row>
    <row r="59" spans="1:4" x14ac:dyDescent="0.45">
      <c r="A59" t="s">
        <v>192</v>
      </c>
      <c r="B59">
        <f>LN(housing_approvals!B59)</f>
        <v>12.398241406594323</v>
      </c>
      <c r="C59" s="2">
        <v>123456789</v>
      </c>
      <c r="D59" s="2">
        <v>123456789</v>
      </c>
    </row>
    <row r="60" spans="1:4" x14ac:dyDescent="0.45">
      <c r="A60" t="s">
        <v>193</v>
      </c>
      <c r="B60">
        <f>LN(housing_approvals!B60)</f>
        <v>12.406131587754924</v>
      </c>
      <c r="C60" s="2">
        <v>123456789</v>
      </c>
      <c r="D60" s="2">
        <v>123456789</v>
      </c>
    </row>
    <row r="61" spans="1:4" x14ac:dyDescent="0.45">
      <c r="A61" t="s">
        <v>194</v>
      </c>
      <c r="B61">
        <f>LN(housing_approvals!B61)</f>
        <v>12.429818012112749</v>
      </c>
      <c r="C61" s="2">
        <v>123456789</v>
      </c>
      <c r="D61" s="2">
        <v>123456789</v>
      </c>
    </row>
    <row r="62" spans="1:4" x14ac:dyDescent="0.45">
      <c r="A62" t="s">
        <v>195</v>
      </c>
      <c r="B62">
        <f>LN(housing_approvals!B62)</f>
        <v>12.381411204952377</v>
      </c>
      <c r="C62" s="2">
        <v>123456789</v>
      </c>
      <c r="D62" s="2">
        <v>123456789</v>
      </c>
    </row>
    <row r="63" spans="1:4" x14ac:dyDescent="0.45">
      <c r="A63" t="s">
        <v>196</v>
      </c>
      <c r="B63">
        <f>LN(housing_approvals!B63)</f>
        <v>12.384306259901251</v>
      </c>
      <c r="C63" s="2">
        <v>123456789</v>
      </c>
      <c r="D63" s="2">
        <v>123456789</v>
      </c>
    </row>
    <row r="64" spans="1:4" x14ac:dyDescent="0.45">
      <c r="A64" t="s">
        <v>197</v>
      </c>
      <c r="B64">
        <f>LN(housing_approvals!B64)</f>
        <v>12.336954842712942</v>
      </c>
      <c r="C64" s="2">
        <v>123456789</v>
      </c>
      <c r="D64" s="2">
        <v>123456789</v>
      </c>
    </row>
    <row r="65" spans="1:4" x14ac:dyDescent="0.45">
      <c r="A65" t="s">
        <v>198</v>
      </c>
      <c r="B65">
        <f>LN(housing_approvals!B65)</f>
        <v>12.404765397283683</v>
      </c>
      <c r="C65" s="2">
        <v>123456789</v>
      </c>
      <c r="D65" s="2">
        <v>123456789</v>
      </c>
    </row>
    <row r="66" spans="1:4" x14ac:dyDescent="0.45">
      <c r="A66" t="s">
        <v>199</v>
      </c>
      <c r="B66">
        <f>LN(housing_approvals!B66)</f>
        <v>12.484746665368004</v>
      </c>
      <c r="C66" s="2">
        <v>123456789</v>
      </c>
      <c r="D66" s="2">
        <v>123456789</v>
      </c>
    </row>
    <row r="67" spans="1:4" x14ac:dyDescent="0.45">
      <c r="A67" t="s">
        <v>200</v>
      </c>
      <c r="B67">
        <f>LN(housing_approvals!B67)</f>
        <v>12.539114227224887</v>
      </c>
      <c r="C67" s="2">
        <v>123456789</v>
      </c>
      <c r="D67" s="2">
        <v>123456789</v>
      </c>
    </row>
    <row r="68" spans="1:4" x14ac:dyDescent="0.45">
      <c r="A68" t="s">
        <v>201</v>
      </c>
      <c r="B68">
        <f>LN(housing_approvals!B68)</f>
        <v>12.59716179665598</v>
      </c>
      <c r="C68" s="2">
        <v>123456789</v>
      </c>
      <c r="D68" s="2">
        <v>123456789</v>
      </c>
    </row>
    <row r="69" spans="1:4" x14ac:dyDescent="0.45">
      <c r="A69" t="s">
        <v>202</v>
      </c>
      <c r="B69">
        <f>LN(housing_approvals!B69)</f>
        <v>12.584283028998458</v>
      </c>
      <c r="C69" s="2">
        <v>123456789</v>
      </c>
      <c r="D69" s="2">
        <v>123456789</v>
      </c>
    </row>
    <row r="70" spans="1:4" x14ac:dyDescent="0.45">
      <c r="A70" t="s">
        <v>203</v>
      </c>
      <c r="B70">
        <f>LN(housing_approvals!B70)</f>
        <v>12.599728037042144</v>
      </c>
      <c r="C70" s="2">
        <v>123456789</v>
      </c>
      <c r="D70" s="2">
        <v>123456789</v>
      </c>
    </row>
    <row r="71" spans="1:4" x14ac:dyDescent="0.45">
      <c r="A71" t="s">
        <v>204</v>
      </c>
      <c r="B71">
        <f>LN(housing_approvals!B71)</f>
        <v>12.605672616449395</v>
      </c>
      <c r="C71" s="2">
        <v>123456789</v>
      </c>
      <c r="D71" s="2">
        <v>123456789</v>
      </c>
    </row>
    <row r="72" spans="1:4" x14ac:dyDescent="0.45">
      <c r="A72" t="s">
        <v>205</v>
      </c>
      <c r="B72">
        <f>LN(housing_approvals!B72)</f>
        <v>12.626035579735696</v>
      </c>
      <c r="C72" s="2">
        <v>123456789</v>
      </c>
      <c r="D72" s="2">
        <v>123456789</v>
      </c>
    </row>
    <row r="73" spans="1:4" x14ac:dyDescent="0.45">
      <c r="A73" t="s">
        <v>206</v>
      </c>
      <c r="B73">
        <f>LN(housing_approvals!B73)</f>
        <v>12.698184983155878</v>
      </c>
      <c r="C73" s="2">
        <v>123456789</v>
      </c>
      <c r="D73" s="2">
        <v>123456789</v>
      </c>
    </row>
    <row r="74" spans="1:4" x14ac:dyDescent="0.45">
      <c r="A74" t="s">
        <v>207</v>
      </c>
      <c r="B74">
        <f>LN(housing_approvals!B74)</f>
        <v>12.736069789205796</v>
      </c>
      <c r="C74" s="2">
        <v>123456789</v>
      </c>
      <c r="D74" s="2">
        <v>123456789</v>
      </c>
    </row>
    <row r="75" spans="1:4" x14ac:dyDescent="0.45">
      <c r="A75" t="s">
        <v>208</v>
      </c>
      <c r="B75">
        <f>LN(housing_approvals!B75)</f>
        <v>12.756544410204514</v>
      </c>
      <c r="C75" s="2">
        <v>123456789</v>
      </c>
      <c r="D75" s="2">
        <v>123456789</v>
      </c>
    </row>
    <row r="76" spans="1:4" x14ac:dyDescent="0.45">
      <c r="A76" t="s">
        <v>209</v>
      </c>
      <c r="B76">
        <f>LN(housing_approvals!B76)</f>
        <v>12.920353023250662</v>
      </c>
      <c r="C76" s="2">
        <v>123456789</v>
      </c>
      <c r="D76" s="2">
        <v>123456789</v>
      </c>
    </row>
    <row r="77" spans="1:4" x14ac:dyDescent="0.45">
      <c r="A77" t="s">
        <v>210</v>
      </c>
      <c r="B77">
        <f>LN(housing_approvals!B77)</f>
        <v>12.92119921322576</v>
      </c>
      <c r="C77" s="2">
        <v>123456789</v>
      </c>
      <c r="D77" s="2">
        <v>123456789</v>
      </c>
    </row>
    <row r="78" spans="1:4" x14ac:dyDescent="0.45">
      <c r="A78" t="s">
        <v>211</v>
      </c>
      <c r="B78">
        <f>LN(housing_approvals!B78)</f>
        <v>12.86226701001898</v>
      </c>
      <c r="C78" s="2">
        <v>123456789</v>
      </c>
      <c r="D78" s="2">
        <v>123456789</v>
      </c>
    </row>
    <row r="79" spans="1:4" x14ac:dyDescent="0.45">
      <c r="A79" t="s">
        <v>212</v>
      </c>
      <c r="B79">
        <f>LN(housing_approvals!B79)</f>
        <v>12.799180439195853</v>
      </c>
      <c r="C79" s="2">
        <v>123456789</v>
      </c>
      <c r="D79" s="2">
        <v>123456789</v>
      </c>
    </row>
    <row r="80" spans="1:4" x14ac:dyDescent="0.45">
      <c r="A80" t="s">
        <v>213</v>
      </c>
      <c r="B80">
        <f>LN(housing_approvals!B80)</f>
        <v>12.571158225718504</v>
      </c>
      <c r="C80" s="2">
        <v>123456789</v>
      </c>
      <c r="D80" s="2">
        <v>123456789</v>
      </c>
    </row>
    <row r="81" spans="1:4" x14ac:dyDescent="0.45">
      <c r="A81" t="s">
        <v>214</v>
      </c>
      <c r="B81">
        <f>LN(housing_approvals!B81)</f>
        <v>12.316574447097461</v>
      </c>
      <c r="C81" s="2">
        <v>123456789</v>
      </c>
      <c r="D81" s="2">
        <v>123456789</v>
      </c>
    </row>
    <row r="82" spans="1:4" x14ac:dyDescent="0.45">
      <c r="A82" t="s">
        <v>215</v>
      </c>
      <c r="B82">
        <f>LN(housing_approvals!B82)</f>
        <v>12.162609172087743</v>
      </c>
      <c r="C82" s="2">
        <v>123456789</v>
      </c>
      <c r="D82" s="2">
        <v>123456789</v>
      </c>
    </row>
    <row r="83" spans="1:4" x14ac:dyDescent="0.45">
      <c r="A83" t="s">
        <v>216</v>
      </c>
      <c r="B83">
        <f>LN(housing_approvals!B83)</f>
        <v>11.954929675119114</v>
      </c>
      <c r="C83" s="2">
        <v>123456789</v>
      </c>
      <c r="D83" s="2">
        <v>123456789</v>
      </c>
    </row>
    <row r="84" spans="1:4" x14ac:dyDescent="0.45">
      <c r="A84" t="s">
        <v>217</v>
      </c>
      <c r="B84">
        <f>LN(housing_approvals!B84)</f>
        <v>11.845209948491663</v>
      </c>
      <c r="C84" s="2">
        <v>123456789</v>
      </c>
      <c r="D84" s="2">
        <v>123456789</v>
      </c>
    </row>
    <row r="85" spans="1:4" x14ac:dyDescent="0.45">
      <c r="A85" t="s">
        <v>218</v>
      </c>
      <c r="B85">
        <f>LN(housing_approvals!B85)</f>
        <v>11.849827894052302</v>
      </c>
      <c r="C85" s="2">
        <v>123456789</v>
      </c>
      <c r="D85" s="2">
        <v>123456789</v>
      </c>
    </row>
    <row r="86" spans="1:4" x14ac:dyDescent="0.45">
      <c r="A86" t="s">
        <v>219</v>
      </c>
      <c r="B86">
        <f>LN(housing_approvals!B86)</f>
        <v>11.920201746812179</v>
      </c>
      <c r="C86" s="2">
        <v>123456789</v>
      </c>
      <c r="D86" s="2">
        <v>123456789</v>
      </c>
    </row>
    <row r="87" spans="1:4" x14ac:dyDescent="0.45">
      <c r="A87" t="s">
        <v>220</v>
      </c>
      <c r="B87">
        <f>LN(housing_approvals!B87)</f>
        <v>11.882086252129602</v>
      </c>
      <c r="C87" s="2">
        <v>123456789</v>
      </c>
      <c r="D87" s="2">
        <v>123456789</v>
      </c>
    </row>
    <row r="88" spans="1:4" x14ac:dyDescent="0.45">
      <c r="A88" t="s">
        <v>221</v>
      </c>
      <c r="B88">
        <f>LN(housing_approvals!B88)</f>
        <v>11.913331587380613</v>
      </c>
      <c r="C88" s="2">
        <v>123456789</v>
      </c>
      <c r="D88" s="2">
        <v>123456789</v>
      </c>
    </row>
    <row r="89" spans="1:4" x14ac:dyDescent="0.45">
      <c r="A89" t="s">
        <v>222</v>
      </c>
      <c r="B89">
        <f>LN(housing_approvals!B89)</f>
        <v>11.979265345198888</v>
      </c>
      <c r="C89" s="2">
        <v>123456789</v>
      </c>
      <c r="D89" s="2">
        <v>123456789</v>
      </c>
    </row>
    <row r="90" spans="1:4" x14ac:dyDescent="0.45">
      <c r="A90" t="s">
        <v>223</v>
      </c>
      <c r="B90">
        <f>LN(housing_approvals!B90)</f>
        <v>11.96993446139799</v>
      </c>
      <c r="C90" s="2">
        <v>123456789</v>
      </c>
      <c r="D90" s="2">
        <v>123456789</v>
      </c>
    </row>
    <row r="91" spans="1:4" x14ac:dyDescent="0.45">
      <c r="A91" t="s">
        <v>224</v>
      </c>
      <c r="B91">
        <f>LN(housing_approvals!B91)</f>
        <v>11.987202263778189</v>
      </c>
      <c r="C91" s="2">
        <v>123456789</v>
      </c>
      <c r="D91" s="2">
        <v>123456789</v>
      </c>
    </row>
    <row r="92" spans="1:4" x14ac:dyDescent="0.45">
      <c r="A92" t="s">
        <v>225</v>
      </c>
      <c r="B92">
        <f>LN(housing_approvals!B92)</f>
        <v>11.96702881559405</v>
      </c>
      <c r="C92" s="2">
        <v>123456789</v>
      </c>
      <c r="D92" s="2">
        <v>123456789</v>
      </c>
    </row>
    <row r="93" spans="1:4" x14ac:dyDescent="0.45">
      <c r="A93" t="s">
        <v>226</v>
      </c>
      <c r="B93">
        <f>LN(housing_approvals!B93)</f>
        <v>11.849398132237827</v>
      </c>
      <c r="C93" s="2">
        <v>123456789</v>
      </c>
      <c r="D93" s="2">
        <v>123456789</v>
      </c>
    </row>
    <row r="94" spans="1:4" x14ac:dyDescent="0.45">
      <c r="A94" t="s">
        <v>227</v>
      </c>
      <c r="B94">
        <f>LN(housing_approvals!B94)</f>
        <v>11.958520948960574</v>
      </c>
      <c r="C94" s="2">
        <v>123456789</v>
      </c>
      <c r="D94" s="2">
        <v>123456789</v>
      </c>
    </row>
    <row r="95" spans="1:4" x14ac:dyDescent="0.45">
      <c r="A95" t="s">
        <v>228</v>
      </c>
      <c r="B95">
        <f>LN(housing_approvals!B95)</f>
        <v>12.46513917073551</v>
      </c>
      <c r="C95" s="2">
        <v>123456789</v>
      </c>
      <c r="D95" s="2">
        <v>123456789</v>
      </c>
    </row>
    <row r="96" spans="1:4" x14ac:dyDescent="0.45">
      <c r="A96" t="s">
        <v>229</v>
      </c>
      <c r="B96">
        <f>LN(housing_approvals!B96)</f>
        <v>12.41836958445089</v>
      </c>
      <c r="C96" s="2">
        <v>123456789</v>
      </c>
      <c r="D96" s="2">
        <v>123456789</v>
      </c>
    </row>
    <row r="97" spans="1:4" x14ac:dyDescent="0.45">
      <c r="A97" t="s">
        <v>230</v>
      </c>
      <c r="B97">
        <f>LN(housing_approvals!B97)</f>
        <v>12.404411077925412</v>
      </c>
      <c r="C97" s="2">
        <v>123456789</v>
      </c>
      <c r="D97" s="2">
        <v>123456789</v>
      </c>
    </row>
    <row r="98" spans="1:4" x14ac:dyDescent="0.45">
      <c r="A98" t="s">
        <v>231</v>
      </c>
      <c r="B98">
        <f>LN(housing_approvals!B98)</f>
        <v>12.49458062682533</v>
      </c>
      <c r="C98" s="2">
        <v>123456789</v>
      </c>
      <c r="D98" s="2">
        <v>123456789</v>
      </c>
    </row>
    <row r="99" spans="1:4" x14ac:dyDescent="0.45">
      <c r="A99" t="s">
        <v>232</v>
      </c>
      <c r="B99">
        <f>LN(housing_approvals!B99)</f>
        <v>12.462670315103328</v>
      </c>
      <c r="C99" s="2">
        <v>123456789</v>
      </c>
      <c r="D99" s="2">
        <v>123456789</v>
      </c>
    </row>
    <row r="100" spans="1:4" x14ac:dyDescent="0.45">
      <c r="A100" t="s">
        <v>233</v>
      </c>
      <c r="B100">
        <f>LN(housing_approvals!B100)</f>
        <v>12.396114325339266</v>
      </c>
      <c r="C100" s="2">
        <v>123456789</v>
      </c>
      <c r="D100" s="2">
        <v>123456789</v>
      </c>
    </row>
    <row r="101" spans="1:4" x14ac:dyDescent="0.45">
      <c r="A101" t="s">
        <v>234</v>
      </c>
      <c r="B101">
        <f>LN(housing_approvals!B101)</f>
        <v>12.427534784061846</v>
      </c>
      <c r="C101" s="2">
        <v>123456789</v>
      </c>
      <c r="D101" s="2">
        <v>123456789</v>
      </c>
    </row>
    <row r="102" spans="1:4" x14ac:dyDescent="0.45">
      <c r="A102" t="s">
        <v>235</v>
      </c>
      <c r="B102">
        <f>LN(housing_approvals!B102)</f>
        <v>12.364669142337069</v>
      </c>
      <c r="C102" s="2">
        <v>123456789</v>
      </c>
      <c r="D102" s="2">
        <v>123456789</v>
      </c>
    </row>
    <row r="103" spans="1:4" x14ac:dyDescent="0.45">
      <c r="A103" t="s">
        <v>236</v>
      </c>
      <c r="B103">
        <f>LN(housing_approvals!B103)</f>
        <v>12.277201899991693</v>
      </c>
      <c r="C103" s="2">
        <v>123456789</v>
      </c>
      <c r="D103" s="2">
        <v>123456789</v>
      </c>
    </row>
    <row r="104" spans="1:4" x14ac:dyDescent="0.45">
      <c r="A104" t="s">
        <v>237</v>
      </c>
      <c r="B104">
        <f>LN(housing_approvals!B104)</f>
        <v>12.314698324734955</v>
      </c>
      <c r="C104" s="2">
        <v>123456789</v>
      </c>
      <c r="D104" s="2">
        <v>123456789</v>
      </c>
    </row>
    <row r="105" spans="1:4" x14ac:dyDescent="0.45">
      <c r="A105" t="s">
        <v>238</v>
      </c>
      <c r="B105">
        <f>LN(housing_approvals!B105)</f>
        <v>12.407931271487051</v>
      </c>
      <c r="C105" s="2">
        <v>123456789</v>
      </c>
      <c r="D105" s="2">
        <v>123456789</v>
      </c>
    </row>
    <row r="106" spans="1:4" x14ac:dyDescent="0.45">
      <c r="A106" t="s">
        <v>239</v>
      </c>
      <c r="B106">
        <f>LN(housing_approvals!B106)</f>
        <v>12.420530585895733</v>
      </c>
      <c r="C106" s="2">
        <v>123456789</v>
      </c>
      <c r="D106" s="2">
        <v>123456789</v>
      </c>
    </row>
    <row r="107" spans="1:4" x14ac:dyDescent="0.45">
      <c r="A107" t="s">
        <v>240</v>
      </c>
      <c r="B107">
        <f>LN(housing_approvals!B107)</f>
        <v>12.448646205707329</v>
      </c>
      <c r="C107" s="2">
        <v>123456789</v>
      </c>
      <c r="D107" s="2">
        <v>123456789</v>
      </c>
    </row>
    <row r="108" spans="1:4" x14ac:dyDescent="0.45">
      <c r="A108" t="s">
        <v>241</v>
      </c>
      <c r="B108">
        <f>LN(housing_approvals!B108)</f>
        <v>12.535451929388151</v>
      </c>
      <c r="C108" s="2">
        <v>123456789</v>
      </c>
      <c r="D108" s="2">
        <v>123456789</v>
      </c>
    </row>
    <row r="109" spans="1:4" x14ac:dyDescent="0.45">
      <c r="A109" t="s">
        <v>242</v>
      </c>
      <c r="B109">
        <f>LN(housing_approvals!B109)</f>
        <v>12.622114950676108</v>
      </c>
      <c r="C109" s="2">
        <v>123456789</v>
      </c>
      <c r="D109" s="2">
        <v>123456789</v>
      </c>
    </row>
    <row r="110" spans="1:4" x14ac:dyDescent="0.45">
      <c r="A110" t="s">
        <v>243</v>
      </c>
      <c r="B110">
        <f>LN(housing_approvals!B110)</f>
        <v>12.611757729441887</v>
      </c>
      <c r="C110" s="2">
        <v>123456789</v>
      </c>
      <c r="D110" s="2">
        <v>123456789</v>
      </c>
    </row>
    <row r="111" spans="1:4" x14ac:dyDescent="0.45">
      <c r="A111" t="s">
        <v>244</v>
      </c>
      <c r="B111">
        <f>LN(housing_approvals!B111)</f>
        <v>12.645011213695877</v>
      </c>
      <c r="C111" s="2">
        <v>123456789</v>
      </c>
      <c r="D111" s="2">
        <v>123456789</v>
      </c>
    </row>
    <row r="112" spans="1:4" x14ac:dyDescent="0.45">
      <c r="A112" t="s">
        <v>245</v>
      </c>
      <c r="B112">
        <f>LN(housing_approvals!B112)</f>
        <v>12.601908204662495</v>
      </c>
      <c r="C112" s="2">
        <v>123456789</v>
      </c>
      <c r="D112" s="2">
        <v>123456789</v>
      </c>
    </row>
    <row r="113" spans="1:4" x14ac:dyDescent="0.45">
      <c r="A113" t="s">
        <v>246</v>
      </c>
      <c r="B113">
        <f>LN(housing_approvals!B113)</f>
        <v>12.454969709895433</v>
      </c>
      <c r="C113" s="2">
        <v>123456789</v>
      </c>
      <c r="D113" s="2">
        <v>123456789</v>
      </c>
    </row>
    <row r="114" spans="1:4" x14ac:dyDescent="0.45">
      <c r="A114" t="s">
        <v>247</v>
      </c>
      <c r="B114">
        <f>LN(housing_approvals!B114)</f>
        <v>12.484476811001173</v>
      </c>
      <c r="C114" s="2">
        <v>123456789</v>
      </c>
      <c r="D114" s="2">
        <v>123456789</v>
      </c>
    </row>
    <row r="115" spans="1:4" x14ac:dyDescent="0.45">
      <c r="A115" t="s">
        <v>248</v>
      </c>
      <c r="B115">
        <f>LN(housing_approvals!B115)</f>
        <v>12.472773646593211</v>
      </c>
      <c r="C115" s="2">
        <v>123456789</v>
      </c>
      <c r="D115" s="2">
        <v>123456789</v>
      </c>
    </row>
    <row r="116" spans="1:4" x14ac:dyDescent="0.45">
      <c r="A116" t="s">
        <v>249</v>
      </c>
      <c r="B116">
        <f>LN(housing_approvals!B116)</f>
        <v>12.465821955520893</v>
      </c>
      <c r="C116" s="2">
        <v>123456789</v>
      </c>
      <c r="D116" s="2">
        <v>123456789</v>
      </c>
    </row>
    <row r="117" spans="1:4" x14ac:dyDescent="0.45">
      <c r="A117" t="s">
        <v>250</v>
      </c>
      <c r="B117">
        <f>LN(housing_approvals!B117)</f>
        <v>12.430527336924445</v>
      </c>
      <c r="C117" s="2">
        <v>123456789</v>
      </c>
      <c r="D117" s="2">
        <v>123456789</v>
      </c>
    </row>
    <row r="118" spans="1:4" x14ac:dyDescent="0.45">
      <c r="A118" t="s">
        <v>251</v>
      </c>
      <c r="B118">
        <f>LN(housing_approvals!B118)</f>
        <v>12.480407286009159</v>
      </c>
      <c r="C118" s="2">
        <v>123456789</v>
      </c>
      <c r="D118" s="2">
        <v>123456789</v>
      </c>
    </row>
    <row r="119" spans="1:4" x14ac:dyDescent="0.45">
      <c r="A119" t="s">
        <v>252</v>
      </c>
      <c r="B119">
        <f>LN(housing_approvals!B119)</f>
        <v>12.582644329983356</v>
      </c>
      <c r="C119" s="2">
        <v>123456789</v>
      </c>
      <c r="D119" s="2">
        <v>123456789</v>
      </c>
    </row>
    <row r="120" spans="1:4" x14ac:dyDescent="0.45">
      <c r="A120" t="s">
        <v>253</v>
      </c>
      <c r="B120">
        <f>LN(housing_approvals!B120)</f>
        <v>12.593438275160468</v>
      </c>
      <c r="C120" s="2">
        <v>123456789</v>
      </c>
      <c r="D120" s="2">
        <v>123456789</v>
      </c>
    </row>
    <row r="121" spans="1:4" x14ac:dyDescent="0.45">
      <c r="A121" t="s">
        <v>254</v>
      </c>
      <c r="B121">
        <f>LN(housing_approvals!B121)</f>
        <v>12.564299384811466</v>
      </c>
      <c r="C121" s="2">
        <v>123456789</v>
      </c>
      <c r="D121" s="2">
        <v>123456789</v>
      </c>
    </row>
    <row r="122" spans="1:4" x14ac:dyDescent="0.45">
      <c r="A122" t="s">
        <v>255</v>
      </c>
      <c r="B122">
        <f>LN(housing_approvals!B122)</f>
        <v>12.524551830870202</v>
      </c>
      <c r="C122" s="2">
        <v>123456789</v>
      </c>
      <c r="D122" s="2">
        <v>123456789</v>
      </c>
    </row>
    <row r="123" spans="1:4" x14ac:dyDescent="0.45">
      <c r="A123" t="s">
        <v>256</v>
      </c>
      <c r="B123">
        <f>LN(housing_approvals!B123)</f>
        <v>12.558066650950366</v>
      </c>
      <c r="C123" s="2">
        <v>123456789</v>
      </c>
      <c r="D123" s="2">
        <v>123456789</v>
      </c>
    </row>
    <row r="124" spans="1:4" x14ac:dyDescent="0.45">
      <c r="A124" t="s">
        <v>257</v>
      </c>
      <c r="B124">
        <f>LN(housing_approvals!B124)</f>
        <v>12.513902873811569</v>
      </c>
      <c r="C124" s="2">
        <v>123456789</v>
      </c>
      <c r="D124" s="2">
        <v>123456789</v>
      </c>
    </row>
    <row r="125" spans="1:4" x14ac:dyDescent="0.45">
      <c r="A125" t="s">
        <v>258</v>
      </c>
      <c r="B125">
        <f>LN(housing_approvals!B125)</f>
        <v>12.579744323140494</v>
      </c>
      <c r="C125" s="2">
        <v>123456789</v>
      </c>
      <c r="D125" s="2">
        <v>123456789</v>
      </c>
    </row>
    <row r="126" spans="1:4" x14ac:dyDescent="0.45">
      <c r="A126" t="s">
        <v>259</v>
      </c>
      <c r="B126">
        <f>LN(housing_approvals!B126)</f>
        <v>12.606585511504269</v>
      </c>
      <c r="C126" s="2">
        <v>123456789</v>
      </c>
      <c r="D126" s="2">
        <v>123456789</v>
      </c>
    </row>
    <row r="127" spans="1:4" x14ac:dyDescent="0.45">
      <c r="A127" t="s">
        <v>260</v>
      </c>
      <c r="B127">
        <f>LN(housing_approvals!B127)</f>
        <v>12.67695089218657</v>
      </c>
      <c r="C127" s="2">
        <v>123456789</v>
      </c>
      <c r="D127" s="2">
        <v>123456789</v>
      </c>
    </row>
    <row r="128" spans="1:4" x14ac:dyDescent="0.45">
      <c r="A128" t="s">
        <v>261</v>
      </c>
      <c r="B128">
        <f>LN(housing_approvals!B128)</f>
        <v>12.702413875095191</v>
      </c>
      <c r="C128" s="2">
        <v>123456789</v>
      </c>
      <c r="D128" s="2">
        <v>123456789</v>
      </c>
    </row>
    <row r="129" spans="1:4" x14ac:dyDescent="0.45">
      <c r="A129" t="s">
        <v>262</v>
      </c>
      <c r="B129">
        <f>LN(housing_approvals!B129)</f>
        <v>12.641355422047519</v>
      </c>
      <c r="C129" s="2">
        <v>123456789</v>
      </c>
      <c r="D129" s="2">
        <v>123456789</v>
      </c>
    </row>
    <row r="130" spans="1:4" x14ac:dyDescent="0.45">
      <c r="A130" t="s">
        <v>263</v>
      </c>
      <c r="B130">
        <f>LN(housing_approvals!B130)</f>
        <v>12.819001686362613</v>
      </c>
      <c r="C130" s="2">
        <v>123456789</v>
      </c>
      <c r="D130" s="2">
        <v>123456789</v>
      </c>
    </row>
    <row r="131" spans="1:4" x14ac:dyDescent="0.45">
      <c r="A131" t="s">
        <v>264</v>
      </c>
      <c r="B131">
        <f>LN(housing_approvals!B131)</f>
        <v>12.785824338551896</v>
      </c>
      <c r="C131" s="2">
        <v>123456789</v>
      </c>
      <c r="D131" s="2">
        <v>123456789</v>
      </c>
    </row>
    <row r="132" spans="1:4" x14ac:dyDescent="0.45">
      <c r="A132" t="s">
        <v>265</v>
      </c>
      <c r="B132">
        <f>LN(housing_approvals!B132)</f>
        <v>12.74592294833678</v>
      </c>
      <c r="C132" s="2">
        <v>123456789</v>
      </c>
      <c r="D132" s="2">
        <v>123456789</v>
      </c>
    </row>
    <row r="133" spans="1:4" x14ac:dyDescent="0.45">
      <c r="A133" t="s">
        <v>266</v>
      </c>
      <c r="B133">
        <f>LN(housing_approvals!B133)</f>
        <v>12.772490958028033</v>
      </c>
      <c r="C133" s="2">
        <v>123456789</v>
      </c>
      <c r="D133" s="2">
        <v>123456789</v>
      </c>
    </row>
    <row r="134" spans="1:4" x14ac:dyDescent="0.45">
      <c r="A134" t="s">
        <v>267</v>
      </c>
      <c r="B134">
        <f>LN(housing_approvals!B134)</f>
        <v>12.62599606009903</v>
      </c>
      <c r="C134" s="2">
        <v>123456789</v>
      </c>
      <c r="D134" s="2">
        <v>123456789</v>
      </c>
    </row>
    <row r="135" spans="1:4" x14ac:dyDescent="0.45">
      <c r="A135" t="s">
        <v>268</v>
      </c>
      <c r="B135">
        <f>LN(housing_approvals!B135)</f>
        <v>12.634948243847957</v>
      </c>
      <c r="C135" s="2">
        <v>123456789</v>
      </c>
      <c r="D135" s="2">
        <v>123456789</v>
      </c>
    </row>
    <row r="136" spans="1:4" x14ac:dyDescent="0.45">
      <c r="A136" t="s">
        <v>269</v>
      </c>
      <c r="B136">
        <f>LN(housing_approvals!B136)</f>
        <v>12.811134235976475</v>
      </c>
      <c r="C136" s="2">
        <v>123456789</v>
      </c>
      <c r="D136" s="2">
        <v>123456789</v>
      </c>
    </row>
    <row r="137" spans="1:4" x14ac:dyDescent="0.45">
      <c r="A137" t="s">
        <v>270</v>
      </c>
      <c r="B137">
        <f>LN(housing_approvals!B137)</f>
        <v>12.882274562638917</v>
      </c>
      <c r="C137" s="2">
        <v>123456789</v>
      </c>
      <c r="D137" s="2">
        <v>123456789</v>
      </c>
    </row>
    <row r="138" spans="1:4" x14ac:dyDescent="0.45">
      <c r="A138" t="s">
        <v>271</v>
      </c>
      <c r="B138">
        <f>LN(housing_approvals!B138)</f>
        <v>12.841415909840663</v>
      </c>
      <c r="C138" s="2">
        <v>123456789</v>
      </c>
      <c r="D138" s="2">
        <v>123456789</v>
      </c>
    </row>
    <row r="139" spans="1:4" x14ac:dyDescent="0.45">
      <c r="A139" t="s">
        <v>272</v>
      </c>
      <c r="B139">
        <f>LN(housing_approvals!B139)</f>
        <v>12.773313573765391</v>
      </c>
      <c r="C139" s="2">
        <v>123456789</v>
      </c>
      <c r="D139" s="2">
        <v>123456789</v>
      </c>
    </row>
    <row r="140" spans="1:4" x14ac:dyDescent="0.45">
      <c r="A140" t="s">
        <v>273</v>
      </c>
      <c r="B140">
        <f>LN(housing_approvals!B140)</f>
        <v>12.53793785752033</v>
      </c>
      <c r="C140" s="2">
        <v>123456789</v>
      </c>
      <c r="D140" s="2">
        <v>123456789</v>
      </c>
    </row>
    <row r="141" spans="1:4" x14ac:dyDescent="0.45">
      <c r="A141" t="s">
        <v>274</v>
      </c>
      <c r="B141">
        <f>LN(housing_approvals!B141)</f>
        <v>12.401992984986943</v>
      </c>
      <c r="C141" s="2">
        <v>123456789</v>
      </c>
      <c r="D141" s="2">
        <v>123456789</v>
      </c>
    </row>
    <row r="142" spans="1:4" x14ac:dyDescent="0.45">
      <c r="A142" t="s">
        <v>275</v>
      </c>
      <c r="B142">
        <f>LN(housing_approvals!B142)</f>
        <v>12.466970450656191</v>
      </c>
      <c r="C142" s="2">
        <v>123456789</v>
      </c>
      <c r="D142" s="2">
        <v>123456789</v>
      </c>
    </row>
    <row r="143" spans="1:4" x14ac:dyDescent="0.45">
      <c r="A143" t="s">
        <v>276</v>
      </c>
      <c r="B143">
        <f>LN(housing_approvals!B143)</f>
        <v>12.569325904829029</v>
      </c>
      <c r="C143" s="2">
        <v>123456789</v>
      </c>
      <c r="D143" s="2">
        <v>123456789</v>
      </c>
    </row>
    <row r="144" spans="1:4" x14ac:dyDescent="0.45">
      <c r="A144" t="s">
        <v>277</v>
      </c>
      <c r="B144">
        <f>LN(housing_approvals!B144)</f>
        <v>12.629358025208255</v>
      </c>
      <c r="C144" s="2">
        <v>123456789</v>
      </c>
      <c r="D144" s="2">
        <v>123456789</v>
      </c>
    </row>
    <row r="145" spans="1:4" x14ac:dyDescent="0.45">
      <c r="A145" t="s">
        <v>278</v>
      </c>
      <c r="B145">
        <f>LN(housing_approvals!B145)</f>
        <v>12.750516780919789</v>
      </c>
      <c r="C145" s="2">
        <v>123456789</v>
      </c>
      <c r="D145" s="2">
        <v>123456789</v>
      </c>
    </row>
    <row r="146" spans="1:4" x14ac:dyDescent="0.45">
      <c r="A146" t="s">
        <v>279</v>
      </c>
      <c r="B146">
        <f>LN(housing_approvals!B146)</f>
        <v>12.769418610553695</v>
      </c>
      <c r="C146" s="2">
        <v>123456789</v>
      </c>
      <c r="D146" s="2">
        <v>123456789</v>
      </c>
    </row>
    <row r="147" spans="1:4" x14ac:dyDescent="0.45">
      <c r="A147" t="s">
        <v>280</v>
      </c>
      <c r="B147">
        <f>LN(housing_approvals!B147)</f>
        <v>12.750313702835568</v>
      </c>
      <c r="C147" s="2">
        <v>123456789</v>
      </c>
      <c r="D147" s="2">
        <v>123456789</v>
      </c>
    </row>
    <row r="148" spans="1:4" x14ac:dyDescent="0.45">
      <c r="A148" t="s">
        <v>281</v>
      </c>
      <c r="B148">
        <f>LN(housing_approvals!B148)</f>
        <v>12.792141168604923</v>
      </c>
      <c r="C148" s="2">
        <v>123456789</v>
      </c>
      <c r="D148" s="2">
        <v>123456789</v>
      </c>
    </row>
    <row r="149" spans="1:4" x14ac:dyDescent="0.45">
      <c r="A149" t="s">
        <v>282</v>
      </c>
      <c r="B149">
        <f>LN(housing_approvals!B149)</f>
        <v>12.830483171776745</v>
      </c>
      <c r="C149" s="2">
        <v>123456789</v>
      </c>
      <c r="D149" s="2">
        <v>123456789</v>
      </c>
    </row>
    <row r="150" spans="1:4" x14ac:dyDescent="0.45">
      <c r="A150" t="s">
        <v>283</v>
      </c>
      <c r="B150">
        <f>LN(housing_approvals!B150)</f>
        <v>12.771892008584452</v>
      </c>
      <c r="C150" s="2">
        <v>123456789</v>
      </c>
      <c r="D150" s="2">
        <v>123456789</v>
      </c>
    </row>
    <row r="151" spans="1:4" x14ac:dyDescent="0.45">
      <c r="A151" t="s">
        <v>284</v>
      </c>
      <c r="B151">
        <f>LN(housing_approvals!B151)</f>
        <v>12.730289209113732</v>
      </c>
      <c r="C151" s="2">
        <v>123456789</v>
      </c>
      <c r="D151" s="2">
        <v>123456789</v>
      </c>
    </row>
    <row r="152" spans="1:4" x14ac:dyDescent="0.45">
      <c r="A152" t="s">
        <v>285</v>
      </c>
      <c r="B152">
        <f>LN(housing_approvals!B152)</f>
        <v>12.675532376890267</v>
      </c>
      <c r="C152" s="2">
        <v>123456789</v>
      </c>
      <c r="D152" s="2">
        <v>123456789</v>
      </c>
    </row>
    <row r="153" spans="1:4" x14ac:dyDescent="0.45">
      <c r="A153" t="s">
        <v>286</v>
      </c>
      <c r="B153">
        <f>LN(housing_approvals!B153)</f>
        <v>12.388381702246003</v>
      </c>
      <c r="C153" s="2">
        <v>123456789</v>
      </c>
      <c r="D153" s="2">
        <v>123456789</v>
      </c>
    </row>
    <row r="154" spans="1:4" x14ac:dyDescent="0.45">
      <c r="A154" t="s">
        <v>287</v>
      </c>
      <c r="B154">
        <f>LN(housing_approvals!B154)</f>
        <v>12.22043895415932</v>
      </c>
      <c r="C154" s="2">
        <v>123456789</v>
      </c>
      <c r="D154" s="2">
        <v>123456789</v>
      </c>
    </row>
    <row r="155" spans="1:4" x14ac:dyDescent="0.45">
      <c r="A155" t="s">
        <v>288</v>
      </c>
      <c r="B155">
        <f>LN(housing_approvals!B155)</f>
        <v>11.798194628697718</v>
      </c>
      <c r="C155" s="2">
        <v>123456789</v>
      </c>
      <c r="D155" s="2">
        <v>123456789</v>
      </c>
    </row>
    <row r="156" spans="1:4" x14ac:dyDescent="0.45">
      <c r="A156" t="s">
        <v>289</v>
      </c>
      <c r="B156">
        <f>LN(housing_approvals!B156)</f>
        <v>11.492365551004868</v>
      </c>
      <c r="C156" s="2">
        <v>123456789</v>
      </c>
      <c r="D156" s="2">
        <v>123456789</v>
      </c>
    </row>
    <row r="157" spans="1:4" x14ac:dyDescent="0.45">
      <c r="A157" t="s">
        <v>290</v>
      </c>
      <c r="B157">
        <f>LN(housing_approvals!B157)</f>
        <v>11.403032470911105</v>
      </c>
      <c r="C157" s="2">
        <v>123456789</v>
      </c>
      <c r="D157" s="2">
        <v>123456789</v>
      </c>
    </row>
    <row r="158" spans="1:4" x14ac:dyDescent="0.45">
      <c r="A158" t="s">
        <v>291</v>
      </c>
      <c r="B158">
        <f>LN(housing_approvals!B158)</f>
        <v>11.655405449250944</v>
      </c>
      <c r="C158" s="2">
        <v>123456789</v>
      </c>
      <c r="D158" s="2">
        <v>123456789</v>
      </c>
    </row>
    <row r="159" spans="1:4" x14ac:dyDescent="0.45">
      <c r="A159" t="s">
        <v>292</v>
      </c>
      <c r="B159">
        <f>LN(housing_approvals!B159)</f>
        <v>11.874313285837465</v>
      </c>
      <c r="C159" s="2">
        <v>123456789</v>
      </c>
      <c r="D159" s="2">
        <v>123456789</v>
      </c>
    </row>
    <row r="160" spans="1:4" x14ac:dyDescent="0.45">
      <c r="A160" t="s">
        <v>293</v>
      </c>
      <c r="B160">
        <f>LN(housing_approvals!B160)</f>
        <v>11.99291655309275</v>
      </c>
      <c r="C160" s="2">
        <v>123456789</v>
      </c>
      <c r="D160" s="2">
        <v>123456789</v>
      </c>
    </row>
    <row r="161" spans="1:4" x14ac:dyDescent="0.45">
      <c r="A161" t="s">
        <v>294</v>
      </c>
      <c r="B161">
        <f>LN(housing_approvals!B161)</f>
        <v>12.050681196266783</v>
      </c>
      <c r="C161" s="2">
        <v>123456789</v>
      </c>
      <c r="D161" s="2">
        <v>123456789</v>
      </c>
    </row>
    <row r="162" spans="1:4" x14ac:dyDescent="0.45">
      <c r="A162" t="s">
        <v>295</v>
      </c>
      <c r="B162">
        <f>LN(housing_approvals!B162)</f>
        <v>11.874584965340917</v>
      </c>
      <c r="C162" s="2">
        <v>123456789</v>
      </c>
      <c r="D162" s="2">
        <v>123456789</v>
      </c>
    </row>
    <row r="163" spans="1:4" x14ac:dyDescent="0.45">
      <c r="A163" t="s">
        <v>296</v>
      </c>
      <c r="B163">
        <f>LN(housing_approvals!B163)</f>
        <v>11.916568914866124</v>
      </c>
      <c r="C163" s="2">
        <v>123456789</v>
      </c>
      <c r="D163" s="2">
        <v>123456789</v>
      </c>
    </row>
    <row r="164" spans="1:4" x14ac:dyDescent="0.45">
      <c r="A164" t="s">
        <v>297</v>
      </c>
      <c r="B164">
        <f>LN(housing_approvals!B164)</f>
        <v>11.869095281353514</v>
      </c>
      <c r="C164" s="2">
        <v>123456789</v>
      </c>
      <c r="D164" s="2">
        <v>123456789</v>
      </c>
    </row>
    <row r="165" spans="1:4" x14ac:dyDescent="0.45">
      <c r="A165" t="s">
        <v>298</v>
      </c>
      <c r="B165">
        <f>LN(housing_approvals!B165)</f>
        <v>11.811087431002379</v>
      </c>
      <c r="C165" s="2">
        <v>123456789</v>
      </c>
      <c r="D165" s="2">
        <v>123456789</v>
      </c>
    </row>
    <row r="166" spans="1:4" x14ac:dyDescent="0.45">
      <c r="A166" t="s">
        <v>299</v>
      </c>
      <c r="B166">
        <f>LN(housing_approvals!B166)</f>
        <v>11.840371372288757</v>
      </c>
      <c r="C166" s="2">
        <v>123456789</v>
      </c>
      <c r="D166" s="2">
        <v>123456789</v>
      </c>
    </row>
    <row r="167" spans="1:4" x14ac:dyDescent="0.45">
      <c r="A167" t="s">
        <v>300</v>
      </c>
      <c r="B167">
        <f>LN(housing_approvals!B167)</f>
        <v>11.867195519479093</v>
      </c>
      <c r="C167" s="2">
        <v>123456789</v>
      </c>
      <c r="D167" s="2">
        <v>123456789</v>
      </c>
    </row>
    <row r="168" spans="1:4" x14ac:dyDescent="0.45">
      <c r="A168" t="s">
        <v>301</v>
      </c>
      <c r="B168">
        <f>LN(housing_approvals!B168)</f>
        <v>11.949223644000789</v>
      </c>
      <c r="C168" s="2">
        <v>123456789</v>
      </c>
      <c r="D168" s="2">
        <v>123456789</v>
      </c>
    </row>
    <row r="169" spans="1:4" x14ac:dyDescent="0.45">
      <c r="A169" t="s">
        <v>302</v>
      </c>
      <c r="B169">
        <f>LN(housing_approvals!B169)</f>
        <v>11.95432383720563</v>
      </c>
      <c r="C169" s="2">
        <v>123456789</v>
      </c>
      <c r="D169" s="2">
        <v>123456789</v>
      </c>
    </row>
    <row r="170" spans="1:4" x14ac:dyDescent="0.45">
      <c r="A170" t="s">
        <v>303</v>
      </c>
      <c r="B170">
        <f>LN(housing_approvals!B170)</f>
        <v>11.965382295623904</v>
      </c>
      <c r="C170" s="2">
        <v>123456789</v>
      </c>
      <c r="D170" s="2">
        <v>123456789</v>
      </c>
    </row>
    <row r="171" spans="1:4" x14ac:dyDescent="0.45">
      <c r="A171" t="s">
        <v>304</v>
      </c>
      <c r="B171">
        <f>LN(housing_approvals!B171)</f>
        <v>11.912298722041978</v>
      </c>
      <c r="C171" s="2">
        <v>123456789</v>
      </c>
      <c r="D171" s="2">
        <v>123456789</v>
      </c>
    </row>
    <row r="172" spans="1:4" x14ac:dyDescent="0.45">
      <c r="A172" t="s">
        <v>305</v>
      </c>
      <c r="B172">
        <f>LN(housing_approvals!B172)</f>
        <v>11.889256947103275</v>
      </c>
      <c r="C172" s="2">
        <v>123456789</v>
      </c>
      <c r="D172" s="2">
        <v>123456789</v>
      </c>
    </row>
    <row r="173" spans="1:4" x14ac:dyDescent="0.45">
      <c r="A173" t="s">
        <v>306</v>
      </c>
      <c r="B173">
        <f>LN(housing_approvals!B173)</f>
        <v>11.982504003877867</v>
      </c>
      <c r="C173" s="2">
        <v>123456789</v>
      </c>
      <c r="D173" s="2">
        <v>123456789</v>
      </c>
    </row>
    <row r="174" spans="1:4" x14ac:dyDescent="0.45">
      <c r="A174" t="s">
        <v>307</v>
      </c>
      <c r="B174">
        <f>LN(housing_approvals!B174)</f>
        <v>11.978795562934357</v>
      </c>
      <c r="C174" s="2">
        <v>123456789</v>
      </c>
      <c r="D174" s="2">
        <v>123456789</v>
      </c>
    </row>
    <row r="175" spans="1:4" x14ac:dyDescent="0.45">
      <c r="A175" t="s">
        <v>308</v>
      </c>
      <c r="B175">
        <f>LN(housing_approvals!B175)</f>
        <v>12.066937006985819</v>
      </c>
      <c r="C175" s="2">
        <v>123456789</v>
      </c>
      <c r="D175" s="2">
        <v>123456789</v>
      </c>
    </row>
    <row r="176" spans="1:4" x14ac:dyDescent="0.45">
      <c r="A176" t="s">
        <v>309</v>
      </c>
      <c r="B176">
        <f>LN(housing_approvals!B176)</f>
        <v>12.158844760367133</v>
      </c>
      <c r="C176" s="2">
        <v>123456789</v>
      </c>
      <c r="D176" s="2">
        <v>123456789</v>
      </c>
    </row>
    <row r="177" spans="1:4" x14ac:dyDescent="0.45">
      <c r="A177" t="s">
        <v>310</v>
      </c>
      <c r="B177">
        <f>LN(housing_approvals!B177)</f>
        <v>12.259096691303094</v>
      </c>
      <c r="C177" s="2">
        <v>123456789</v>
      </c>
      <c r="D177" s="2">
        <v>123456789</v>
      </c>
    </row>
    <row r="178" spans="1:4" x14ac:dyDescent="0.45">
      <c r="A178" t="s">
        <v>311</v>
      </c>
      <c r="B178">
        <f>LN(housing_approvals!B178)</f>
        <v>12.26589694717584</v>
      </c>
      <c r="C178" s="2">
        <v>123456789</v>
      </c>
      <c r="D178" s="2">
        <v>123456789</v>
      </c>
    </row>
    <row r="179" spans="1:4" x14ac:dyDescent="0.45">
      <c r="A179" t="s">
        <v>312</v>
      </c>
      <c r="B179">
        <f>LN(housing_approvals!B179)</f>
        <v>12.181523772608761</v>
      </c>
      <c r="C179" s="2">
        <v>123456789</v>
      </c>
      <c r="D179" s="2">
        <v>123456789</v>
      </c>
    </row>
    <row r="180" spans="1:4" x14ac:dyDescent="0.45">
      <c r="A180" t="s">
        <v>313</v>
      </c>
      <c r="B180">
        <f>LN(housing_approvals!B180)</f>
        <v>12.177240978861471</v>
      </c>
      <c r="C180" s="2">
        <v>123456789</v>
      </c>
      <c r="D180" s="2">
        <v>123456789</v>
      </c>
    </row>
    <row r="181" spans="1:4" x14ac:dyDescent="0.45">
      <c r="A181" t="s">
        <v>314</v>
      </c>
      <c r="B181">
        <f>LN(housing_approvals!B181)</f>
        <v>12.101595073296389</v>
      </c>
      <c r="C181" s="2">
        <v>123456789</v>
      </c>
      <c r="D181" s="2">
        <v>123456789</v>
      </c>
    </row>
    <row r="182" spans="1:4" x14ac:dyDescent="0.45">
      <c r="A182" t="s">
        <v>315</v>
      </c>
      <c r="B182">
        <f>LN(housing_approvals!B182)</f>
        <v>12.118164502930068</v>
      </c>
      <c r="C182" s="2">
        <v>123456789</v>
      </c>
      <c r="D182" s="2">
        <v>123456789</v>
      </c>
    </row>
    <row r="183" spans="1:4" x14ac:dyDescent="0.45">
      <c r="A183" t="s">
        <v>316</v>
      </c>
      <c r="B183">
        <f>LN(housing_approvals!B183)</f>
        <v>12.218574174753099</v>
      </c>
      <c r="C183" s="2">
        <v>123456789</v>
      </c>
      <c r="D183" s="2">
        <v>123456789</v>
      </c>
    </row>
    <row r="184" spans="1:4" x14ac:dyDescent="0.45">
      <c r="A184" t="s">
        <v>317</v>
      </c>
      <c r="B184">
        <f>LN(housing_approvals!B184)</f>
        <v>12.274749467078605</v>
      </c>
      <c r="C184" s="2">
        <v>123456789</v>
      </c>
      <c r="D184" s="2">
        <v>123456789</v>
      </c>
    </row>
    <row r="185" spans="1:4" x14ac:dyDescent="0.45">
      <c r="A185" t="s">
        <v>318</v>
      </c>
      <c r="B185">
        <f>LN(housing_approvals!B185)</f>
        <v>12.2635771105986</v>
      </c>
      <c r="C185" s="2">
        <v>123456789</v>
      </c>
      <c r="D185" s="2">
        <v>123456789</v>
      </c>
    </row>
    <row r="186" spans="1:4" x14ac:dyDescent="0.45">
      <c r="A186" t="s">
        <v>319</v>
      </c>
      <c r="B186">
        <f>LN(housing_approvals!B186)</f>
        <v>12.278579336316922</v>
      </c>
      <c r="C186" s="2">
        <v>123456789</v>
      </c>
      <c r="D186" s="2">
        <v>123456789</v>
      </c>
    </row>
    <row r="187" spans="1:4" x14ac:dyDescent="0.45">
      <c r="A187" t="s">
        <v>320</v>
      </c>
      <c r="B187">
        <f>LN(housing_approvals!B187)</f>
        <v>12.216883991741824</v>
      </c>
      <c r="C187" s="2">
        <v>123456789</v>
      </c>
      <c r="D187" s="2">
        <v>123456789</v>
      </c>
    </row>
    <row r="188" spans="1:4" x14ac:dyDescent="0.45">
      <c r="A188" t="s">
        <v>321</v>
      </c>
      <c r="B188">
        <f>LN(housing_approvals!B188)</f>
        <v>12.145770471721791</v>
      </c>
      <c r="C188" s="2">
        <v>123456789</v>
      </c>
      <c r="D188" s="2">
        <v>123456789</v>
      </c>
    </row>
    <row r="189" spans="1:4" x14ac:dyDescent="0.45">
      <c r="A189" t="s">
        <v>322</v>
      </c>
      <c r="B189">
        <f>LN(housing_approvals!B189)</f>
        <v>12.229041822638903</v>
      </c>
      <c r="C189" s="2">
        <v>123456789</v>
      </c>
      <c r="D189" s="2">
        <v>123456789</v>
      </c>
    </row>
    <row r="190" spans="1:4" x14ac:dyDescent="0.45">
      <c r="A190" t="s">
        <v>323</v>
      </c>
      <c r="B190">
        <f>LN(housing_approvals!B190)</f>
        <v>12.226429041037058</v>
      </c>
      <c r="C190" s="2">
        <v>123456789</v>
      </c>
      <c r="D190" s="2">
        <v>123456789</v>
      </c>
    </row>
    <row r="191" spans="1:4" x14ac:dyDescent="0.45">
      <c r="A191" t="s">
        <v>324</v>
      </c>
      <c r="B191">
        <f>LN(housing_approvals!B191)</f>
        <v>12.198745870143712</v>
      </c>
      <c r="C191" s="2">
        <v>123456789</v>
      </c>
      <c r="D191" s="2">
        <v>123456789</v>
      </c>
    </row>
    <row r="192" spans="1:4" x14ac:dyDescent="0.45">
      <c r="A192" t="s">
        <v>325</v>
      </c>
      <c r="B192">
        <f>LN(housing_approvals!B192)</f>
        <v>12.215027431487981</v>
      </c>
      <c r="C192" s="2">
        <v>123456789</v>
      </c>
      <c r="D192" s="2">
        <v>123456789</v>
      </c>
    </row>
    <row r="193" spans="1:4" x14ac:dyDescent="0.45">
      <c r="A193" t="s">
        <v>326</v>
      </c>
      <c r="B193">
        <f>LN(housing_approvals!B193)</f>
        <v>12.171217190757702</v>
      </c>
      <c r="C193" s="2">
        <v>123456789</v>
      </c>
      <c r="D193" s="2">
        <v>123456789</v>
      </c>
    </row>
    <row r="194" spans="1:4" x14ac:dyDescent="0.45">
      <c r="A194" t="s">
        <v>327</v>
      </c>
      <c r="B194">
        <f>LN(housing_approvals!B194)</f>
        <v>12.164531642585301</v>
      </c>
      <c r="C194" s="2">
        <v>123456789</v>
      </c>
      <c r="D194" s="2">
        <v>123456789</v>
      </c>
    </row>
    <row r="195" spans="1:4" x14ac:dyDescent="0.45">
      <c r="A195" t="s">
        <v>328</v>
      </c>
      <c r="B195">
        <f>LN(housing_approvals!B195)</f>
        <v>12.177431372230181</v>
      </c>
      <c r="C195" s="2">
        <v>123456789</v>
      </c>
      <c r="D195" s="2">
        <v>123456789</v>
      </c>
    </row>
    <row r="196" spans="1:4" x14ac:dyDescent="0.45">
      <c r="A196" t="s">
        <v>329</v>
      </c>
      <c r="B196">
        <f>LN(housing_approvals!B196)</f>
        <v>12.194106333952728</v>
      </c>
      <c r="C196" s="2">
        <v>123456789</v>
      </c>
      <c r="D196" s="2">
        <v>123456789</v>
      </c>
    </row>
    <row r="197" spans="1:4" x14ac:dyDescent="0.45">
      <c r="A197" t="s">
        <v>330</v>
      </c>
      <c r="B197">
        <f>LN(housing_approvals!B197)</f>
        <v>12.193412847383383</v>
      </c>
      <c r="C197" s="2">
        <v>123456789</v>
      </c>
      <c r="D197" s="2">
        <v>123456789</v>
      </c>
    </row>
    <row r="198" spans="1:4" x14ac:dyDescent="0.45">
      <c r="A198" t="s">
        <v>331</v>
      </c>
      <c r="B198">
        <f>LN(housing_approvals!B198)</f>
        <v>12.162021484525997</v>
      </c>
      <c r="C198" s="2">
        <v>123456789</v>
      </c>
      <c r="D198" s="2">
        <v>123456789</v>
      </c>
    </row>
    <row r="199" spans="1:4" x14ac:dyDescent="0.45">
      <c r="A199" t="s">
        <v>332</v>
      </c>
      <c r="B199">
        <f>LN(housing_approvals!B199)</f>
        <v>12.196507040660473</v>
      </c>
      <c r="C199" s="2">
        <v>123456789</v>
      </c>
      <c r="D199" s="2">
        <v>123456789</v>
      </c>
    </row>
    <row r="200" spans="1:4" x14ac:dyDescent="0.45">
      <c r="A200" t="s">
        <v>333</v>
      </c>
      <c r="B200">
        <f>LN(housing_approvals!B200)</f>
        <v>12.203975447947847</v>
      </c>
      <c r="C200" s="2">
        <v>123456789</v>
      </c>
      <c r="D200" s="2">
        <v>123456789</v>
      </c>
    </row>
    <row r="201" spans="1:4" x14ac:dyDescent="0.45">
      <c r="A201" t="s">
        <v>334</v>
      </c>
      <c r="B201">
        <f>LN(housing_approvals!B201)</f>
        <v>12.207801150803844</v>
      </c>
      <c r="C201" s="2">
        <v>123456789</v>
      </c>
      <c r="D201" s="2">
        <v>123456789</v>
      </c>
    </row>
    <row r="202" spans="1:4" x14ac:dyDescent="0.45">
      <c r="A202" t="s">
        <v>335</v>
      </c>
      <c r="B202">
        <f>LN(housing_approvals!B202)</f>
        <v>12.191811436177904</v>
      </c>
      <c r="C202" s="2">
        <v>123456789</v>
      </c>
      <c r="D202" s="2">
        <v>123456789</v>
      </c>
    </row>
    <row r="203" spans="1:4" x14ac:dyDescent="0.45">
      <c r="A203" t="s">
        <v>336</v>
      </c>
      <c r="B203">
        <f>LN(housing_approvals!B203)</f>
        <v>11.092001481799519</v>
      </c>
      <c r="C203" s="2">
        <v>123456789</v>
      </c>
      <c r="D203" s="2">
        <v>123456789</v>
      </c>
    </row>
    <row r="204" spans="1:4" x14ac:dyDescent="0.45">
      <c r="A204" t="s">
        <v>337</v>
      </c>
      <c r="B204">
        <f>LN(housing_approvals!B204)</f>
        <v>12.407359060489075</v>
      </c>
      <c r="C204" s="2">
        <v>123456789</v>
      </c>
      <c r="D204" s="2">
        <v>123456789</v>
      </c>
    </row>
    <row r="205" spans="1:4" x14ac:dyDescent="0.45">
      <c r="A205" t="s">
        <v>338</v>
      </c>
      <c r="B205">
        <f>LN(housing_approvals!B205)</f>
        <v>12.649189929587761</v>
      </c>
      <c r="C205" s="2">
        <v>123456789</v>
      </c>
      <c r="D205" s="2">
        <v>123456789</v>
      </c>
    </row>
    <row r="206" spans="1:4" x14ac:dyDescent="0.45">
      <c r="A206" t="s">
        <v>339</v>
      </c>
      <c r="B206">
        <f>LN(housing_approvals!B206)</f>
        <v>12.477358532170397</v>
      </c>
      <c r="C206" s="2">
        <v>123456789</v>
      </c>
      <c r="D206" s="2">
        <v>123456789</v>
      </c>
    </row>
    <row r="207" spans="1:4" x14ac:dyDescent="0.45">
      <c r="A207" t="s">
        <v>340</v>
      </c>
      <c r="B207">
        <f>LN(housing_approvals!B207)</f>
        <v>12.432909368682001</v>
      </c>
      <c r="C207" s="2">
        <v>123456789</v>
      </c>
      <c r="D207" s="2">
        <v>123456789</v>
      </c>
    </row>
    <row r="208" spans="1:4" x14ac:dyDescent="0.45">
      <c r="A208" t="s">
        <v>341</v>
      </c>
      <c r="B208">
        <f>LN(housing_approvals!B208)</f>
        <v>12.274361936228868</v>
      </c>
      <c r="C208" s="2">
        <v>123456789</v>
      </c>
      <c r="D208" s="2">
        <v>123456789</v>
      </c>
    </row>
    <row r="209" spans="1:4" x14ac:dyDescent="0.45">
      <c r="A209" t="s">
        <v>342</v>
      </c>
      <c r="B209">
        <f>LN(housing_approvals!B209)</f>
        <v>12.254719942351695</v>
      </c>
      <c r="C209" s="2">
        <v>123456789</v>
      </c>
      <c r="D209" s="2">
        <v>123456789</v>
      </c>
    </row>
    <row r="210" spans="1:4" x14ac:dyDescent="0.45">
      <c r="A210" t="s">
        <v>343</v>
      </c>
      <c r="B210">
        <f>LN(housing_approvals!B210)</f>
        <v>12.258342462963855</v>
      </c>
      <c r="C210" s="2">
        <v>123456789</v>
      </c>
      <c r="D210" s="2">
        <v>123456789</v>
      </c>
    </row>
    <row r="211" spans="1:4" x14ac:dyDescent="0.45">
      <c r="A211" t="s">
        <v>344</v>
      </c>
      <c r="B211">
        <f>LN(housing_approvals!B211)</f>
        <v>12.183755459379141</v>
      </c>
      <c r="C211" s="2">
        <v>123456789</v>
      </c>
      <c r="D211" s="2">
        <v>123456789</v>
      </c>
    </row>
    <row r="212" spans="1:4" x14ac:dyDescent="0.45">
      <c r="A212" t="s">
        <v>345</v>
      </c>
      <c r="B212">
        <f>LN(housing_approvals!B212)</f>
        <v>12.204541473884943</v>
      </c>
      <c r="C212" s="2">
        <v>123456789</v>
      </c>
      <c r="D212" s="2">
        <v>123456789</v>
      </c>
    </row>
    <row r="213" spans="1:4" x14ac:dyDescent="0.45">
      <c r="A213" t="s">
        <v>346</v>
      </c>
      <c r="B213">
        <f>LN(housing_approvals!B213)</f>
        <v>11.888577205104408</v>
      </c>
      <c r="C213" s="2">
        <v>123456789</v>
      </c>
      <c r="D213" s="2">
        <v>123456789</v>
      </c>
    </row>
    <row r="214" spans="1:4" x14ac:dyDescent="0.45">
      <c r="A214" t="s">
        <v>347</v>
      </c>
      <c r="B214">
        <f>LN(housing_approvals!B214)</f>
        <v>11.802605540084683</v>
      </c>
      <c r="C214" s="2">
        <v>123456789</v>
      </c>
      <c r="D214" s="2">
        <v>123456789</v>
      </c>
    </row>
    <row r="215" spans="1:4" x14ac:dyDescent="0.45">
      <c r="A215" t="s">
        <v>348</v>
      </c>
      <c r="B215">
        <f>LN(housing_approvals!B215)</f>
        <v>11.949966756513136</v>
      </c>
      <c r="C215" s="2">
        <v>123456789</v>
      </c>
      <c r="D215" s="2">
        <v>123456789</v>
      </c>
    </row>
    <row r="216" spans="1:4" x14ac:dyDescent="0.45">
      <c r="A216" t="s">
        <v>349</v>
      </c>
      <c r="B216">
        <f>LN(housing_approvals!B216)</f>
        <v>11.838069493329613</v>
      </c>
      <c r="C216" s="2">
        <v>123456789</v>
      </c>
      <c r="D216" s="2">
        <v>123456789</v>
      </c>
    </row>
    <row r="217" spans="1:4" x14ac:dyDescent="0.45">
      <c r="A217" t="s">
        <v>350</v>
      </c>
      <c r="B217">
        <f>LN(housing_approvals!B217)</f>
        <v>11.91948330915813</v>
      </c>
      <c r="C217" s="2">
        <v>123456789</v>
      </c>
      <c r="D217" s="2">
        <v>123456789</v>
      </c>
    </row>
    <row r="218" spans="1:4" x14ac:dyDescent="0.45">
      <c r="A218" t="s">
        <v>351</v>
      </c>
      <c r="B218">
        <f>LN(housing_approvals!B218)</f>
        <v>12.084424650531544</v>
      </c>
      <c r="C218" s="2">
        <v>123456789</v>
      </c>
      <c r="D218" s="2">
        <v>123456789</v>
      </c>
    </row>
    <row r="219" spans="1:4" x14ac:dyDescent="0.45">
      <c r="A219" t="s">
        <v>352</v>
      </c>
      <c r="B219">
        <f>LN(housing_approvals!B219)</f>
        <v>12.123923971866134</v>
      </c>
      <c r="C219" s="2">
        <v>123456789</v>
      </c>
      <c r="D219" s="2">
        <v>123456789</v>
      </c>
    </row>
    <row r="220" spans="1:4" x14ac:dyDescent="0.45">
      <c r="A220" t="s">
        <v>353</v>
      </c>
      <c r="B220">
        <f>LN(housing_approvals!B220)</f>
        <v>12.1709997184069</v>
      </c>
      <c r="C220" s="2">
        <v>123456789</v>
      </c>
      <c r="D220" s="2">
        <v>123456789</v>
      </c>
    </row>
    <row r="221" spans="1:4" x14ac:dyDescent="0.45">
      <c r="A221" t="s">
        <v>354</v>
      </c>
      <c r="B221">
        <f>LN(housing_approvals!B221)</f>
        <v>12.206352606337489</v>
      </c>
      <c r="C221" s="2">
        <v>123456789</v>
      </c>
      <c r="D221" s="2">
        <v>123456789</v>
      </c>
    </row>
    <row r="222" spans="1:4" x14ac:dyDescent="0.45">
      <c r="A222" t="s">
        <v>355</v>
      </c>
      <c r="B222">
        <f>LN(housing_approvals!B222)</f>
        <v>12.180744581083029</v>
      </c>
      <c r="C222" s="2">
        <v>123456789</v>
      </c>
      <c r="D222" s="2">
        <v>123456789</v>
      </c>
    </row>
    <row r="223" spans="1:4" x14ac:dyDescent="0.45">
      <c r="A223" t="s">
        <v>356</v>
      </c>
      <c r="B223">
        <f>LN(housing_approvals!B223)</f>
        <v>12.148374674390656</v>
      </c>
      <c r="C223" s="2">
        <v>123456789</v>
      </c>
      <c r="D223" s="2">
        <v>123456789</v>
      </c>
    </row>
    <row r="224" spans="1:4" x14ac:dyDescent="0.45">
      <c r="A224" s="4" t="s">
        <v>357</v>
      </c>
      <c r="B224" s="4">
        <f>LN(housing_approvals!B224)</f>
        <v>12.148374674390656</v>
      </c>
      <c r="C224" s="2">
        <v>123456789</v>
      </c>
      <c r="D224" s="2">
        <v>123456789</v>
      </c>
    </row>
    <row r="225" spans="1:4" x14ac:dyDescent="0.45">
      <c r="A225" s="4" t="s">
        <v>438</v>
      </c>
      <c r="B225" s="4">
        <f>LN(housing_approvals!B225)</f>
        <v>12.148374674390656</v>
      </c>
      <c r="C225" s="2">
        <v>123456789</v>
      </c>
      <c r="D225" s="2">
        <v>123456789</v>
      </c>
    </row>
    <row r="226" spans="1:4" x14ac:dyDescent="0.45">
      <c r="A226" s="4" t="s">
        <v>441</v>
      </c>
      <c r="B226" s="4">
        <v>12.14837</v>
      </c>
      <c r="C226" s="2">
        <v>123456789</v>
      </c>
      <c r="D226" s="2">
        <v>123456789</v>
      </c>
    </row>
  </sheetData>
  <phoneticPr fontId="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7800-324C-4EAE-B6E7-9F9DD23DDBC4}">
  <sheetPr>
    <tabColor theme="9" tint="0.79998168889431442"/>
  </sheetPr>
  <dimension ref="A1:D226"/>
  <sheetViews>
    <sheetView topLeftCell="A213" workbookViewId="0">
      <selection activeCell="F232" sqref="F232"/>
    </sheetView>
  </sheetViews>
  <sheetFormatPr defaultRowHeight="14.25" x14ac:dyDescent="0.45"/>
  <sheetData>
    <row r="1" spans="1:4" x14ac:dyDescent="0.45">
      <c r="B1" t="s">
        <v>6</v>
      </c>
      <c r="C1" t="s">
        <v>133</v>
      </c>
      <c r="D1" t="s">
        <v>134</v>
      </c>
    </row>
    <row r="2" spans="1:4" x14ac:dyDescent="0.45">
      <c r="A2" t="s">
        <v>135</v>
      </c>
      <c r="B2">
        <f>spliced_housing_approvals!D2</f>
        <v>212424.40884033879</v>
      </c>
      <c r="C2" s="2">
        <v>123456789</v>
      </c>
      <c r="D2" s="2">
        <v>123456789</v>
      </c>
    </row>
    <row r="3" spans="1:4" x14ac:dyDescent="0.45">
      <c r="A3" t="s">
        <v>136</v>
      </c>
      <c r="B3">
        <f>spliced_housing_approvals!D3</f>
        <v>188184.35176923938</v>
      </c>
      <c r="C3" s="2">
        <v>123456789</v>
      </c>
      <c r="D3" s="2">
        <v>123456789</v>
      </c>
    </row>
    <row r="4" spans="1:4" x14ac:dyDescent="0.45">
      <c r="A4" t="s">
        <v>137</v>
      </c>
      <c r="B4">
        <f>spliced_housing_approvals!D4</f>
        <v>216287.50479854702</v>
      </c>
      <c r="C4" s="2">
        <v>123456789</v>
      </c>
      <c r="D4" s="2">
        <v>123456789</v>
      </c>
    </row>
    <row r="5" spans="1:4" x14ac:dyDescent="0.45">
      <c r="A5" t="s">
        <v>138</v>
      </c>
      <c r="B5">
        <f>spliced_housing_approvals!D5</f>
        <v>194646.04681044654</v>
      </c>
      <c r="C5" s="2">
        <v>123456789</v>
      </c>
      <c r="D5" s="2">
        <v>123456789</v>
      </c>
    </row>
    <row r="6" spans="1:4" x14ac:dyDescent="0.45">
      <c r="A6" t="s">
        <v>139</v>
      </c>
      <c r="B6">
        <f>spliced_housing_approvals!D6</f>
        <v>205363.09286117402</v>
      </c>
      <c r="C6" s="2">
        <v>123456789</v>
      </c>
      <c r="D6" s="2">
        <v>123456789</v>
      </c>
    </row>
    <row r="7" spans="1:4" x14ac:dyDescent="0.45">
      <c r="A7" t="s">
        <v>140</v>
      </c>
      <c r="B7">
        <f>spliced_housing_approvals!D7</f>
        <v>216618.1301283036</v>
      </c>
      <c r="C7" s="2">
        <v>123456789</v>
      </c>
      <c r="D7" s="2">
        <v>123456789</v>
      </c>
    </row>
    <row r="8" spans="1:4" x14ac:dyDescent="0.45">
      <c r="A8" t="s">
        <v>141</v>
      </c>
      <c r="B8">
        <f>spliced_housing_approvals!D8</f>
        <v>222942.78967099322</v>
      </c>
      <c r="C8" s="2">
        <v>123456789</v>
      </c>
      <c r="D8" s="2">
        <v>123456789</v>
      </c>
    </row>
    <row r="9" spans="1:4" x14ac:dyDescent="0.45">
      <c r="A9" t="s">
        <v>142</v>
      </c>
      <c r="B9">
        <f>spliced_housing_approvals!D9</f>
        <v>263883.0511725375</v>
      </c>
      <c r="C9" s="2">
        <v>123456789</v>
      </c>
      <c r="D9" s="2">
        <v>123456789</v>
      </c>
    </row>
    <row r="10" spans="1:4" x14ac:dyDescent="0.45">
      <c r="A10" t="s">
        <v>143</v>
      </c>
      <c r="B10">
        <f>spliced_housing_approvals!D10</f>
        <v>302185.56059150642</v>
      </c>
      <c r="C10" s="2">
        <v>123456789</v>
      </c>
      <c r="D10" s="2">
        <v>123456789</v>
      </c>
    </row>
    <row r="11" spans="1:4" x14ac:dyDescent="0.45">
      <c r="A11" t="s">
        <v>144</v>
      </c>
      <c r="B11">
        <f>spliced_housing_approvals!D11</f>
        <v>371525.52284137241</v>
      </c>
      <c r="C11" s="2">
        <v>123456789</v>
      </c>
      <c r="D11" s="2">
        <v>123456789</v>
      </c>
    </row>
    <row r="12" spans="1:4" x14ac:dyDescent="0.45">
      <c r="A12" t="s">
        <v>145</v>
      </c>
      <c r="B12">
        <f>spliced_housing_approvals!D12</f>
        <v>435311.55959576642</v>
      </c>
      <c r="C12" s="2">
        <v>123456789</v>
      </c>
      <c r="D12" s="2">
        <v>123456789</v>
      </c>
    </row>
    <row r="13" spans="1:4" x14ac:dyDescent="0.45">
      <c r="A13" t="s">
        <v>146</v>
      </c>
      <c r="B13">
        <f>spliced_housing_approvals!D13</f>
        <v>452117.6221361772</v>
      </c>
      <c r="C13" s="2">
        <v>123456789</v>
      </c>
      <c r="D13" s="2">
        <v>123456789</v>
      </c>
    </row>
    <row r="14" spans="1:4" x14ac:dyDescent="0.45">
      <c r="A14" t="s">
        <v>147</v>
      </c>
      <c r="B14">
        <f>spliced_housing_approvals!D14</f>
        <v>501754.19987697626</v>
      </c>
      <c r="C14" s="2">
        <v>123456789</v>
      </c>
      <c r="D14" s="2">
        <v>123456789</v>
      </c>
    </row>
    <row r="15" spans="1:4" x14ac:dyDescent="0.45">
      <c r="A15" t="s">
        <v>148</v>
      </c>
      <c r="B15">
        <f>spliced_housing_approvals!D15</f>
        <v>446148.23981186631</v>
      </c>
      <c r="C15" s="2">
        <v>123456789</v>
      </c>
      <c r="D15" s="2">
        <v>123456789</v>
      </c>
    </row>
    <row r="16" spans="1:4" x14ac:dyDescent="0.45">
      <c r="A16" t="s">
        <v>149</v>
      </c>
      <c r="B16">
        <f>spliced_housing_approvals!D16</f>
        <v>377355.69450052269</v>
      </c>
      <c r="C16" s="2">
        <v>123456789</v>
      </c>
      <c r="D16" s="2">
        <v>123456789</v>
      </c>
    </row>
    <row r="17" spans="1:4" x14ac:dyDescent="0.45">
      <c r="A17" t="s">
        <v>150</v>
      </c>
      <c r="B17">
        <f>spliced_housing_approvals!D17</f>
        <v>310712.93888814439</v>
      </c>
      <c r="C17" s="2">
        <v>123456789</v>
      </c>
      <c r="D17" s="2">
        <v>123456789</v>
      </c>
    </row>
    <row r="18" spans="1:4" x14ac:dyDescent="0.45">
      <c r="A18" t="s">
        <v>151</v>
      </c>
      <c r="B18">
        <f>spliced_housing_approvals!D18</f>
        <v>217148.87078922859</v>
      </c>
      <c r="C18" s="2">
        <v>123456789</v>
      </c>
      <c r="D18" s="2">
        <v>123456789</v>
      </c>
    </row>
    <row r="19" spans="1:4" x14ac:dyDescent="0.45">
      <c r="A19" t="s">
        <v>152</v>
      </c>
      <c r="B19">
        <f>spliced_housing_approvals!D19</f>
        <v>167238.22205139449</v>
      </c>
      <c r="C19" s="2">
        <v>123456789</v>
      </c>
      <c r="D19" s="2">
        <v>123456789</v>
      </c>
    </row>
    <row r="20" spans="1:4" x14ac:dyDescent="0.45">
      <c r="A20" t="s">
        <v>153</v>
      </c>
      <c r="B20">
        <f>spliced_housing_approvals!D20</f>
        <v>130589.56433675608</v>
      </c>
      <c r="C20" s="2">
        <v>123456789</v>
      </c>
      <c r="D20" s="2">
        <v>123456789</v>
      </c>
    </row>
    <row r="21" spans="1:4" x14ac:dyDescent="0.45">
      <c r="A21" t="s">
        <v>154</v>
      </c>
      <c r="B21">
        <f>spliced_housing_approvals!D21</f>
        <v>126076.09355225042</v>
      </c>
      <c r="C21" s="2">
        <v>123456789</v>
      </c>
      <c r="D21" s="2">
        <v>123456789</v>
      </c>
    </row>
    <row r="22" spans="1:4" x14ac:dyDescent="0.45">
      <c r="A22" t="s">
        <v>155</v>
      </c>
      <c r="B22">
        <f>spliced_housing_approvals!D22</f>
        <v>115557.71272159598</v>
      </c>
      <c r="C22" s="2">
        <v>123456789</v>
      </c>
      <c r="D22" s="2">
        <v>123456789</v>
      </c>
    </row>
    <row r="23" spans="1:4" x14ac:dyDescent="0.45">
      <c r="A23" t="s">
        <v>156</v>
      </c>
      <c r="B23">
        <f>spliced_housing_approvals!D23</f>
        <v>110721.59221835856</v>
      </c>
      <c r="C23" s="2">
        <v>123456789</v>
      </c>
      <c r="D23" s="2">
        <v>123456789</v>
      </c>
    </row>
    <row r="24" spans="1:4" x14ac:dyDescent="0.45">
      <c r="A24" t="s">
        <v>157</v>
      </c>
      <c r="B24">
        <f>spliced_housing_approvals!D24</f>
        <v>111725.79415193935</v>
      </c>
      <c r="C24" s="2">
        <v>123456789</v>
      </c>
      <c r="D24" s="2">
        <v>123456789</v>
      </c>
    </row>
    <row r="25" spans="1:4" x14ac:dyDescent="0.45">
      <c r="A25" t="s">
        <v>158</v>
      </c>
      <c r="B25">
        <f>spliced_housing_approvals!D25</f>
        <v>118576.11896672001</v>
      </c>
      <c r="C25" s="2">
        <v>123456789</v>
      </c>
      <c r="D25" s="2">
        <v>123456789</v>
      </c>
    </row>
    <row r="26" spans="1:4" x14ac:dyDescent="0.45">
      <c r="A26" t="s">
        <v>159</v>
      </c>
      <c r="B26">
        <f>spliced_housing_approvals!D26</f>
        <v>138496.29508455278</v>
      </c>
      <c r="C26" s="2">
        <v>123456789</v>
      </c>
      <c r="D26" s="2">
        <v>123456789</v>
      </c>
    </row>
    <row r="27" spans="1:4" x14ac:dyDescent="0.45">
      <c r="A27" t="s">
        <v>160</v>
      </c>
      <c r="B27">
        <f>spliced_housing_approvals!D27</f>
        <v>176437.72684076123</v>
      </c>
      <c r="C27" s="2">
        <v>123456789</v>
      </c>
      <c r="D27" s="2">
        <v>123456789</v>
      </c>
    </row>
    <row r="28" spans="1:4" x14ac:dyDescent="0.45">
      <c r="A28" t="s">
        <v>161</v>
      </c>
      <c r="B28">
        <f>spliced_housing_approvals!D28</f>
        <v>181281.09789947578</v>
      </c>
      <c r="C28" s="2">
        <v>123456789</v>
      </c>
      <c r="D28" s="2">
        <v>123456789</v>
      </c>
    </row>
    <row r="29" spans="1:4" x14ac:dyDescent="0.45">
      <c r="A29" t="s">
        <v>162</v>
      </c>
      <c r="B29">
        <f>spliced_housing_approvals!D29</f>
        <v>180651.74968406197</v>
      </c>
      <c r="C29" s="2">
        <v>123456789</v>
      </c>
      <c r="D29" s="2">
        <v>123456789</v>
      </c>
    </row>
    <row r="30" spans="1:4" x14ac:dyDescent="0.45">
      <c r="A30" t="s">
        <v>163</v>
      </c>
      <c r="B30">
        <f>spliced_housing_approvals!D30</f>
        <v>157234.63065961539</v>
      </c>
      <c r="C30" s="2">
        <v>123456789</v>
      </c>
      <c r="D30" s="2">
        <v>123456789</v>
      </c>
    </row>
    <row r="31" spans="1:4" x14ac:dyDescent="0.45">
      <c r="A31" t="s">
        <v>164</v>
      </c>
      <c r="B31">
        <f>spliced_housing_approvals!D31</f>
        <v>146271.06572266592</v>
      </c>
      <c r="C31" s="2">
        <v>123456789</v>
      </c>
      <c r="D31" s="2">
        <v>123456789</v>
      </c>
    </row>
    <row r="32" spans="1:4" x14ac:dyDescent="0.45">
      <c r="A32" t="s">
        <v>165</v>
      </c>
      <c r="B32">
        <f>spliced_housing_approvals!D32</f>
        <v>155153.72123768265</v>
      </c>
      <c r="C32" s="2">
        <v>123456789</v>
      </c>
      <c r="D32" s="2">
        <v>123456789</v>
      </c>
    </row>
    <row r="33" spans="1:4" x14ac:dyDescent="0.45">
      <c r="A33" t="s">
        <v>166</v>
      </c>
      <c r="B33">
        <f>spliced_housing_approvals!D33</f>
        <v>187103.29394760117</v>
      </c>
      <c r="C33" s="2">
        <v>123456789</v>
      </c>
      <c r="D33" s="2">
        <v>123456789</v>
      </c>
    </row>
    <row r="34" spans="1:4" x14ac:dyDescent="0.45">
      <c r="A34" t="s">
        <v>167</v>
      </c>
      <c r="B34">
        <f>spliced_housing_approvals!D34</f>
        <v>221737.7473506963</v>
      </c>
      <c r="C34" s="2">
        <v>123456789</v>
      </c>
      <c r="D34" s="2">
        <v>123456789</v>
      </c>
    </row>
    <row r="35" spans="1:4" x14ac:dyDescent="0.45">
      <c r="A35" t="s">
        <v>168</v>
      </c>
      <c r="B35">
        <f>spliced_housing_approvals!D35</f>
        <v>257105.23191252802</v>
      </c>
      <c r="C35" s="2">
        <v>123456789</v>
      </c>
      <c r="D35" s="2">
        <v>123456789</v>
      </c>
    </row>
    <row r="36" spans="1:4" x14ac:dyDescent="0.45">
      <c r="A36" t="s">
        <v>169</v>
      </c>
      <c r="B36">
        <f>spliced_housing_approvals!D36</f>
        <v>286801.3319801584</v>
      </c>
      <c r="C36" s="2">
        <v>123456789</v>
      </c>
      <c r="D36" s="2">
        <v>123456789</v>
      </c>
    </row>
    <row r="37" spans="1:4" x14ac:dyDescent="0.45">
      <c r="A37" t="s">
        <v>170</v>
      </c>
      <c r="B37">
        <f>spliced_housing_approvals!D37</f>
        <v>316118.9530518832</v>
      </c>
      <c r="C37" s="2">
        <v>123456789</v>
      </c>
      <c r="D37" s="2">
        <v>123456789</v>
      </c>
    </row>
    <row r="38" spans="1:4" x14ac:dyDescent="0.45">
      <c r="A38" t="s">
        <v>171</v>
      </c>
      <c r="B38">
        <f>spliced_housing_approvals!D38</f>
        <v>334705.75201747409</v>
      </c>
      <c r="C38" s="2">
        <v>123456789</v>
      </c>
      <c r="D38" s="2">
        <v>123456789</v>
      </c>
    </row>
    <row r="39" spans="1:4" x14ac:dyDescent="0.45">
      <c r="A39" t="s">
        <v>172</v>
      </c>
      <c r="B39">
        <f>spliced_housing_approvals!D39</f>
        <v>353703.6574786175</v>
      </c>
      <c r="C39" s="2">
        <v>123456789</v>
      </c>
      <c r="D39" s="2">
        <v>123456789</v>
      </c>
    </row>
    <row r="40" spans="1:4" x14ac:dyDescent="0.45">
      <c r="A40" t="s">
        <v>173</v>
      </c>
      <c r="B40">
        <f>spliced_housing_approvals!D40</f>
        <v>324953.75490075094</v>
      </c>
      <c r="C40" s="2">
        <v>123456789</v>
      </c>
      <c r="D40" s="2">
        <v>123456789</v>
      </c>
    </row>
    <row r="41" spans="1:4" x14ac:dyDescent="0.45">
      <c r="A41" t="s">
        <v>174</v>
      </c>
      <c r="B41">
        <f>spliced_housing_approvals!D41</f>
        <v>305144.51228171808</v>
      </c>
      <c r="C41" s="2">
        <v>123456789</v>
      </c>
      <c r="D41" s="2">
        <v>123456789</v>
      </c>
    </row>
    <row r="42" spans="1:4" x14ac:dyDescent="0.45">
      <c r="A42" t="s">
        <v>175</v>
      </c>
      <c r="B42">
        <f>spliced_housing_approvals!D42</f>
        <v>294472.41967494879</v>
      </c>
      <c r="C42" s="2">
        <v>123456789</v>
      </c>
      <c r="D42" s="2">
        <v>123456789</v>
      </c>
    </row>
    <row r="43" spans="1:4" x14ac:dyDescent="0.45">
      <c r="A43" t="s">
        <v>176</v>
      </c>
      <c r="B43">
        <f>spliced_housing_approvals!D43</f>
        <v>244998.25437683711</v>
      </c>
      <c r="C43" s="2">
        <v>123456789</v>
      </c>
      <c r="D43" s="2">
        <v>123456789</v>
      </c>
    </row>
    <row r="44" spans="1:4" x14ac:dyDescent="0.45">
      <c r="A44" t="s">
        <v>177</v>
      </c>
      <c r="B44">
        <f>spliced_housing_approvals!D44</f>
        <v>248177.62295355316</v>
      </c>
      <c r="C44" s="2">
        <v>123456789</v>
      </c>
      <c r="D44" s="2">
        <v>123456789</v>
      </c>
    </row>
    <row r="45" spans="1:4" x14ac:dyDescent="0.45">
      <c r="A45" t="s">
        <v>178</v>
      </c>
      <c r="B45">
        <f>spliced_housing_approvals!D45</f>
        <v>212752.13394790451</v>
      </c>
      <c r="C45" s="2">
        <v>123456789</v>
      </c>
      <c r="D45" s="2">
        <v>123456789</v>
      </c>
    </row>
    <row r="46" spans="1:4" x14ac:dyDescent="0.45">
      <c r="A46" t="s">
        <v>179</v>
      </c>
      <c r="B46">
        <f>spliced_housing_approvals!D46</f>
        <v>185693.06090730178</v>
      </c>
      <c r="C46" s="2">
        <v>123456789</v>
      </c>
      <c r="D46" s="2">
        <v>123456789</v>
      </c>
    </row>
    <row r="47" spans="1:4" x14ac:dyDescent="0.45">
      <c r="A47" t="s">
        <v>180</v>
      </c>
      <c r="B47">
        <f>spliced_housing_approvals!D47</f>
        <v>183422.18693186858</v>
      </c>
      <c r="C47" s="2">
        <v>123456789</v>
      </c>
      <c r="D47" s="2">
        <v>123456789</v>
      </c>
    </row>
    <row r="48" spans="1:4" x14ac:dyDescent="0.45">
      <c r="A48" t="s">
        <v>181</v>
      </c>
      <c r="B48">
        <f>spliced_housing_approvals!D48</f>
        <v>168298.25326214905</v>
      </c>
      <c r="C48" s="2">
        <v>123456789</v>
      </c>
      <c r="D48" s="2">
        <v>123456789</v>
      </c>
    </row>
    <row r="49" spans="1:4" x14ac:dyDescent="0.45">
      <c r="A49" t="s">
        <v>182</v>
      </c>
      <c r="B49">
        <f>spliced_housing_approvals!D49</f>
        <v>151803.23955170665</v>
      </c>
      <c r="C49" s="2">
        <v>123456789</v>
      </c>
      <c r="D49" s="2">
        <v>123456789</v>
      </c>
    </row>
    <row r="50" spans="1:4" x14ac:dyDescent="0.45">
      <c r="A50" t="s">
        <v>183</v>
      </c>
      <c r="B50">
        <f>spliced_housing_approvals!D50</f>
        <v>144472.20290879306</v>
      </c>
      <c r="C50" s="2">
        <v>123456789</v>
      </c>
      <c r="D50" s="2">
        <v>123456789</v>
      </c>
    </row>
    <row r="51" spans="1:4" x14ac:dyDescent="0.45">
      <c r="A51" t="s">
        <v>184</v>
      </c>
      <c r="B51">
        <f>spliced_housing_approvals!D51</f>
        <v>163335.97309360982</v>
      </c>
      <c r="C51" s="2">
        <v>123456789</v>
      </c>
      <c r="D51" s="2">
        <v>123456789</v>
      </c>
    </row>
    <row r="52" spans="1:4" x14ac:dyDescent="0.45">
      <c r="A52" t="s">
        <v>185</v>
      </c>
      <c r="B52">
        <f>spliced_housing_approvals!D52</f>
        <v>177587.66493943208</v>
      </c>
      <c r="C52" s="2">
        <v>123456789</v>
      </c>
      <c r="D52" s="2">
        <v>123456789</v>
      </c>
    </row>
    <row r="53" spans="1:4" x14ac:dyDescent="0.45">
      <c r="A53" t="s">
        <v>186</v>
      </c>
      <c r="B53">
        <f>spliced_housing_approvals!D53</f>
        <v>205312.3389728342</v>
      </c>
      <c r="C53" s="2">
        <v>123456789</v>
      </c>
      <c r="D53" s="2">
        <v>123456789</v>
      </c>
    </row>
    <row r="54" spans="1:4" x14ac:dyDescent="0.45">
      <c r="A54" t="s">
        <v>187</v>
      </c>
      <c r="B54">
        <f>spliced_housing_approvals!D54</f>
        <v>249197.77610918361</v>
      </c>
      <c r="C54" s="2">
        <v>123456789</v>
      </c>
      <c r="D54" s="2">
        <v>123456789</v>
      </c>
    </row>
    <row r="55" spans="1:4" x14ac:dyDescent="0.45">
      <c r="A55" t="s">
        <v>188</v>
      </c>
      <c r="B55">
        <f>spliced_housing_approvals!D55</f>
        <v>255777.6552046678</v>
      </c>
      <c r="C55" s="2">
        <v>123456789</v>
      </c>
      <c r="D55" s="2">
        <v>123456789</v>
      </c>
    </row>
    <row r="56" spans="1:4" x14ac:dyDescent="0.45">
      <c r="A56" t="s">
        <v>189</v>
      </c>
      <c r="B56">
        <f>spliced_housing_approvals!D56</f>
        <v>266068.36859334074</v>
      </c>
      <c r="C56" s="2">
        <v>123456789</v>
      </c>
      <c r="D56" s="2">
        <v>123456789</v>
      </c>
    </row>
    <row r="57" spans="1:4" x14ac:dyDescent="0.45">
      <c r="A57" t="s">
        <v>190</v>
      </c>
      <c r="B57">
        <f>spliced_housing_approvals!D57</f>
        <v>262219.77374608675</v>
      </c>
      <c r="C57" s="2">
        <v>123456789</v>
      </c>
      <c r="D57" s="2">
        <v>123456789</v>
      </c>
    </row>
    <row r="58" spans="1:4" x14ac:dyDescent="0.45">
      <c r="A58" t="s">
        <v>191</v>
      </c>
      <c r="B58">
        <f>spliced_housing_approvals!D58</f>
        <v>248251.57861941977</v>
      </c>
      <c r="C58" s="2">
        <v>123456789</v>
      </c>
      <c r="D58" s="2">
        <v>123456789</v>
      </c>
    </row>
    <row r="59" spans="1:4" x14ac:dyDescent="0.45">
      <c r="A59" t="s">
        <v>192</v>
      </c>
      <c r="B59">
        <f>spliced_housing_approvals!D59</f>
        <v>242375.003405216</v>
      </c>
      <c r="C59" s="2">
        <v>123456789</v>
      </c>
      <c r="D59" s="2">
        <v>123456789</v>
      </c>
    </row>
    <row r="60" spans="1:4" x14ac:dyDescent="0.45">
      <c r="A60" t="s">
        <v>193</v>
      </c>
      <c r="B60">
        <f>spliced_housing_approvals!D60</f>
        <v>244294.95049555672</v>
      </c>
      <c r="C60" s="2">
        <v>123456789</v>
      </c>
      <c r="D60" s="2">
        <v>123456789</v>
      </c>
    </row>
    <row r="61" spans="1:4" x14ac:dyDescent="0.45">
      <c r="A61" t="s">
        <v>194</v>
      </c>
      <c r="B61">
        <f>spliced_housing_approvals!D61</f>
        <v>250150.49909887684</v>
      </c>
      <c r="C61" s="2">
        <v>123456789</v>
      </c>
      <c r="D61" s="2">
        <v>123456789</v>
      </c>
    </row>
    <row r="62" spans="1:4" x14ac:dyDescent="0.45">
      <c r="A62" t="s">
        <v>195</v>
      </c>
      <c r="B62">
        <f>spliced_housing_approvals!D62</f>
        <v>238329.91850453211</v>
      </c>
      <c r="C62" s="2">
        <v>123456789</v>
      </c>
      <c r="D62" s="2">
        <v>123456789</v>
      </c>
    </row>
    <row r="63" spans="1:4" x14ac:dyDescent="0.45">
      <c r="A63" t="s">
        <v>196</v>
      </c>
      <c r="B63">
        <f>spliced_housing_approvals!D63</f>
        <v>239020.89644150142</v>
      </c>
      <c r="C63" s="2">
        <v>123456789</v>
      </c>
      <c r="D63" s="2">
        <v>123456789</v>
      </c>
    </row>
    <row r="64" spans="1:4" x14ac:dyDescent="0.45">
      <c r="A64" t="s">
        <v>197</v>
      </c>
      <c r="B64">
        <f>spliced_housing_approvals!D64</f>
        <v>227966.699561088</v>
      </c>
      <c r="C64" s="2">
        <v>123456789</v>
      </c>
      <c r="D64" s="2">
        <v>123456789</v>
      </c>
    </row>
    <row r="65" spans="1:4" x14ac:dyDescent="0.45">
      <c r="A65" t="s">
        <v>198</v>
      </c>
      <c r="B65">
        <f>spliced_housing_approvals!D65</f>
        <v>243961.42494360931</v>
      </c>
      <c r="C65" s="2">
        <v>123456789</v>
      </c>
      <c r="D65" s="2">
        <v>123456789</v>
      </c>
    </row>
    <row r="66" spans="1:4" x14ac:dyDescent="0.45">
      <c r="A66" t="s">
        <v>199</v>
      </c>
      <c r="B66">
        <f>spliced_housing_approvals!D66</f>
        <v>264275.30622384959</v>
      </c>
      <c r="C66" s="2">
        <v>123456789</v>
      </c>
      <c r="D66" s="2">
        <v>123456789</v>
      </c>
    </row>
    <row r="67" spans="1:4" x14ac:dyDescent="0.45">
      <c r="A67" t="s">
        <v>200</v>
      </c>
      <c r="B67">
        <f>spliced_housing_approvals!D67</f>
        <v>279041.06245299947</v>
      </c>
      <c r="C67" s="2">
        <v>123456789</v>
      </c>
      <c r="D67" s="2">
        <v>123456789</v>
      </c>
    </row>
    <row r="68" spans="1:4" x14ac:dyDescent="0.45">
      <c r="A68" t="s">
        <v>201</v>
      </c>
      <c r="B68">
        <f>spliced_housing_approvals!D68</f>
        <v>295718.06510591757</v>
      </c>
      <c r="C68" s="2">
        <v>123456789</v>
      </c>
      <c r="D68" s="2">
        <v>123456789</v>
      </c>
    </row>
    <row r="69" spans="1:4" x14ac:dyDescent="0.45">
      <c r="A69" t="s">
        <v>202</v>
      </c>
      <c r="B69">
        <f>spliced_housing_approvals!D69</f>
        <v>291934.00020240992</v>
      </c>
      <c r="C69" s="2">
        <v>123456789</v>
      </c>
      <c r="D69" s="2">
        <v>123456789</v>
      </c>
    </row>
    <row r="70" spans="1:4" x14ac:dyDescent="0.45">
      <c r="A70" t="s">
        <v>203</v>
      </c>
      <c r="B70">
        <f>spliced_housing_approvals!D70</f>
        <v>296477.9233199195</v>
      </c>
      <c r="C70" s="2">
        <v>123456789</v>
      </c>
      <c r="D70" s="2">
        <v>123456789</v>
      </c>
    </row>
    <row r="71" spans="1:4" x14ac:dyDescent="0.45">
      <c r="A71" t="s">
        <v>204</v>
      </c>
      <c r="B71">
        <f>spliced_housing_approvals!D71</f>
        <v>298245.60874524072</v>
      </c>
      <c r="C71" s="2">
        <v>123456789</v>
      </c>
      <c r="D71" s="2">
        <v>123456789</v>
      </c>
    </row>
    <row r="72" spans="1:4" x14ac:dyDescent="0.45">
      <c r="A72" t="s">
        <v>205</v>
      </c>
      <c r="B72">
        <f>spliced_housing_approvals!D72</f>
        <v>304381.0287899776</v>
      </c>
      <c r="C72" s="2">
        <v>123456789</v>
      </c>
      <c r="D72" s="2">
        <v>123456789</v>
      </c>
    </row>
    <row r="73" spans="1:4" x14ac:dyDescent="0.45">
      <c r="A73" t="s">
        <v>206</v>
      </c>
      <c r="B73">
        <f>spliced_housing_approvals!D73</f>
        <v>327153.57343250845</v>
      </c>
      <c r="C73" s="2">
        <v>123456789</v>
      </c>
      <c r="D73" s="2">
        <v>123456789</v>
      </c>
    </row>
    <row r="74" spans="1:4" x14ac:dyDescent="0.45">
      <c r="A74" t="s">
        <v>207</v>
      </c>
      <c r="B74">
        <f>spliced_housing_approvals!D74</f>
        <v>339785.49118474266</v>
      </c>
      <c r="C74" s="2">
        <v>123456789</v>
      </c>
      <c r="D74" s="2">
        <v>123456789</v>
      </c>
    </row>
    <row r="75" spans="1:4" x14ac:dyDescent="0.45">
      <c r="A75" t="s">
        <v>208</v>
      </c>
      <c r="B75">
        <f>spliced_housing_approvals!D75</f>
        <v>346814.17966426036</v>
      </c>
      <c r="C75" s="2">
        <v>123456789</v>
      </c>
      <c r="D75" s="2">
        <v>123456789</v>
      </c>
    </row>
    <row r="76" spans="1:4" x14ac:dyDescent="0.45">
      <c r="A76" t="s">
        <v>209</v>
      </c>
      <c r="B76">
        <f>spliced_housing_approvals!D76</f>
        <v>408543.23382979608</v>
      </c>
      <c r="C76" s="2">
        <v>123456789</v>
      </c>
      <c r="D76" s="2">
        <v>123456789</v>
      </c>
    </row>
    <row r="77" spans="1:4" x14ac:dyDescent="0.45">
      <c r="A77" t="s">
        <v>210</v>
      </c>
      <c r="B77">
        <f>spliced_housing_approvals!D77</f>
        <v>408889.0853260546</v>
      </c>
      <c r="C77" s="2">
        <v>123456789</v>
      </c>
      <c r="D77" s="2">
        <v>123456789</v>
      </c>
    </row>
    <row r="78" spans="1:4" x14ac:dyDescent="0.45">
      <c r="A78" t="s">
        <v>211</v>
      </c>
      <c r="B78">
        <f>spliced_housing_approvals!D78</f>
        <v>385488.64257920545</v>
      </c>
      <c r="C78" s="2">
        <v>123456789</v>
      </c>
      <c r="D78" s="2">
        <v>123456789</v>
      </c>
    </row>
    <row r="79" spans="1:4" x14ac:dyDescent="0.45">
      <c r="A79" t="s">
        <v>212</v>
      </c>
      <c r="B79">
        <f>spliced_housing_approvals!D79</f>
        <v>361920.71200083481</v>
      </c>
      <c r="C79" s="2">
        <v>123456789</v>
      </c>
      <c r="D79" s="2">
        <v>123456789</v>
      </c>
    </row>
    <row r="80" spans="1:4" x14ac:dyDescent="0.45">
      <c r="A80" t="s">
        <v>213</v>
      </c>
      <c r="B80">
        <f>spliced_housing_approvals!D80</f>
        <v>288127.45857692318</v>
      </c>
      <c r="C80" s="2">
        <v>123456789</v>
      </c>
      <c r="D80" s="2">
        <v>123456789</v>
      </c>
    </row>
    <row r="81" spans="1:4" x14ac:dyDescent="0.45">
      <c r="A81" t="s">
        <v>214</v>
      </c>
      <c r="B81">
        <f>spliced_housing_approvals!D81</f>
        <v>223367.67222195232</v>
      </c>
      <c r="C81" s="2">
        <v>123456789</v>
      </c>
      <c r="D81" s="2">
        <v>123456789</v>
      </c>
    </row>
    <row r="82" spans="1:4" x14ac:dyDescent="0.45">
      <c r="A82" t="s">
        <v>215</v>
      </c>
      <c r="B82">
        <f>spliced_housing_approvals!D82</f>
        <v>191493.50528899583</v>
      </c>
      <c r="C82" s="2">
        <v>123456789</v>
      </c>
      <c r="D82" s="2">
        <v>123456789</v>
      </c>
    </row>
    <row r="83" spans="1:4" x14ac:dyDescent="0.45">
      <c r="A83" t="s">
        <v>216</v>
      </c>
      <c r="B83">
        <f>spliced_housing_approvals!D83</f>
        <v>155582.2290663803</v>
      </c>
      <c r="C83" s="2">
        <v>123456789</v>
      </c>
      <c r="D83" s="2">
        <v>123456789</v>
      </c>
    </row>
    <row r="84" spans="1:4" x14ac:dyDescent="0.45">
      <c r="A84" t="s">
        <v>217</v>
      </c>
      <c r="B84">
        <f>spliced_housing_approvals!D84</f>
        <v>139414.94046350359</v>
      </c>
      <c r="C84" s="2">
        <v>123456789</v>
      </c>
      <c r="D84" s="2">
        <v>123456789</v>
      </c>
    </row>
    <row r="85" spans="1:4" x14ac:dyDescent="0.45">
      <c r="A85" t="s">
        <v>218</v>
      </c>
      <c r="B85">
        <f>spliced_housing_approvals!D85</f>
        <v>140060.23990096705</v>
      </c>
      <c r="C85" s="2">
        <v>123456789</v>
      </c>
      <c r="D85" s="2">
        <v>123456789</v>
      </c>
    </row>
    <row r="86" spans="1:4" x14ac:dyDescent="0.45">
      <c r="A86" t="s">
        <v>219</v>
      </c>
      <c r="B86">
        <f>spliced_housing_approvals!D86</f>
        <v>150271.92223493941</v>
      </c>
      <c r="C86" s="2">
        <v>123456789</v>
      </c>
      <c r="D86" s="2">
        <v>123456789</v>
      </c>
    </row>
    <row r="87" spans="1:4" x14ac:dyDescent="0.45">
      <c r="A87" t="s">
        <v>220</v>
      </c>
      <c r="B87">
        <f>spliced_housing_approvals!D87</f>
        <v>144652.01668462559</v>
      </c>
      <c r="C87" s="2">
        <v>123456789</v>
      </c>
      <c r="D87" s="2">
        <v>123456789</v>
      </c>
    </row>
    <row r="88" spans="1:4" x14ac:dyDescent="0.45">
      <c r="A88" t="s">
        <v>221</v>
      </c>
      <c r="B88">
        <f>spliced_housing_approvals!D88</f>
        <v>149243.06841273644</v>
      </c>
      <c r="C88" s="2">
        <v>123456789</v>
      </c>
      <c r="D88" s="2">
        <v>123456789</v>
      </c>
    </row>
    <row r="89" spans="1:4" x14ac:dyDescent="0.45">
      <c r="A89" t="s">
        <v>222</v>
      </c>
      <c r="B89">
        <f>spliced_housing_approvals!D89</f>
        <v>159414.87269158463</v>
      </c>
      <c r="C89" s="2">
        <v>123456789</v>
      </c>
      <c r="D89" s="2">
        <v>123456789</v>
      </c>
    </row>
    <row r="90" spans="1:4" x14ac:dyDescent="0.45">
      <c r="A90" t="s">
        <v>223</v>
      </c>
      <c r="B90">
        <f>spliced_housing_approvals!D90</f>
        <v>157934.30926315725</v>
      </c>
      <c r="C90" s="2">
        <v>123456789</v>
      </c>
      <c r="D90" s="2">
        <v>123456789</v>
      </c>
    </row>
    <row r="91" spans="1:4" x14ac:dyDescent="0.45">
      <c r="A91" t="s">
        <v>224</v>
      </c>
      <c r="B91">
        <f>spliced_housing_approvals!D91</f>
        <v>160685.17001117562</v>
      </c>
      <c r="C91" s="2">
        <v>123456789</v>
      </c>
      <c r="D91" s="2">
        <v>123456789</v>
      </c>
    </row>
    <row r="92" spans="1:4" x14ac:dyDescent="0.45">
      <c r="A92" t="s">
        <v>225</v>
      </c>
      <c r="B92">
        <f>spliced_housing_approvals!D92</f>
        <v>157476.0741570034</v>
      </c>
      <c r="C92" s="2">
        <v>123456789</v>
      </c>
      <c r="D92" s="2">
        <v>123456789</v>
      </c>
    </row>
    <row r="93" spans="1:4" x14ac:dyDescent="0.45">
      <c r="A93" t="s">
        <v>226</v>
      </c>
      <c r="B93">
        <f>spliced_housing_approvals!D93</f>
        <v>140000.06029050698</v>
      </c>
      <c r="C93" s="2">
        <v>123456789</v>
      </c>
      <c r="D93" s="2">
        <v>123456789</v>
      </c>
    </row>
    <row r="94" spans="1:4" x14ac:dyDescent="0.45">
      <c r="A94" t="s">
        <v>227</v>
      </c>
      <c r="B94">
        <f>spliced_housing_approvals!D94</f>
        <v>156141.97194921377</v>
      </c>
      <c r="C94" s="2">
        <v>123456789</v>
      </c>
      <c r="D94" s="2">
        <v>123456789</v>
      </c>
    </row>
    <row r="95" spans="1:4" x14ac:dyDescent="0.45">
      <c r="A95" t="s">
        <v>228</v>
      </c>
      <c r="B95">
        <f>spliced_housing_approvals!D95</f>
        <v>259144</v>
      </c>
      <c r="C95" s="2">
        <v>123456789</v>
      </c>
      <c r="D95" s="2">
        <v>123456789</v>
      </c>
    </row>
    <row r="96" spans="1:4" x14ac:dyDescent="0.45">
      <c r="A96" t="s">
        <v>229</v>
      </c>
      <c r="B96">
        <f>spliced_housing_approvals!D96</f>
        <v>247303</v>
      </c>
      <c r="C96" s="2">
        <v>123456789</v>
      </c>
      <c r="D96" s="2">
        <v>123456789</v>
      </c>
    </row>
    <row r="97" spans="1:4" x14ac:dyDescent="0.45">
      <c r="A97" t="s">
        <v>230</v>
      </c>
      <c r="B97">
        <f>spliced_housing_approvals!D97</f>
        <v>243875</v>
      </c>
      <c r="C97" s="2">
        <v>123456789</v>
      </c>
      <c r="D97" s="2">
        <v>123456789</v>
      </c>
    </row>
    <row r="98" spans="1:4" x14ac:dyDescent="0.45">
      <c r="A98" t="s">
        <v>231</v>
      </c>
      <c r="B98">
        <f>spliced_housing_approvals!D98</f>
        <v>266887</v>
      </c>
      <c r="C98" s="2">
        <v>123456789</v>
      </c>
      <c r="D98" s="2">
        <v>123456789</v>
      </c>
    </row>
    <row r="99" spans="1:4" x14ac:dyDescent="0.45">
      <c r="A99" t="s">
        <v>232</v>
      </c>
      <c r="B99">
        <f>spliced_housing_approvals!D99</f>
        <v>258505</v>
      </c>
      <c r="C99" s="2">
        <v>123456789</v>
      </c>
      <c r="D99" s="2">
        <v>123456789</v>
      </c>
    </row>
    <row r="100" spans="1:4" x14ac:dyDescent="0.45">
      <c r="A100" t="s">
        <v>233</v>
      </c>
      <c r="B100">
        <f>spliced_housing_approvals!D100</f>
        <v>241860</v>
      </c>
      <c r="C100" s="2">
        <v>123456789</v>
      </c>
      <c r="D100" s="2">
        <v>123456789</v>
      </c>
    </row>
    <row r="101" spans="1:4" x14ac:dyDescent="0.45">
      <c r="A101" t="s">
        <v>234</v>
      </c>
      <c r="B101">
        <f>spliced_housing_approvals!D101</f>
        <v>249580</v>
      </c>
      <c r="C101" s="2">
        <v>123456789</v>
      </c>
      <c r="D101" s="2">
        <v>123456789</v>
      </c>
    </row>
    <row r="102" spans="1:4" x14ac:dyDescent="0.45">
      <c r="A102" t="s">
        <v>235</v>
      </c>
      <c r="B102">
        <f>spliced_housing_approvals!D102</f>
        <v>234373</v>
      </c>
      <c r="C102" s="2">
        <v>123456789</v>
      </c>
      <c r="D102" s="2">
        <v>123456789</v>
      </c>
    </row>
    <row r="103" spans="1:4" x14ac:dyDescent="0.45">
      <c r="A103" t="s">
        <v>236</v>
      </c>
      <c r="B103">
        <f>spliced_housing_approvals!D103</f>
        <v>214744</v>
      </c>
      <c r="C103" s="2">
        <v>123456789</v>
      </c>
      <c r="D103" s="2">
        <v>123456789</v>
      </c>
    </row>
    <row r="104" spans="1:4" x14ac:dyDescent="0.45">
      <c r="A104" t="s">
        <v>237</v>
      </c>
      <c r="B104">
        <f>spliced_housing_approvals!D104</f>
        <v>222949</v>
      </c>
      <c r="C104" s="2">
        <v>123456789</v>
      </c>
      <c r="D104" s="2">
        <v>123456789</v>
      </c>
    </row>
    <row r="105" spans="1:4" x14ac:dyDescent="0.45">
      <c r="A105" t="s">
        <v>238</v>
      </c>
      <c r="B105">
        <f>spliced_housing_approvals!D105</f>
        <v>244735</v>
      </c>
      <c r="C105" s="2">
        <v>123456789</v>
      </c>
      <c r="D105" s="2">
        <v>123456789</v>
      </c>
    </row>
    <row r="106" spans="1:4" x14ac:dyDescent="0.45">
      <c r="A106" t="s">
        <v>239</v>
      </c>
      <c r="B106">
        <f>spliced_housing_approvals!D106</f>
        <v>247838</v>
      </c>
      <c r="C106" s="2">
        <v>123456789</v>
      </c>
      <c r="D106" s="2">
        <v>123456789</v>
      </c>
    </row>
    <row r="107" spans="1:4" x14ac:dyDescent="0.45">
      <c r="A107" t="s">
        <v>240</v>
      </c>
      <c r="B107">
        <f>spliced_housing_approvals!D107</f>
        <v>254905</v>
      </c>
      <c r="C107" s="2">
        <v>123456789</v>
      </c>
      <c r="D107" s="2">
        <v>123456789</v>
      </c>
    </row>
    <row r="108" spans="1:4" x14ac:dyDescent="0.45">
      <c r="A108" t="s">
        <v>241</v>
      </c>
      <c r="B108">
        <f>spliced_housing_approvals!D108</f>
        <v>278021</v>
      </c>
      <c r="C108" s="2">
        <v>123456789</v>
      </c>
      <c r="D108" s="2">
        <v>123456789</v>
      </c>
    </row>
    <row r="109" spans="1:4" x14ac:dyDescent="0.45">
      <c r="A109" t="s">
        <v>242</v>
      </c>
      <c r="B109">
        <f>spliced_housing_approvals!D109</f>
        <v>303190</v>
      </c>
      <c r="C109" s="2">
        <v>123456789</v>
      </c>
      <c r="D109" s="2">
        <v>123456789</v>
      </c>
    </row>
    <row r="110" spans="1:4" x14ac:dyDescent="0.45">
      <c r="A110" t="s">
        <v>243</v>
      </c>
      <c r="B110">
        <f>spliced_housing_approvals!D110</f>
        <v>300066</v>
      </c>
      <c r="C110" s="2">
        <v>123456789</v>
      </c>
      <c r="D110" s="2">
        <v>123456789</v>
      </c>
    </row>
    <row r="111" spans="1:4" x14ac:dyDescent="0.45">
      <c r="A111" t="s">
        <v>244</v>
      </c>
      <c r="B111">
        <f>spliced_housing_approvals!D111</f>
        <v>310212</v>
      </c>
      <c r="C111" s="2">
        <v>123456789</v>
      </c>
      <c r="D111" s="2">
        <v>123456789</v>
      </c>
    </row>
    <row r="112" spans="1:4" x14ac:dyDescent="0.45">
      <c r="A112" t="s">
        <v>245</v>
      </c>
      <c r="B112">
        <f>spliced_housing_approvals!D112</f>
        <v>297125</v>
      </c>
      <c r="C112" s="2">
        <v>123456789</v>
      </c>
      <c r="D112" s="2">
        <v>123456789</v>
      </c>
    </row>
    <row r="113" spans="1:4" x14ac:dyDescent="0.45">
      <c r="A113" t="s">
        <v>246</v>
      </c>
      <c r="B113">
        <f>spliced_housing_approvals!D113</f>
        <v>256522</v>
      </c>
      <c r="C113" s="2">
        <v>123456789</v>
      </c>
      <c r="D113" s="2">
        <v>123456789</v>
      </c>
    </row>
    <row r="114" spans="1:4" x14ac:dyDescent="0.45">
      <c r="A114" t="s">
        <v>247</v>
      </c>
      <c r="B114">
        <f>spliced_housing_approvals!D114</f>
        <v>264204</v>
      </c>
      <c r="C114" s="2">
        <v>123456789</v>
      </c>
      <c r="D114" s="2">
        <v>123456789</v>
      </c>
    </row>
    <row r="115" spans="1:4" x14ac:dyDescent="0.45">
      <c r="A115" t="s">
        <v>248</v>
      </c>
      <c r="B115">
        <f>spliced_housing_approvals!D115</f>
        <v>261130</v>
      </c>
      <c r="C115" s="2">
        <v>123456789</v>
      </c>
      <c r="D115" s="2">
        <v>123456789</v>
      </c>
    </row>
    <row r="116" spans="1:4" x14ac:dyDescent="0.45">
      <c r="A116" t="s">
        <v>249</v>
      </c>
      <c r="B116">
        <f>spliced_housing_approvals!D116</f>
        <v>259321</v>
      </c>
      <c r="C116" s="2">
        <v>123456789</v>
      </c>
      <c r="D116" s="2">
        <v>123456789</v>
      </c>
    </row>
    <row r="117" spans="1:4" x14ac:dyDescent="0.45">
      <c r="A117" t="s">
        <v>250</v>
      </c>
      <c r="B117">
        <f>spliced_housing_approvals!D117</f>
        <v>250328</v>
      </c>
      <c r="C117" s="2">
        <v>123456789</v>
      </c>
      <c r="D117" s="2">
        <v>123456789</v>
      </c>
    </row>
    <row r="118" spans="1:4" x14ac:dyDescent="0.45">
      <c r="A118" t="s">
        <v>251</v>
      </c>
      <c r="B118">
        <f>spliced_housing_approvals!D118</f>
        <v>263131</v>
      </c>
      <c r="C118" s="2">
        <v>123456789</v>
      </c>
      <c r="D118" s="2">
        <v>123456789</v>
      </c>
    </row>
    <row r="119" spans="1:4" x14ac:dyDescent="0.45">
      <c r="A119" t="s">
        <v>252</v>
      </c>
      <c r="B119">
        <f>spliced_housing_approvals!D119</f>
        <v>291456</v>
      </c>
      <c r="C119" s="2">
        <v>123456789</v>
      </c>
      <c r="D119" s="2">
        <v>123456789</v>
      </c>
    </row>
    <row r="120" spans="1:4" x14ac:dyDescent="0.45">
      <c r="A120" t="s">
        <v>253</v>
      </c>
      <c r="B120">
        <f>spliced_housing_approvals!D120</f>
        <v>294619</v>
      </c>
      <c r="C120" s="2">
        <v>123456789</v>
      </c>
      <c r="D120" s="2">
        <v>123456789</v>
      </c>
    </row>
    <row r="121" spans="1:4" x14ac:dyDescent="0.45">
      <c r="A121" t="s">
        <v>254</v>
      </c>
      <c r="B121">
        <f>spliced_housing_approvals!D121</f>
        <v>286158</v>
      </c>
      <c r="C121" s="2">
        <v>123456789</v>
      </c>
      <c r="D121" s="2">
        <v>123456789</v>
      </c>
    </row>
    <row r="122" spans="1:4" x14ac:dyDescent="0.45">
      <c r="A122" t="s">
        <v>255</v>
      </c>
      <c r="B122">
        <f>spliced_housing_approvals!D122</f>
        <v>275007</v>
      </c>
      <c r="C122" s="2">
        <v>123456789</v>
      </c>
      <c r="D122" s="2">
        <v>123456789</v>
      </c>
    </row>
    <row r="123" spans="1:4" x14ac:dyDescent="0.45">
      <c r="A123" t="s">
        <v>256</v>
      </c>
      <c r="B123">
        <f>spliced_housing_approvals!D123</f>
        <v>284380</v>
      </c>
      <c r="C123" s="2">
        <v>123456789</v>
      </c>
      <c r="D123" s="2">
        <v>123456789</v>
      </c>
    </row>
    <row r="124" spans="1:4" x14ac:dyDescent="0.45">
      <c r="A124" t="s">
        <v>257</v>
      </c>
      <c r="B124">
        <f>spliced_housing_approvals!D124</f>
        <v>272094</v>
      </c>
      <c r="C124" s="2">
        <v>123456789</v>
      </c>
      <c r="D124" s="2">
        <v>123456789</v>
      </c>
    </row>
    <row r="125" spans="1:4" x14ac:dyDescent="0.45">
      <c r="A125" t="s">
        <v>258</v>
      </c>
      <c r="B125">
        <f>spliced_housing_approvals!D125</f>
        <v>290612</v>
      </c>
      <c r="C125" s="2">
        <v>123456789</v>
      </c>
      <c r="D125" s="2">
        <v>123456789</v>
      </c>
    </row>
    <row r="126" spans="1:4" x14ac:dyDescent="0.45">
      <c r="A126" t="s">
        <v>259</v>
      </c>
      <c r="B126">
        <f>spliced_housing_approvals!D126</f>
        <v>298518</v>
      </c>
      <c r="C126" s="2">
        <v>123456789</v>
      </c>
      <c r="D126" s="2">
        <v>123456789</v>
      </c>
    </row>
    <row r="127" spans="1:4" x14ac:dyDescent="0.45">
      <c r="A127" t="s">
        <v>260</v>
      </c>
      <c r="B127">
        <f>spliced_housing_approvals!D127</f>
        <v>320280</v>
      </c>
      <c r="C127" s="2">
        <v>123456789</v>
      </c>
      <c r="D127" s="2">
        <v>123456789</v>
      </c>
    </row>
    <row r="128" spans="1:4" x14ac:dyDescent="0.45">
      <c r="A128" t="s">
        <v>261</v>
      </c>
      <c r="B128">
        <f>spliced_housing_approvals!D128</f>
        <v>328540</v>
      </c>
      <c r="C128" s="2">
        <v>123456789</v>
      </c>
      <c r="D128" s="2">
        <v>123456789</v>
      </c>
    </row>
    <row r="129" spans="1:4" x14ac:dyDescent="0.45">
      <c r="A129" t="s">
        <v>262</v>
      </c>
      <c r="B129">
        <f>spliced_housing_approvals!D129</f>
        <v>309080</v>
      </c>
      <c r="C129" s="2">
        <v>123456789</v>
      </c>
      <c r="D129" s="2">
        <v>123456789</v>
      </c>
    </row>
    <row r="130" spans="1:4" x14ac:dyDescent="0.45">
      <c r="A130" t="s">
        <v>263</v>
      </c>
      <c r="B130">
        <f>spliced_housing_approvals!D130</f>
        <v>369166</v>
      </c>
      <c r="C130" s="2">
        <v>123456789</v>
      </c>
      <c r="D130" s="2">
        <v>123456789</v>
      </c>
    </row>
    <row r="131" spans="1:4" x14ac:dyDescent="0.45">
      <c r="A131" t="s">
        <v>264</v>
      </c>
      <c r="B131">
        <f>spliced_housing_approvals!D131</f>
        <v>357119</v>
      </c>
      <c r="C131" s="2">
        <v>123456789</v>
      </c>
      <c r="D131" s="2">
        <v>123456789</v>
      </c>
    </row>
    <row r="132" spans="1:4" x14ac:dyDescent="0.45">
      <c r="A132" t="s">
        <v>265</v>
      </c>
      <c r="B132">
        <f>spliced_housing_approvals!D132</f>
        <v>343150</v>
      </c>
      <c r="C132" s="2">
        <v>123456789</v>
      </c>
      <c r="D132" s="2">
        <v>123456789</v>
      </c>
    </row>
    <row r="133" spans="1:4" x14ac:dyDescent="0.45">
      <c r="A133" t="s">
        <v>266</v>
      </c>
      <c r="B133">
        <f>spliced_housing_approvals!D133</f>
        <v>352389</v>
      </c>
      <c r="C133" s="2">
        <v>123456789</v>
      </c>
      <c r="D133" s="2">
        <v>123456789</v>
      </c>
    </row>
    <row r="134" spans="1:4" x14ac:dyDescent="0.45">
      <c r="A134" t="s">
        <v>267</v>
      </c>
      <c r="B134">
        <f>spliced_housing_approvals!D134</f>
        <v>304369</v>
      </c>
      <c r="C134" s="2">
        <v>123456789</v>
      </c>
      <c r="D134" s="2">
        <v>123456789</v>
      </c>
    </row>
    <row r="135" spans="1:4" x14ac:dyDescent="0.45">
      <c r="A135" t="s">
        <v>268</v>
      </c>
      <c r="B135">
        <f>spliced_housing_approvals!D135</f>
        <v>307106</v>
      </c>
      <c r="C135" s="2">
        <v>123456789</v>
      </c>
      <c r="D135" s="2">
        <v>123456789</v>
      </c>
    </row>
    <row r="136" spans="1:4" x14ac:dyDescent="0.45">
      <c r="A136" t="s">
        <v>269</v>
      </c>
      <c r="B136">
        <f>spliced_housing_approvals!D136</f>
        <v>366273</v>
      </c>
      <c r="C136" s="2">
        <v>123456789</v>
      </c>
      <c r="D136" s="2">
        <v>123456789</v>
      </c>
    </row>
    <row r="137" spans="1:4" x14ac:dyDescent="0.45">
      <c r="A137" t="s">
        <v>270</v>
      </c>
      <c r="B137">
        <f>spliced_housing_approvals!D137</f>
        <v>393279</v>
      </c>
      <c r="C137" s="2">
        <v>123456789</v>
      </c>
      <c r="D137" s="2">
        <v>123456789</v>
      </c>
    </row>
    <row r="138" spans="1:4" x14ac:dyDescent="0.45">
      <c r="A138" t="s">
        <v>271</v>
      </c>
      <c r="B138">
        <f>spliced_housing_approvals!D138</f>
        <v>377534</v>
      </c>
      <c r="C138" s="2">
        <v>123456789</v>
      </c>
      <c r="D138" s="2">
        <v>123456789</v>
      </c>
    </row>
    <row r="139" spans="1:4" x14ac:dyDescent="0.45">
      <c r="A139" t="s">
        <v>272</v>
      </c>
      <c r="B139">
        <f>spliced_housing_approvals!D139</f>
        <v>352679</v>
      </c>
      <c r="C139" s="2">
        <v>123456789</v>
      </c>
      <c r="D139" s="2">
        <v>123456789</v>
      </c>
    </row>
    <row r="140" spans="1:4" x14ac:dyDescent="0.45">
      <c r="A140" t="s">
        <v>273</v>
      </c>
      <c r="B140">
        <f>spliced_housing_approvals!D140</f>
        <v>278713</v>
      </c>
      <c r="C140" s="2">
        <v>123456789</v>
      </c>
      <c r="D140" s="2">
        <v>123456789</v>
      </c>
    </row>
    <row r="141" spans="1:4" x14ac:dyDescent="0.45">
      <c r="A141" t="s">
        <v>274</v>
      </c>
      <c r="B141">
        <f>spliced_housing_approvals!D141</f>
        <v>243286</v>
      </c>
      <c r="C141" s="2">
        <v>123456789</v>
      </c>
      <c r="D141" s="2">
        <v>123456789</v>
      </c>
    </row>
    <row r="142" spans="1:4" x14ac:dyDescent="0.45">
      <c r="A142" t="s">
        <v>275</v>
      </c>
      <c r="B142">
        <f>spliced_housing_approvals!D142</f>
        <v>259619</v>
      </c>
      <c r="C142" s="2">
        <v>123456789</v>
      </c>
      <c r="D142" s="2">
        <v>123456789</v>
      </c>
    </row>
    <row r="143" spans="1:4" x14ac:dyDescent="0.45">
      <c r="A143" t="s">
        <v>276</v>
      </c>
      <c r="B143">
        <f>spliced_housing_approvals!D143</f>
        <v>287600</v>
      </c>
      <c r="C143" s="2">
        <v>123456789</v>
      </c>
      <c r="D143" s="2">
        <v>123456789</v>
      </c>
    </row>
    <row r="144" spans="1:4" x14ac:dyDescent="0.45">
      <c r="A144" t="s">
        <v>277</v>
      </c>
      <c r="B144">
        <f>spliced_housing_approvals!D144</f>
        <v>305394</v>
      </c>
      <c r="C144" s="2">
        <v>123456789</v>
      </c>
      <c r="D144" s="2">
        <v>123456789</v>
      </c>
    </row>
    <row r="145" spans="1:4" x14ac:dyDescent="0.45">
      <c r="A145" t="s">
        <v>278</v>
      </c>
      <c r="B145">
        <f>spliced_housing_approvals!D145</f>
        <v>344730</v>
      </c>
      <c r="C145" s="2">
        <v>123456789</v>
      </c>
      <c r="D145" s="2">
        <v>123456789</v>
      </c>
    </row>
    <row r="146" spans="1:4" x14ac:dyDescent="0.45">
      <c r="A146" t="s">
        <v>279</v>
      </c>
      <c r="B146">
        <f>spliced_housing_approvals!D146</f>
        <v>351308</v>
      </c>
      <c r="C146" s="2">
        <v>123456789</v>
      </c>
      <c r="D146" s="2">
        <v>123456789</v>
      </c>
    </row>
    <row r="147" spans="1:4" x14ac:dyDescent="0.45">
      <c r="A147" t="s">
        <v>280</v>
      </c>
      <c r="B147">
        <f>spliced_housing_approvals!D147</f>
        <v>344660</v>
      </c>
      <c r="C147" s="2">
        <v>123456789</v>
      </c>
      <c r="D147" s="2">
        <v>123456789</v>
      </c>
    </row>
    <row r="148" spans="1:4" x14ac:dyDescent="0.45">
      <c r="A148" t="s">
        <v>281</v>
      </c>
      <c r="B148">
        <f>spliced_housing_approvals!D148</f>
        <v>359382</v>
      </c>
      <c r="C148" s="2">
        <v>123456789</v>
      </c>
      <c r="D148" s="2">
        <v>123456789</v>
      </c>
    </row>
    <row r="149" spans="1:4" x14ac:dyDescent="0.45">
      <c r="A149" t="s">
        <v>282</v>
      </c>
      <c r="B149">
        <f>spliced_housing_approvals!D149</f>
        <v>373429</v>
      </c>
      <c r="C149" s="2">
        <v>123456789</v>
      </c>
      <c r="D149" s="2">
        <v>123456789</v>
      </c>
    </row>
    <row r="150" spans="1:4" x14ac:dyDescent="0.45">
      <c r="A150" t="s">
        <v>283</v>
      </c>
      <c r="B150">
        <f>spliced_housing_approvals!D150</f>
        <v>352178</v>
      </c>
      <c r="C150" s="2">
        <v>123456789</v>
      </c>
      <c r="D150" s="2">
        <v>123456789</v>
      </c>
    </row>
    <row r="151" spans="1:4" x14ac:dyDescent="0.45">
      <c r="A151" t="s">
        <v>284</v>
      </c>
      <c r="B151">
        <f>spliced_housing_approvals!D151</f>
        <v>337827</v>
      </c>
      <c r="C151" s="2">
        <v>123456789</v>
      </c>
      <c r="D151" s="2">
        <v>123456789</v>
      </c>
    </row>
    <row r="152" spans="1:4" x14ac:dyDescent="0.45">
      <c r="A152" t="s">
        <v>285</v>
      </c>
      <c r="B152">
        <f>spliced_housing_approvals!D152</f>
        <v>319826</v>
      </c>
      <c r="C152" s="2">
        <v>123456789</v>
      </c>
      <c r="D152" s="2">
        <v>123456789</v>
      </c>
    </row>
    <row r="153" spans="1:4" x14ac:dyDescent="0.45">
      <c r="A153" t="s">
        <v>286</v>
      </c>
      <c r="B153">
        <f>spliced_housing_approvals!D153</f>
        <v>239997</v>
      </c>
      <c r="C153" s="2">
        <v>123456789</v>
      </c>
      <c r="D153" s="2">
        <v>123456789</v>
      </c>
    </row>
    <row r="154" spans="1:4" x14ac:dyDescent="0.45">
      <c r="A154" t="s">
        <v>287</v>
      </c>
      <c r="B154">
        <f>spliced_housing_approvals!D154</f>
        <v>202894</v>
      </c>
      <c r="C154" s="2">
        <v>123456789</v>
      </c>
      <c r="D154" s="2">
        <v>123456789</v>
      </c>
    </row>
    <row r="155" spans="1:4" x14ac:dyDescent="0.45">
      <c r="A155" t="s">
        <v>288</v>
      </c>
      <c r="B155">
        <f>spliced_housing_approvals!D155</f>
        <v>133012</v>
      </c>
      <c r="C155" s="2">
        <v>123456789</v>
      </c>
      <c r="D155" s="2">
        <v>123456789</v>
      </c>
    </row>
    <row r="156" spans="1:4" x14ac:dyDescent="0.45">
      <c r="A156" t="s">
        <v>289</v>
      </c>
      <c r="B156">
        <f>spliced_housing_approvals!D156</f>
        <v>97965</v>
      </c>
      <c r="C156" s="2">
        <v>123456789</v>
      </c>
      <c r="D156" s="2">
        <v>123456789</v>
      </c>
    </row>
    <row r="157" spans="1:4" x14ac:dyDescent="0.45">
      <c r="A157" t="s">
        <v>290</v>
      </c>
      <c r="B157">
        <f>spliced_housing_approvals!D157</f>
        <v>89593</v>
      </c>
      <c r="C157" s="2">
        <v>123456789</v>
      </c>
      <c r="D157" s="2">
        <v>123456789</v>
      </c>
    </row>
    <row r="158" spans="1:4" x14ac:dyDescent="0.45">
      <c r="A158" t="s">
        <v>291</v>
      </c>
      <c r="B158">
        <f>spliced_housing_approvals!D158</f>
        <v>115313</v>
      </c>
      <c r="C158" s="2">
        <v>123456789</v>
      </c>
      <c r="D158" s="2">
        <v>123456789</v>
      </c>
    </row>
    <row r="159" spans="1:4" x14ac:dyDescent="0.45">
      <c r="A159" t="s">
        <v>292</v>
      </c>
      <c r="B159">
        <f>spliced_housing_approvals!D159</f>
        <v>143532</v>
      </c>
      <c r="C159" s="2">
        <v>123456789</v>
      </c>
      <c r="D159" s="2">
        <v>123456789</v>
      </c>
    </row>
    <row r="160" spans="1:4" x14ac:dyDescent="0.45">
      <c r="A160" t="s">
        <v>293</v>
      </c>
      <c r="B160">
        <f>spliced_housing_approvals!D160</f>
        <v>161606</v>
      </c>
      <c r="C160" s="2">
        <v>123456789</v>
      </c>
      <c r="D160" s="2">
        <v>123456789</v>
      </c>
    </row>
    <row r="161" spans="1:4" x14ac:dyDescent="0.45">
      <c r="A161" t="s">
        <v>294</v>
      </c>
      <c r="B161">
        <f>spliced_housing_approvals!D161</f>
        <v>171216</v>
      </c>
      <c r="C161" s="2">
        <v>123456789</v>
      </c>
      <c r="D161" s="2">
        <v>123456789</v>
      </c>
    </row>
    <row r="162" spans="1:4" x14ac:dyDescent="0.45">
      <c r="A162" t="s">
        <v>295</v>
      </c>
      <c r="B162">
        <f>spliced_housing_approvals!D162</f>
        <v>143571</v>
      </c>
      <c r="C162" s="2">
        <v>123456789</v>
      </c>
      <c r="D162" s="2">
        <v>123456789</v>
      </c>
    </row>
    <row r="163" spans="1:4" x14ac:dyDescent="0.45">
      <c r="A163" t="s">
        <v>296</v>
      </c>
      <c r="B163">
        <f>spliced_housing_approvals!D163</f>
        <v>149727</v>
      </c>
      <c r="C163" s="2">
        <v>123456789</v>
      </c>
      <c r="D163" s="2">
        <v>123456789</v>
      </c>
    </row>
    <row r="164" spans="1:4" x14ac:dyDescent="0.45">
      <c r="A164" t="s">
        <v>297</v>
      </c>
      <c r="B164">
        <f>spliced_housing_approvals!D164</f>
        <v>142785</v>
      </c>
      <c r="C164" s="2">
        <v>123456789</v>
      </c>
      <c r="D164" s="2">
        <v>123456789</v>
      </c>
    </row>
    <row r="165" spans="1:4" x14ac:dyDescent="0.45">
      <c r="A165" t="s">
        <v>298</v>
      </c>
      <c r="B165">
        <f>spliced_housing_approvals!D165</f>
        <v>134738</v>
      </c>
      <c r="C165" s="2">
        <v>123456789</v>
      </c>
      <c r="D165" s="2">
        <v>123456789</v>
      </c>
    </row>
    <row r="166" spans="1:4" x14ac:dyDescent="0.45">
      <c r="A166" t="s">
        <v>299</v>
      </c>
      <c r="B166">
        <f>spliced_housing_approvals!D166</f>
        <v>138742</v>
      </c>
      <c r="C166" s="2">
        <v>123456789</v>
      </c>
      <c r="D166" s="2">
        <v>123456789</v>
      </c>
    </row>
    <row r="167" spans="1:4" x14ac:dyDescent="0.45">
      <c r="A167" t="s">
        <v>300</v>
      </c>
      <c r="B167">
        <f>spliced_housing_approvals!D167</f>
        <v>142514</v>
      </c>
      <c r="C167" s="2">
        <v>123456789</v>
      </c>
      <c r="D167" s="2">
        <v>123456789</v>
      </c>
    </row>
    <row r="168" spans="1:4" x14ac:dyDescent="0.45">
      <c r="A168" t="s">
        <v>301</v>
      </c>
      <c r="B168">
        <f>spliced_housing_approvals!D168</f>
        <v>154697</v>
      </c>
      <c r="C168" s="2">
        <v>123456789</v>
      </c>
      <c r="D168" s="2">
        <v>123456789</v>
      </c>
    </row>
    <row r="169" spans="1:4" x14ac:dyDescent="0.45">
      <c r="A169" t="s">
        <v>302</v>
      </c>
      <c r="B169">
        <f>spliced_housing_approvals!D169</f>
        <v>155488</v>
      </c>
      <c r="C169" s="2">
        <v>123456789</v>
      </c>
      <c r="D169" s="2">
        <v>123456789</v>
      </c>
    </row>
    <row r="170" spans="1:4" x14ac:dyDescent="0.45">
      <c r="A170" t="s">
        <v>303</v>
      </c>
      <c r="B170">
        <f>spliced_housing_approvals!D170</f>
        <v>157217</v>
      </c>
      <c r="C170" s="2">
        <v>123456789</v>
      </c>
      <c r="D170" s="2">
        <v>123456789</v>
      </c>
    </row>
    <row r="171" spans="1:4" x14ac:dyDescent="0.45">
      <c r="A171" t="s">
        <v>304</v>
      </c>
      <c r="B171">
        <f>spliced_housing_approvals!D171</f>
        <v>149089</v>
      </c>
      <c r="C171" s="2">
        <v>123456789</v>
      </c>
      <c r="D171" s="2">
        <v>123456789</v>
      </c>
    </row>
    <row r="172" spans="1:4" x14ac:dyDescent="0.45">
      <c r="A172" t="s">
        <v>305</v>
      </c>
      <c r="B172">
        <f>spliced_housing_approvals!D172</f>
        <v>145693</v>
      </c>
      <c r="C172" s="2">
        <v>123456789</v>
      </c>
      <c r="D172" s="2">
        <v>123456789</v>
      </c>
    </row>
    <row r="173" spans="1:4" x14ac:dyDescent="0.45">
      <c r="A173" t="s">
        <v>306</v>
      </c>
      <c r="B173">
        <f>spliced_housing_approvals!D173</f>
        <v>159932</v>
      </c>
      <c r="C173" s="2">
        <v>123456789</v>
      </c>
      <c r="D173" s="2">
        <v>123456789</v>
      </c>
    </row>
    <row r="174" spans="1:4" x14ac:dyDescent="0.45">
      <c r="A174" t="s">
        <v>307</v>
      </c>
      <c r="B174">
        <f>spliced_housing_approvals!D174</f>
        <v>159340</v>
      </c>
      <c r="C174" s="2">
        <v>123456789</v>
      </c>
      <c r="D174" s="2">
        <v>123456789</v>
      </c>
    </row>
    <row r="175" spans="1:4" x14ac:dyDescent="0.45">
      <c r="A175" t="s">
        <v>308</v>
      </c>
      <c r="B175">
        <f>spliced_housing_approvals!D175</f>
        <v>174022</v>
      </c>
      <c r="C175" s="2">
        <v>123456789</v>
      </c>
      <c r="D175" s="2">
        <v>123456789</v>
      </c>
    </row>
    <row r="176" spans="1:4" x14ac:dyDescent="0.45">
      <c r="A176" t="s">
        <v>309</v>
      </c>
      <c r="B176">
        <f>spliced_housing_approvals!D176</f>
        <v>190774</v>
      </c>
      <c r="C176" s="2">
        <v>123456789</v>
      </c>
      <c r="D176" s="2">
        <v>123456789</v>
      </c>
    </row>
    <row r="177" spans="1:4" x14ac:dyDescent="0.45">
      <c r="A177" t="s">
        <v>310</v>
      </c>
      <c r="B177">
        <f>spliced_housing_approvals!D177</f>
        <v>210891</v>
      </c>
      <c r="C177" s="2">
        <v>123456789</v>
      </c>
      <c r="D177" s="2">
        <v>123456789</v>
      </c>
    </row>
    <row r="178" spans="1:4" x14ac:dyDescent="0.45">
      <c r="A178" t="s">
        <v>311</v>
      </c>
      <c r="B178">
        <f>spliced_housing_approvals!D178</f>
        <v>212330</v>
      </c>
      <c r="C178" s="2">
        <v>123456789</v>
      </c>
      <c r="D178" s="2">
        <v>123456789</v>
      </c>
    </row>
    <row r="179" spans="1:4" x14ac:dyDescent="0.45">
      <c r="A179" t="s">
        <v>312</v>
      </c>
      <c r="B179">
        <f>spliced_housing_approvals!D179</f>
        <v>195150</v>
      </c>
      <c r="C179" s="2">
        <v>123456789</v>
      </c>
      <c r="D179" s="2">
        <v>123456789</v>
      </c>
    </row>
    <row r="180" spans="1:4" x14ac:dyDescent="0.45">
      <c r="A180" t="s">
        <v>313</v>
      </c>
      <c r="B180">
        <f>spliced_housing_approvals!D180</f>
        <v>194316</v>
      </c>
      <c r="C180" s="2">
        <v>123456789</v>
      </c>
      <c r="D180" s="2">
        <v>123456789</v>
      </c>
    </row>
    <row r="181" spans="1:4" x14ac:dyDescent="0.45">
      <c r="A181" t="s">
        <v>314</v>
      </c>
      <c r="B181">
        <f>spliced_housing_approvals!D181</f>
        <v>180159</v>
      </c>
      <c r="C181" s="2">
        <v>123456789</v>
      </c>
      <c r="D181" s="2">
        <v>123456789</v>
      </c>
    </row>
    <row r="182" spans="1:4" x14ac:dyDescent="0.45">
      <c r="A182" t="s">
        <v>315</v>
      </c>
      <c r="B182">
        <f>spliced_housing_approvals!D182</f>
        <v>183169</v>
      </c>
      <c r="C182" s="2">
        <v>123456789</v>
      </c>
      <c r="D182" s="2">
        <v>123456789</v>
      </c>
    </row>
    <row r="183" spans="1:4" x14ac:dyDescent="0.45">
      <c r="A183" t="s">
        <v>316</v>
      </c>
      <c r="B183">
        <f>spliced_housing_approvals!D183</f>
        <v>202516</v>
      </c>
      <c r="C183" s="2">
        <v>123456789</v>
      </c>
      <c r="D183" s="2">
        <v>123456789</v>
      </c>
    </row>
    <row r="184" spans="1:4" x14ac:dyDescent="0.45">
      <c r="A184" t="s">
        <v>317</v>
      </c>
      <c r="B184">
        <f>spliced_housing_approvals!D184</f>
        <v>214218</v>
      </c>
      <c r="C184" s="2">
        <v>123456789</v>
      </c>
      <c r="D184" s="2">
        <v>123456789</v>
      </c>
    </row>
    <row r="185" spans="1:4" x14ac:dyDescent="0.45">
      <c r="A185" t="s">
        <v>318</v>
      </c>
      <c r="B185">
        <f>spliced_housing_approvals!D185</f>
        <v>211838</v>
      </c>
      <c r="C185" s="2">
        <v>123456789</v>
      </c>
      <c r="D185" s="2">
        <v>123456789</v>
      </c>
    </row>
    <row r="186" spans="1:4" x14ac:dyDescent="0.45">
      <c r="A186" t="s">
        <v>319</v>
      </c>
      <c r="B186">
        <f>spliced_housing_approvals!D186</f>
        <v>215040</v>
      </c>
      <c r="C186" s="2">
        <v>123456789</v>
      </c>
      <c r="D186" s="2">
        <v>123456789</v>
      </c>
    </row>
    <row r="187" spans="1:4" x14ac:dyDescent="0.45">
      <c r="A187" t="s">
        <v>320</v>
      </c>
      <c r="B187">
        <f>spliced_housing_approvals!D187</f>
        <v>202174</v>
      </c>
      <c r="C187" s="2">
        <v>123456789</v>
      </c>
      <c r="D187" s="2">
        <v>123456789</v>
      </c>
    </row>
    <row r="188" spans="1:4" x14ac:dyDescent="0.45">
      <c r="A188" t="s">
        <v>321</v>
      </c>
      <c r="B188">
        <f>spliced_housing_approvals!D188</f>
        <v>188296</v>
      </c>
      <c r="C188" s="2">
        <v>123456789</v>
      </c>
      <c r="D188" s="2">
        <v>123456789</v>
      </c>
    </row>
    <row r="189" spans="1:4" x14ac:dyDescent="0.45">
      <c r="A189" t="s">
        <v>322</v>
      </c>
      <c r="B189">
        <f>spliced_housing_approvals!D189</f>
        <v>204647</v>
      </c>
      <c r="C189" s="2">
        <v>123456789</v>
      </c>
      <c r="D189" s="2">
        <v>123456789</v>
      </c>
    </row>
    <row r="190" spans="1:4" x14ac:dyDescent="0.45">
      <c r="A190" t="s">
        <v>323</v>
      </c>
      <c r="B190">
        <f>spliced_housing_approvals!D190</f>
        <v>204113</v>
      </c>
      <c r="C190" s="2">
        <v>123456789</v>
      </c>
      <c r="D190" s="2">
        <v>123456789</v>
      </c>
    </row>
    <row r="191" spans="1:4" x14ac:dyDescent="0.45">
      <c r="A191" t="s">
        <v>324</v>
      </c>
      <c r="B191">
        <f>spliced_housing_approvals!D191</f>
        <v>198540</v>
      </c>
      <c r="C191" s="2">
        <v>123456789</v>
      </c>
      <c r="D191" s="2">
        <v>123456789</v>
      </c>
    </row>
    <row r="192" spans="1:4" x14ac:dyDescent="0.45">
      <c r="A192" t="s">
        <v>325</v>
      </c>
      <c r="B192">
        <f>spliced_housing_approvals!D192</f>
        <v>201799</v>
      </c>
      <c r="C192" s="2">
        <v>123456789</v>
      </c>
      <c r="D192" s="2">
        <v>123456789</v>
      </c>
    </row>
    <row r="193" spans="1:4" x14ac:dyDescent="0.45">
      <c r="A193" t="s">
        <v>326</v>
      </c>
      <c r="B193">
        <f>spliced_housing_approvals!D193</f>
        <v>193149</v>
      </c>
      <c r="C193" s="2">
        <v>123456789</v>
      </c>
      <c r="D193" s="2">
        <v>123456789</v>
      </c>
    </row>
    <row r="194" spans="1:4" x14ac:dyDescent="0.45">
      <c r="A194" t="s">
        <v>327</v>
      </c>
      <c r="B194">
        <f>spliced_housing_approvals!D194</f>
        <v>191862</v>
      </c>
      <c r="C194" s="2">
        <v>123456789</v>
      </c>
      <c r="D194" s="2">
        <v>123456789</v>
      </c>
    </row>
    <row r="195" spans="1:4" x14ac:dyDescent="0.45">
      <c r="A195" t="s">
        <v>328</v>
      </c>
      <c r="B195">
        <f>spliced_housing_approvals!D195</f>
        <v>194353</v>
      </c>
      <c r="C195" s="2">
        <v>123456789</v>
      </c>
      <c r="D195" s="2">
        <v>123456789</v>
      </c>
    </row>
    <row r="196" spans="1:4" x14ac:dyDescent="0.45">
      <c r="A196" t="s">
        <v>329</v>
      </c>
      <c r="B196">
        <f>spliced_housing_approvals!D196</f>
        <v>197621</v>
      </c>
      <c r="C196" s="2">
        <v>123456789</v>
      </c>
      <c r="D196" s="2">
        <v>123456789</v>
      </c>
    </row>
    <row r="197" spans="1:4" x14ac:dyDescent="0.45">
      <c r="A197" t="s">
        <v>330</v>
      </c>
      <c r="B197">
        <f>spliced_housing_approvals!D197</f>
        <v>197484</v>
      </c>
      <c r="C197" s="2">
        <v>123456789</v>
      </c>
      <c r="D197" s="2">
        <v>123456789</v>
      </c>
    </row>
    <row r="198" spans="1:4" x14ac:dyDescent="0.45">
      <c r="A198" t="s">
        <v>331</v>
      </c>
      <c r="B198">
        <f>spliced_housing_approvals!D198</f>
        <v>191381</v>
      </c>
      <c r="C198" s="2">
        <v>123456789</v>
      </c>
      <c r="D198" s="2">
        <v>123456789</v>
      </c>
    </row>
    <row r="199" spans="1:4" x14ac:dyDescent="0.45">
      <c r="A199" t="s">
        <v>332</v>
      </c>
      <c r="B199">
        <f>spliced_housing_approvals!D199</f>
        <v>198096</v>
      </c>
      <c r="C199" s="2">
        <v>123456789</v>
      </c>
      <c r="D199" s="2">
        <v>123456789</v>
      </c>
    </row>
    <row r="200" spans="1:4" x14ac:dyDescent="0.45">
      <c r="A200" t="s">
        <v>333</v>
      </c>
      <c r="B200">
        <f>spliced_housing_approvals!D200</f>
        <v>199581</v>
      </c>
      <c r="C200" s="2">
        <v>123456789</v>
      </c>
      <c r="D200" s="2">
        <v>123456789</v>
      </c>
    </row>
    <row r="201" spans="1:4" x14ac:dyDescent="0.45">
      <c r="A201" t="s">
        <v>334</v>
      </c>
      <c r="B201">
        <f>spliced_housing_approvals!D201</f>
        <v>200346</v>
      </c>
      <c r="C201" s="2">
        <v>123456789</v>
      </c>
      <c r="D201" s="2">
        <v>123456789</v>
      </c>
    </row>
    <row r="202" spans="1:4" x14ac:dyDescent="0.45">
      <c r="A202" t="s">
        <v>335</v>
      </c>
      <c r="B202">
        <f>spliced_housing_approvals!D202</f>
        <v>197168</v>
      </c>
      <c r="C202" s="2">
        <v>123456789</v>
      </c>
      <c r="D202" s="2">
        <v>123456789</v>
      </c>
    </row>
    <row r="203" spans="1:4" x14ac:dyDescent="0.45">
      <c r="A203" t="s">
        <v>336</v>
      </c>
      <c r="B203">
        <f>spliced_housing_approvals!D203</f>
        <v>65644</v>
      </c>
      <c r="C203" s="2">
        <v>123456789</v>
      </c>
      <c r="D203" s="2">
        <v>123456789</v>
      </c>
    </row>
    <row r="204" spans="1:4" x14ac:dyDescent="0.45">
      <c r="A204" t="s">
        <v>337</v>
      </c>
      <c r="B204">
        <f>spliced_housing_approvals!D204</f>
        <v>244595</v>
      </c>
      <c r="C204" s="2">
        <v>123456789</v>
      </c>
      <c r="D204" s="2">
        <v>123456789</v>
      </c>
    </row>
    <row r="205" spans="1:4" x14ac:dyDescent="0.45">
      <c r="A205" t="s">
        <v>338</v>
      </c>
      <c r="B205">
        <f>spliced_housing_approvals!D205</f>
        <v>311511</v>
      </c>
      <c r="C205" s="2">
        <v>123456789</v>
      </c>
      <c r="D205" s="2">
        <v>123456789</v>
      </c>
    </row>
    <row r="206" spans="1:4" x14ac:dyDescent="0.45">
      <c r="A206" t="s">
        <v>339</v>
      </c>
      <c r="B206">
        <f>spliced_housing_approvals!D206</f>
        <v>262330</v>
      </c>
      <c r="C206" s="2">
        <v>123456789</v>
      </c>
      <c r="D206" s="2">
        <v>123456789</v>
      </c>
    </row>
    <row r="207" spans="1:4" x14ac:dyDescent="0.45">
      <c r="A207" t="s">
        <v>340</v>
      </c>
      <c r="B207">
        <f>spliced_housing_approvals!D207</f>
        <v>250925</v>
      </c>
      <c r="C207" s="2">
        <v>123456789</v>
      </c>
      <c r="D207" s="2">
        <v>123456789</v>
      </c>
    </row>
    <row r="208" spans="1:4" x14ac:dyDescent="0.45">
      <c r="A208" t="s">
        <v>341</v>
      </c>
      <c r="B208">
        <f>spliced_housing_approvals!D208</f>
        <v>214135</v>
      </c>
      <c r="C208" s="2">
        <v>123456789</v>
      </c>
      <c r="D208" s="2">
        <v>123456789</v>
      </c>
    </row>
    <row r="209" spans="1:4" x14ac:dyDescent="0.45">
      <c r="A209" t="s">
        <v>342</v>
      </c>
      <c r="B209">
        <f>spliced_housing_approvals!D209</f>
        <v>209970</v>
      </c>
      <c r="C209" s="2">
        <v>123456789</v>
      </c>
      <c r="D209" s="2">
        <v>123456789</v>
      </c>
    </row>
    <row r="210" spans="1:4" x14ac:dyDescent="0.45">
      <c r="A210" t="s">
        <v>343</v>
      </c>
      <c r="B210">
        <f>spliced_housing_approvals!D210</f>
        <v>210732</v>
      </c>
      <c r="C210" s="2">
        <v>123456789</v>
      </c>
      <c r="D210" s="2">
        <v>123456789</v>
      </c>
    </row>
    <row r="211" spans="1:4" x14ac:dyDescent="0.45">
      <c r="A211" t="s">
        <v>344</v>
      </c>
      <c r="B211">
        <f>spliced_housing_approvals!D211</f>
        <v>195586</v>
      </c>
      <c r="C211" s="2">
        <v>123456789</v>
      </c>
      <c r="D211" s="2">
        <v>123456789</v>
      </c>
    </row>
    <row r="212" spans="1:4" x14ac:dyDescent="0.45">
      <c r="A212" t="s">
        <v>345</v>
      </c>
      <c r="B212">
        <f>spliced_housing_approvals!D212</f>
        <v>199694</v>
      </c>
      <c r="C212" s="2">
        <v>123456789</v>
      </c>
      <c r="D212" s="2">
        <v>123456789</v>
      </c>
    </row>
    <row r="213" spans="1:4" x14ac:dyDescent="0.45">
      <c r="A213" t="s">
        <v>346</v>
      </c>
      <c r="B213">
        <f>spliced_housing_approvals!D213</f>
        <v>145594</v>
      </c>
      <c r="C213" s="2">
        <v>123456789</v>
      </c>
      <c r="D213" s="2">
        <v>123456789</v>
      </c>
    </row>
    <row r="214" spans="1:4" x14ac:dyDescent="0.45">
      <c r="A214" t="s">
        <v>347</v>
      </c>
      <c r="B214">
        <f>spliced_housing_approvals!D214</f>
        <v>133600</v>
      </c>
      <c r="C214" s="2">
        <v>123456789</v>
      </c>
      <c r="D214" s="2">
        <v>123456789</v>
      </c>
    </row>
    <row r="215" spans="1:4" x14ac:dyDescent="0.45">
      <c r="A215" t="s">
        <v>348</v>
      </c>
      <c r="B215">
        <f>spliced_housing_approvals!D215</f>
        <v>154812</v>
      </c>
      <c r="C215" s="2">
        <v>123456789</v>
      </c>
      <c r="D215" s="2">
        <v>123456789</v>
      </c>
    </row>
    <row r="216" spans="1:4" x14ac:dyDescent="0.45">
      <c r="A216" t="s">
        <v>349</v>
      </c>
      <c r="B216">
        <f>spliced_housing_approvals!D216</f>
        <v>138423</v>
      </c>
      <c r="C216" s="2">
        <v>123456789</v>
      </c>
      <c r="D216" s="2">
        <v>123456789</v>
      </c>
    </row>
    <row r="217" spans="1:4" x14ac:dyDescent="0.45">
      <c r="A217" t="s">
        <v>350</v>
      </c>
      <c r="B217">
        <f>spliced_housing_approvals!D217</f>
        <v>150164</v>
      </c>
      <c r="C217" s="2">
        <v>123456789</v>
      </c>
      <c r="D217" s="2">
        <v>123456789</v>
      </c>
    </row>
    <row r="218" spans="1:4" x14ac:dyDescent="0.45">
      <c r="A218" t="s">
        <v>351</v>
      </c>
      <c r="B218">
        <f>spliced_housing_approvals!D218</f>
        <v>177092</v>
      </c>
      <c r="C218" s="2">
        <v>123456789</v>
      </c>
      <c r="D218" s="2">
        <v>123456789</v>
      </c>
    </row>
    <row r="219" spans="1:4" x14ac:dyDescent="0.45">
      <c r="A219" t="s">
        <v>352</v>
      </c>
      <c r="B219">
        <f>spliced_housing_approvals!D219</f>
        <v>184227</v>
      </c>
      <c r="C219" s="2">
        <v>123456789</v>
      </c>
      <c r="D219" s="2">
        <v>123456789</v>
      </c>
    </row>
    <row r="220" spans="1:4" x14ac:dyDescent="0.45">
      <c r="A220" t="s">
        <v>353</v>
      </c>
      <c r="B220">
        <f>spliced_housing_approvals!D220</f>
        <v>193107</v>
      </c>
      <c r="C220" s="2">
        <v>123456789</v>
      </c>
      <c r="D220" s="2">
        <v>123456789</v>
      </c>
    </row>
    <row r="221" spans="1:4" x14ac:dyDescent="0.45">
      <c r="A221" t="s">
        <v>354</v>
      </c>
      <c r="B221">
        <f>spliced_housing_approvals!D221</f>
        <v>200056</v>
      </c>
      <c r="C221" s="2">
        <v>123456789</v>
      </c>
      <c r="D221" s="2">
        <v>123456789</v>
      </c>
    </row>
    <row r="222" spans="1:4" x14ac:dyDescent="0.45">
      <c r="A222" t="s">
        <v>355</v>
      </c>
      <c r="B222">
        <f>spliced_housing_approvals!D222</f>
        <v>194998</v>
      </c>
      <c r="C222" s="2">
        <v>123456789</v>
      </c>
      <c r="D222" s="2">
        <v>123456789</v>
      </c>
    </row>
    <row r="223" spans="1:4" x14ac:dyDescent="0.45">
      <c r="A223" t="s">
        <v>356</v>
      </c>
      <c r="B223">
        <f>spliced_housing_approvals!D223</f>
        <v>188787</v>
      </c>
      <c r="C223" s="2">
        <v>123456789</v>
      </c>
      <c r="D223" s="2">
        <v>123456789</v>
      </c>
    </row>
    <row r="224" spans="1:4" x14ac:dyDescent="0.45">
      <c r="A224" s="4" t="s">
        <v>357</v>
      </c>
      <c r="B224" s="4">
        <v>188787</v>
      </c>
      <c r="C224" s="2">
        <v>123456789</v>
      </c>
      <c r="D224" s="2">
        <v>123456789</v>
      </c>
    </row>
    <row r="225" spans="1:4" x14ac:dyDescent="0.45">
      <c r="A225" s="4" t="s">
        <v>438</v>
      </c>
      <c r="B225" s="4">
        <v>188787</v>
      </c>
      <c r="C225" s="2">
        <v>123456789</v>
      </c>
      <c r="D225" s="2">
        <v>123456789</v>
      </c>
    </row>
    <row r="226" spans="1:4" x14ac:dyDescent="0.45">
      <c r="A226" s="4" t="s">
        <v>441</v>
      </c>
      <c r="B226" s="4">
        <v>188787</v>
      </c>
      <c r="C226" s="2">
        <v>123456789</v>
      </c>
      <c r="D226" s="2">
        <v>123456789</v>
      </c>
    </row>
  </sheetData>
  <phoneticPr fontId="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6C03-BCCB-40EA-B6A3-A0C6AE3B4CEB}">
  <sheetPr>
    <tabColor theme="9" tint="0.79998168889431442"/>
  </sheetPr>
  <dimension ref="A1:D226"/>
  <sheetViews>
    <sheetView topLeftCell="A217" workbookViewId="0">
      <selection activeCell="F236" sqref="F236"/>
    </sheetView>
  </sheetViews>
  <sheetFormatPr defaultRowHeight="14.25" x14ac:dyDescent="0.45"/>
  <sheetData>
    <row r="1" spans="1:4" x14ac:dyDescent="0.45">
      <c r="B1" t="s">
        <v>6</v>
      </c>
      <c r="C1" t="s">
        <v>133</v>
      </c>
      <c r="D1" t="s">
        <v>134</v>
      </c>
    </row>
    <row r="2" spans="1:4" x14ac:dyDescent="0.45">
      <c r="A2" t="s">
        <v>135</v>
      </c>
      <c r="B2">
        <v>0</v>
      </c>
      <c r="C2">
        <v>0</v>
      </c>
      <c r="D2">
        <v>0</v>
      </c>
    </row>
    <row r="3" spans="1:4" x14ac:dyDescent="0.45">
      <c r="A3" t="s">
        <v>136</v>
      </c>
      <c r="B3">
        <v>0</v>
      </c>
      <c r="C3">
        <v>0</v>
      </c>
      <c r="D3">
        <v>0</v>
      </c>
    </row>
    <row r="4" spans="1:4" x14ac:dyDescent="0.45">
      <c r="A4" t="s">
        <v>137</v>
      </c>
      <c r="B4">
        <v>0</v>
      </c>
      <c r="C4">
        <v>0</v>
      </c>
      <c r="D4">
        <v>0</v>
      </c>
    </row>
    <row r="5" spans="1:4" x14ac:dyDescent="0.45">
      <c r="A5" t="s">
        <v>138</v>
      </c>
      <c r="B5">
        <v>0</v>
      </c>
      <c r="C5">
        <v>0</v>
      </c>
      <c r="D5">
        <v>0</v>
      </c>
    </row>
    <row r="6" spans="1:4" x14ac:dyDescent="0.45">
      <c r="A6" t="s">
        <v>139</v>
      </c>
      <c r="B6">
        <v>0</v>
      </c>
      <c r="C6">
        <v>0</v>
      </c>
      <c r="D6">
        <v>0</v>
      </c>
    </row>
    <row r="7" spans="1:4" x14ac:dyDescent="0.45">
      <c r="A7" t="s">
        <v>140</v>
      </c>
      <c r="B7">
        <v>0</v>
      </c>
      <c r="C7">
        <v>0</v>
      </c>
      <c r="D7">
        <v>0</v>
      </c>
    </row>
    <row r="8" spans="1:4" x14ac:dyDescent="0.45">
      <c r="A8" t="s">
        <v>141</v>
      </c>
      <c r="B8">
        <v>0</v>
      </c>
      <c r="C8">
        <v>0</v>
      </c>
      <c r="D8">
        <v>0</v>
      </c>
    </row>
    <row r="9" spans="1:4" x14ac:dyDescent="0.45">
      <c r="A9" t="s">
        <v>142</v>
      </c>
      <c r="B9">
        <v>0</v>
      </c>
      <c r="C9">
        <v>0</v>
      </c>
      <c r="D9">
        <v>0</v>
      </c>
    </row>
    <row r="10" spans="1:4" x14ac:dyDescent="0.45">
      <c r="A10" t="s">
        <v>143</v>
      </c>
      <c r="B10">
        <v>0</v>
      </c>
      <c r="C10">
        <v>0</v>
      </c>
      <c r="D10">
        <v>0</v>
      </c>
    </row>
    <row r="11" spans="1:4" x14ac:dyDescent="0.45">
      <c r="A11" t="s">
        <v>144</v>
      </c>
      <c r="B11">
        <v>0</v>
      </c>
      <c r="C11">
        <v>0</v>
      </c>
      <c r="D11">
        <v>0</v>
      </c>
    </row>
    <row r="12" spans="1:4" x14ac:dyDescent="0.45">
      <c r="A12" t="s">
        <v>145</v>
      </c>
      <c r="B12">
        <v>0</v>
      </c>
      <c r="C12">
        <v>0</v>
      </c>
      <c r="D12">
        <v>0</v>
      </c>
    </row>
    <row r="13" spans="1:4" x14ac:dyDescent="0.45">
      <c r="A13" t="s">
        <v>146</v>
      </c>
      <c r="B13">
        <v>0</v>
      </c>
      <c r="C13">
        <v>0</v>
      </c>
      <c r="D13">
        <v>0</v>
      </c>
    </row>
    <row r="14" spans="1:4" x14ac:dyDescent="0.45">
      <c r="A14" t="s">
        <v>147</v>
      </c>
      <c r="B14">
        <v>0</v>
      </c>
      <c r="C14">
        <v>0</v>
      </c>
      <c r="D14">
        <v>0</v>
      </c>
    </row>
    <row r="15" spans="1:4" x14ac:dyDescent="0.45">
      <c r="A15" t="s">
        <v>148</v>
      </c>
      <c r="B15">
        <v>0</v>
      </c>
      <c r="C15">
        <v>0</v>
      </c>
      <c r="D15">
        <v>0</v>
      </c>
    </row>
    <row r="16" spans="1:4" x14ac:dyDescent="0.45">
      <c r="A16" t="s">
        <v>149</v>
      </c>
      <c r="B16">
        <v>0</v>
      </c>
      <c r="C16">
        <v>0</v>
      </c>
      <c r="D16">
        <v>0</v>
      </c>
    </row>
    <row r="17" spans="1:4" x14ac:dyDescent="0.45">
      <c r="A17" t="s">
        <v>150</v>
      </c>
      <c r="B17">
        <v>0</v>
      </c>
      <c r="C17">
        <v>0</v>
      </c>
      <c r="D17">
        <v>0</v>
      </c>
    </row>
    <row r="18" spans="1:4" x14ac:dyDescent="0.45">
      <c r="A18" t="s">
        <v>151</v>
      </c>
      <c r="B18">
        <v>0</v>
      </c>
      <c r="C18">
        <v>0</v>
      </c>
      <c r="D18">
        <v>0</v>
      </c>
    </row>
    <row r="19" spans="1:4" x14ac:dyDescent="0.45">
      <c r="A19" t="s">
        <v>152</v>
      </c>
      <c r="B19">
        <v>0</v>
      </c>
      <c r="C19">
        <v>0</v>
      </c>
      <c r="D19">
        <v>0</v>
      </c>
    </row>
    <row r="20" spans="1:4" x14ac:dyDescent="0.45">
      <c r="A20" t="s">
        <v>153</v>
      </c>
      <c r="B20">
        <v>0</v>
      </c>
      <c r="C20">
        <v>0</v>
      </c>
      <c r="D20">
        <v>0</v>
      </c>
    </row>
    <row r="21" spans="1:4" x14ac:dyDescent="0.45">
      <c r="A21" t="s">
        <v>154</v>
      </c>
      <c r="B21">
        <v>0</v>
      </c>
      <c r="C21">
        <v>0</v>
      </c>
      <c r="D21">
        <v>0</v>
      </c>
    </row>
    <row r="22" spans="1:4" x14ac:dyDescent="0.45">
      <c r="A22" t="s">
        <v>155</v>
      </c>
      <c r="B22">
        <v>0</v>
      </c>
      <c r="C22">
        <v>0</v>
      </c>
      <c r="D22">
        <v>0</v>
      </c>
    </row>
    <row r="23" spans="1:4" x14ac:dyDescent="0.45">
      <c r="A23" t="s">
        <v>156</v>
      </c>
      <c r="B23">
        <v>0</v>
      </c>
      <c r="C23">
        <v>0</v>
      </c>
      <c r="D23">
        <v>0</v>
      </c>
    </row>
    <row r="24" spans="1:4" x14ac:dyDescent="0.45">
      <c r="A24" t="s">
        <v>157</v>
      </c>
      <c r="B24">
        <v>0</v>
      </c>
      <c r="C24">
        <v>0</v>
      </c>
      <c r="D24">
        <v>0</v>
      </c>
    </row>
    <row r="25" spans="1:4" x14ac:dyDescent="0.45">
      <c r="A25" t="s">
        <v>158</v>
      </c>
      <c r="B25">
        <v>0</v>
      </c>
      <c r="C25">
        <v>0</v>
      </c>
      <c r="D25">
        <v>0</v>
      </c>
    </row>
    <row r="26" spans="1:4" x14ac:dyDescent="0.45">
      <c r="A26" t="s">
        <v>159</v>
      </c>
      <c r="B26">
        <v>0</v>
      </c>
      <c r="C26">
        <v>0</v>
      </c>
      <c r="D26">
        <v>0</v>
      </c>
    </row>
    <row r="27" spans="1:4" x14ac:dyDescent="0.45">
      <c r="A27" t="s">
        <v>160</v>
      </c>
      <c r="B27">
        <v>0</v>
      </c>
      <c r="C27">
        <v>0</v>
      </c>
      <c r="D27">
        <v>0</v>
      </c>
    </row>
    <row r="28" spans="1:4" x14ac:dyDescent="0.45">
      <c r="A28" t="s">
        <v>161</v>
      </c>
      <c r="B28">
        <v>0</v>
      </c>
      <c r="C28">
        <v>0</v>
      </c>
      <c r="D28">
        <v>0</v>
      </c>
    </row>
    <row r="29" spans="1:4" x14ac:dyDescent="0.45">
      <c r="A29" t="s">
        <v>162</v>
      </c>
      <c r="B29">
        <v>0</v>
      </c>
      <c r="C29">
        <v>0</v>
      </c>
      <c r="D29">
        <v>0</v>
      </c>
    </row>
    <row r="30" spans="1:4" x14ac:dyDescent="0.45">
      <c r="A30" t="s">
        <v>163</v>
      </c>
      <c r="B30">
        <v>0</v>
      </c>
      <c r="C30">
        <v>0</v>
      </c>
      <c r="D30">
        <v>0</v>
      </c>
    </row>
    <row r="31" spans="1:4" x14ac:dyDescent="0.45">
      <c r="A31" t="s">
        <v>164</v>
      </c>
      <c r="B31">
        <v>0</v>
      </c>
      <c r="C31">
        <v>0</v>
      </c>
      <c r="D31">
        <v>0</v>
      </c>
    </row>
    <row r="32" spans="1:4" x14ac:dyDescent="0.45">
      <c r="A32" t="s">
        <v>165</v>
      </c>
      <c r="B32">
        <v>0</v>
      </c>
      <c r="C32">
        <v>0</v>
      </c>
      <c r="D32">
        <v>0</v>
      </c>
    </row>
    <row r="33" spans="1:4" x14ac:dyDescent="0.45">
      <c r="A33" t="s">
        <v>166</v>
      </c>
      <c r="B33">
        <v>0</v>
      </c>
      <c r="C33">
        <v>0</v>
      </c>
      <c r="D33">
        <v>0</v>
      </c>
    </row>
    <row r="34" spans="1:4" x14ac:dyDescent="0.45">
      <c r="A34" t="s">
        <v>167</v>
      </c>
      <c r="B34">
        <v>0</v>
      </c>
      <c r="C34">
        <v>0</v>
      </c>
      <c r="D34">
        <v>0</v>
      </c>
    </row>
    <row r="35" spans="1:4" x14ac:dyDescent="0.45">
      <c r="A35" t="s">
        <v>168</v>
      </c>
      <c r="B35">
        <v>0</v>
      </c>
      <c r="C35">
        <v>0</v>
      </c>
      <c r="D35">
        <v>0</v>
      </c>
    </row>
    <row r="36" spans="1:4" x14ac:dyDescent="0.45">
      <c r="A36" t="s">
        <v>169</v>
      </c>
      <c r="B36">
        <v>0</v>
      </c>
      <c r="C36">
        <v>0</v>
      </c>
      <c r="D36">
        <v>0</v>
      </c>
    </row>
    <row r="37" spans="1:4" x14ac:dyDescent="0.45">
      <c r="A37" t="s">
        <v>170</v>
      </c>
      <c r="B37">
        <v>0</v>
      </c>
      <c r="C37">
        <v>0</v>
      </c>
      <c r="D37">
        <v>0</v>
      </c>
    </row>
    <row r="38" spans="1:4" x14ac:dyDescent="0.45">
      <c r="A38" t="s">
        <v>171</v>
      </c>
      <c r="B38">
        <v>0</v>
      </c>
      <c r="C38">
        <v>0</v>
      </c>
      <c r="D38">
        <v>0</v>
      </c>
    </row>
    <row r="39" spans="1:4" x14ac:dyDescent="0.45">
      <c r="A39" t="s">
        <v>172</v>
      </c>
      <c r="B39">
        <v>0</v>
      </c>
      <c r="C39">
        <v>0</v>
      </c>
      <c r="D39">
        <v>0</v>
      </c>
    </row>
    <row r="40" spans="1:4" x14ac:dyDescent="0.45">
      <c r="A40" t="s">
        <v>173</v>
      </c>
      <c r="B40">
        <v>0</v>
      </c>
      <c r="C40">
        <v>0</v>
      </c>
      <c r="D40">
        <v>0</v>
      </c>
    </row>
    <row r="41" spans="1:4" x14ac:dyDescent="0.45">
      <c r="A41" t="s">
        <v>174</v>
      </c>
      <c r="B41">
        <v>0</v>
      </c>
      <c r="C41">
        <v>0</v>
      </c>
      <c r="D41">
        <v>0</v>
      </c>
    </row>
    <row r="42" spans="1:4" x14ac:dyDescent="0.45">
      <c r="A42" t="s">
        <v>175</v>
      </c>
      <c r="B42">
        <v>0</v>
      </c>
      <c r="C42">
        <v>0</v>
      </c>
      <c r="D42">
        <v>0</v>
      </c>
    </row>
    <row r="43" spans="1:4" x14ac:dyDescent="0.45">
      <c r="A43" t="s">
        <v>176</v>
      </c>
      <c r="B43">
        <v>0</v>
      </c>
      <c r="C43">
        <v>0</v>
      </c>
      <c r="D43">
        <v>0</v>
      </c>
    </row>
    <row r="44" spans="1:4" x14ac:dyDescent="0.45">
      <c r="A44" t="s">
        <v>177</v>
      </c>
      <c r="B44">
        <v>0</v>
      </c>
      <c r="C44">
        <v>0</v>
      </c>
      <c r="D44">
        <v>0</v>
      </c>
    </row>
    <row r="45" spans="1:4" x14ac:dyDescent="0.45">
      <c r="A45" t="s">
        <v>178</v>
      </c>
      <c r="B45">
        <v>0</v>
      </c>
      <c r="C45">
        <v>0</v>
      </c>
      <c r="D45">
        <v>0</v>
      </c>
    </row>
    <row r="46" spans="1:4" x14ac:dyDescent="0.45">
      <c r="A46" t="s">
        <v>179</v>
      </c>
      <c r="B46">
        <v>0</v>
      </c>
      <c r="C46">
        <v>0</v>
      </c>
      <c r="D46">
        <v>0</v>
      </c>
    </row>
    <row r="47" spans="1:4" x14ac:dyDescent="0.45">
      <c r="A47" t="s">
        <v>180</v>
      </c>
      <c r="B47">
        <v>0</v>
      </c>
      <c r="C47">
        <v>0</v>
      </c>
      <c r="D47">
        <v>0</v>
      </c>
    </row>
    <row r="48" spans="1:4" x14ac:dyDescent="0.45">
      <c r="A48" t="s">
        <v>181</v>
      </c>
      <c r="B48">
        <v>0</v>
      </c>
      <c r="C48">
        <v>0</v>
      </c>
      <c r="D48">
        <v>0</v>
      </c>
    </row>
    <row r="49" spans="1:4" x14ac:dyDescent="0.45">
      <c r="A49" t="s">
        <v>182</v>
      </c>
      <c r="B49">
        <v>0</v>
      </c>
      <c r="C49">
        <v>0</v>
      </c>
      <c r="D49">
        <v>0</v>
      </c>
    </row>
    <row r="50" spans="1:4" x14ac:dyDescent="0.45">
      <c r="A50" t="s">
        <v>183</v>
      </c>
      <c r="B50">
        <v>0</v>
      </c>
      <c r="C50">
        <v>0</v>
      </c>
      <c r="D50">
        <v>0</v>
      </c>
    </row>
    <row r="51" spans="1:4" x14ac:dyDescent="0.45">
      <c r="A51" t="s">
        <v>184</v>
      </c>
      <c r="B51">
        <v>0</v>
      </c>
      <c r="C51">
        <v>0</v>
      </c>
      <c r="D51">
        <v>0</v>
      </c>
    </row>
    <row r="52" spans="1:4" x14ac:dyDescent="0.45">
      <c r="A52" t="s">
        <v>185</v>
      </c>
      <c r="B52">
        <v>0</v>
      </c>
      <c r="C52">
        <v>0</v>
      </c>
      <c r="D52">
        <v>0</v>
      </c>
    </row>
    <row r="53" spans="1:4" x14ac:dyDescent="0.45">
      <c r="A53" t="s">
        <v>186</v>
      </c>
      <c r="B53">
        <v>0</v>
      </c>
      <c r="C53">
        <v>0</v>
      </c>
      <c r="D53">
        <v>0</v>
      </c>
    </row>
    <row r="54" spans="1:4" x14ac:dyDescent="0.45">
      <c r="A54" t="s">
        <v>187</v>
      </c>
      <c r="B54">
        <v>0</v>
      </c>
      <c r="C54">
        <v>0</v>
      </c>
      <c r="D54">
        <v>0</v>
      </c>
    </row>
    <row r="55" spans="1:4" x14ac:dyDescent="0.45">
      <c r="A55" t="s">
        <v>188</v>
      </c>
      <c r="B55">
        <v>0</v>
      </c>
      <c r="C55">
        <v>0</v>
      </c>
      <c r="D55">
        <v>0</v>
      </c>
    </row>
    <row r="56" spans="1:4" x14ac:dyDescent="0.45">
      <c r="A56" t="s">
        <v>189</v>
      </c>
      <c r="B56">
        <v>0</v>
      </c>
      <c r="C56">
        <v>0</v>
      </c>
      <c r="D56">
        <v>0</v>
      </c>
    </row>
    <row r="57" spans="1:4" x14ac:dyDescent="0.45">
      <c r="A57" t="s">
        <v>190</v>
      </c>
      <c r="B57">
        <v>0</v>
      </c>
      <c r="C57">
        <v>0</v>
      </c>
      <c r="D57">
        <v>0</v>
      </c>
    </row>
    <row r="58" spans="1:4" x14ac:dyDescent="0.45">
      <c r="A58" t="s">
        <v>191</v>
      </c>
      <c r="B58">
        <v>0</v>
      </c>
      <c r="C58">
        <v>0</v>
      </c>
      <c r="D58">
        <v>0</v>
      </c>
    </row>
    <row r="59" spans="1:4" x14ac:dyDescent="0.45">
      <c r="A59" t="s">
        <v>192</v>
      </c>
      <c r="B59">
        <v>0</v>
      </c>
      <c r="C59">
        <v>0</v>
      </c>
      <c r="D59">
        <v>0</v>
      </c>
    </row>
    <row r="60" spans="1:4" x14ac:dyDescent="0.45">
      <c r="A60" t="s">
        <v>193</v>
      </c>
      <c r="B60">
        <v>0</v>
      </c>
      <c r="C60">
        <v>0</v>
      </c>
      <c r="D60">
        <v>0</v>
      </c>
    </row>
    <row r="61" spans="1:4" x14ac:dyDescent="0.45">
      <c r="A61" t="s">
        <v>194</v>
      </c>
      <c r="B61">
        <v>0</v>
      </c>
      <c r="C61">
        <v>0</v>
      </c>
      <c r="D61">
        <v>0</v>
      </c>
    </row>
    <row r="62" spans="1:4" x14ac:dyDescent="0.45">
      <c r="A62" t="s">
        <v>195</v>
      </c>
      <c r="B62">
        <v>0</v>
      </c>
      <c r="C62">
        <v>0</v>
      </c>
      <c r="D62">
        <v>0</v>
      </c>
    </row>
    <row r="63" spans="1:4" x14ac:dyDescent="0.45">
      <c r="A63" t="s">
        <v>196</v>
      </c>
      <c r="B63">
        <v>0</v>
      </c>
      <c r="C63">
        <v>0</v>
      </c>
      <c r="D63">
        <v>0</v>
      </c>
    </row>
    <row r="64" spans="1:4" x14ac:dyDescent="0.45">
      <c r="A64" t="s">
        <v>197</v>
      </c>
      <c r="B64">
        <v>0</v>
      </c>
      <c r="C64">
        <v>0</v>
      </c>
      <c r="D64">
        <v>0</v>
      </c>
    </row>
    <row r="65" spans="1:4" x14ac:dyDescent="0.45">
      <c r="A65" t="s">
        <v>198</v>
      </c>
      <c r="B65">
        <v>0</v>
      </c>
      <c r="C65">
        <v>0</v>
      </c>
      <c r="D65">
        <v>0</v>
      </c>
    </row>
    <row r="66" spans="1:4" x14ac:dyDescent="0.45">
      <c r="A66" t="s">
        <v>199</v>
      </c>
      <c r="B66">
        <v>0</v>
      </c>
      <c r="C66">
        <v>0</v>
      </c>
      <c r="D66">
        <v>0</v>
      </c>
    </row>
    <row r="67" spans="1:4" x14ac:dyDescent="0.45">
      <c r="A67" t="s">
        <v>200</v>
      </c>
      <c r="B67">
        <v>0</v>
      </c>
      <c r="C67">
        <v>0</v>
      </c>
      <c r="D67">
        <v>0</v>
      </c>
    </row>
    <row r="68" spans="1:4" x14ac:dyDescent="0.45">
      <c r="A68" t="s">
        <v>201</v>
      </c>
      <c r="B68">
        <v>0</v>
      </c>
      <c r="C68">
        <v>0</v>
      </c>
      <c r="D68">
        <v>0</v>
      </c>
    </row>
    <row r="69" spans="1:4" x14ac:dyDescent="0.45">
      <c r="A69" t="s">
        <v>202</v>
      </c>
      <c r="B69">
        <v>0</v>
      </c>
      <c r="C69">
        <v>0</v>
      </c>
      <c r="D69">
        <v>0</v>
      </c>
    </row>
    <row r="70" spans="1:4" x14ac:dyDescent="0.45">
      <c r="A70" t="s">
        <v>203</v>
      </c>
      <c r="B70">
        <v>0</v>
      </c>
      <c r="C70">
        <v>0</v>
      </c>
      <c r="D70">
        <v>0</v>
      </c>
    </row>
    <row r="71" spans="1:4" x14ac:dyDescent="0.45">
      <c r="A71" t="s">
        <v>204</v>
      </c>
      <c r="B71">
        <v>0</v>
      </c>
      <c r="C71">
        <v>0</v>
      </c>
      <c r="D71">
        <v>0</v>
      </c>
    </row>
    <row r="72" spans="1:4" x14ac:dyDescent="0.45">
      <c r="A72" t="s">
        <v>205</v>
      </c>
      <c r="B72">
        <v>0</v>
      </c>
      <c r="C72">
        <v>0</v>
      </c>
      <c r="D72">
        <v>0</v>
      </c>
    </row>
    <row r="73" spans="1:4" x14ac:dyDescent="0.45">
      <c r="A73" t="s">
        <v>206</v>
      </c>
      <c r="B73">
        <v>0</v>
      </c>
      <c r="C73">
        <v>0</v>
      </c>
      <c r="D73">
        <v>0</v>
      </c>
    </row>
    <row r="74" spans="1:4" x14ac:dyDescent="0.45">
      <c r="A74" t="s">
        <v>207</v>
      </c>
      <c r="B74">
        <v>0</v>
      </c>
      <c r="C74">
        <v>0</v>
      </c>
      <c r="D74">
        <v>0</v>
      </c>
    </row>
    <row r="75" spans="1:4" x14ac:dyDescent="0.45">
      <c r="A75" t="s">
        <v>208</v>
      </c>
      <c r="B75">
        <v>0</v>
      </c>
      <c r="C75">
        <v>0</v>
      </c>
      <c r="D75">
        <v>0</v>
      </c>
    </row>
    <row r="76" spans="1:4" x14ac:dyDescent="0.45">
      <c r="A76" t="s">
        <v>209</v>
      </c>
      <c r="B76">
        <v>0</v>
      </c>
      <c r="C76">
        <v>0</v>
      </c>
      <c r="D76">
        <v>0</v>
      </c>
    </row>
    <row r="77" spans="1:4" x14ac:dyDescent="0.45">
      <c r="A77" t="s">
        <v>210</v>
      </c>
      <c r="B77">
        <v>0</v>
      </c>
      <c r="C77">
        <v>0</v>
      </c>
      <c r="D77">
        <v>0</v>
      </c>
    </row>
    <row r="78" spans="1:4" x14ac:dyDescent="0.45">
      <c r="A78" t="s">
        <v>211</v>
      </c>
      <c r="B78">
        <v>0</v>
      </c>
      <c r="C78">
        <v>0</v>
      </c>
      <c r="D78">
        <v>0</v>
      </c>
    </row>
    <row r="79" spans="1:4" x14ac:dyDescent="0.45">
      <c r="A79" t="s">
        <v>212</v>
      </c>
      <c r="B79">
        <v>0</v>
      </c>
      <c r="C79">
        <v>0</v>
      </c>
      <c r="D79">
        <v>0</v>
      </c>
    </row>
    <row r="80" spans="1:4" x14ac:dyDescent="0.45">
      <c r="A80" t="s">
        <v>213</v>
      </c>
      <c r="B80">
        <v>0</v>
      </c>
      <c r="C80">
        <v>0</v>
      </c>
      <c r="D80">
        <v>0</v>
      </c>
    </row>
    <row r="81" spans="1:4" x14ac:dyDescent="0.45">
      <c r="A81" t="s">
        <v>214</v>
      </c>
      <c r="B81">
        <v>0</v>
      </c>
      <c r="C81">
        <v>0</v>
      </c>
      <c r="D81">
        <v>0</v>
      </c>
    </row>
    <row r="82" spans="1:4" x14ac:dyDescent="0.45">
      <c r="A82" t="s">
        <v>215</v>
      </c>
      <c r="B82">
        <v>0</v>
      </c>
      <c r="C82">
        <v>0</v>
      </c>
      <c r="D82">
        <v>0</v>
      </c>
    </row>
    <row r="83" spans="1:4" x14ac:dyDescent="0.45">
      <c r="A83" t="s">
        <v>216</v>
      </c>
      <c r="B83">
        <v>0</v>
      </c>
      <c r="C83">
        <v>0</v>
      </c>
      <c r="D83">
        <v>0</v>
      </c>
    </row>
    <row r="84" spans="1:4" x14ac:dyDescent="0.45">
      <c r="A84" t="s">
        <v>217</v>
      </c>
      <c r="B84">
        <v>0</v>
      </c>
      <c r="C84">
        <v>0</v>
      </c>
      <c r="D84">
        <v>0</v>
      </c>
    </row>
    <row r="85" spans="1:4" x14ac:dyDescent="0.45">
      <c r="A85" t="s">
        <v>218</v>
      </c>
      <c r="B85">
        <v>0</v>
      </c>
      <c r="C85">
        <v>0</v>
      </c>
      <c r="D85">
        <v>0</v>
      </c>
    </row>
    <row r="86" spans="1:4" x14ac:dyDescent="0.45">
      <c r="A86" t="s">
        <v>219</v>
      </c>
      <c r="B86">
        <v>0</v>
      </c>
      <c r="C86">
        <v>0</v>
      </c>
      <c r="D86">
        <v>0</v>
      </c>
    </row>
    <row r="87" spans="1:4" x14ac:dyDescent="0.45">
      <c r="A87" t="s">
        <v>220</v>
      </c>
      <c r="B87">
        <v>0</v>
      </c>
      <c r="C87">
        <v>0</v>
      </c>
      <c r="D87">
        <v>0</v>
      </c>
    </row>
    <row r="88" spans="1:4" x14ac:dyDescent="0.45">
      <c r="A88" t="s">
        <v>221</v>
      </c>
      <c r="B88">
        <v>0</v>
      </c>
      <c r="C88">
        <v>0</v>
      </c>
      <c r="D88">
        <v>0</v>
      </c>
    </row>
    <row r="89" spans="1:4" x14ac:dyDescent="0.45">
      <c r="A89" t="s">
        <v>222</v>
      </c>
      <c r="B89">
        <v>0</v>
      </c>
      <c r="C89">
        <v>0</v>
      </c>
      <c r="D89">
        <v>0</v>
      </c>
    </row>
    <row r="90" spans="1:4" x14ac:dyDescent="0.45">
      <c r="A90" t="s">
        <v>223</v>
      </c>
      <c r="B90">
        <v>0</v>
      </c>
      <c r="C90">
        <v>0</v>
      </c>
      <c r="D90">
        <v>0</v>
      </c>
    </row>
    <row r="91" spans="1:4" x14ac:dyDescent="0.45">
      <c r="A91" t="s">
        <v>224</v>
      </c>
      <c r="B91">
        <v>0</v>
      </c>
      <c r="C91">
        <v>0</v>
      </c>
      <c r="D91">
        <v>0</v>
      </c>
    </row>
    <row r="92" spans="1:4" x14ac:dyDescent="0.45">
      <c r="A92" t="s">
        <v>225</v>
      </c>
      <c r="B92">
        <v>0</v>
      </c>
      <c r="C92">
        <v>0</v>
      </c>
      <c r="D92">
        <v>0</v>
      </c>
    </row>
    <row r="93" spans="1:4" x14ac:dyDescent="0.45">
      <c r="A93" t="s">
        <v>226</v>
      </c>
      <c r="B93">
        <v>0</v>
      </c>
      <c r="C93">
        <v>0</v>
      </c>
      <c r="D93">
        <v>0</v>
      </c>
    </row>
    <row r="94" spans="1:4" x14ac:dyDescent="0.45">
      <c r="A94" t="s">
        <v>227</v>
      </c>
      <c r="B94">
        <v>0</v>
      </c>
      <c r="C94">
        <v>0</v>
      </c>
      <c r="D94">
        <v>0</v>
      </c>
    </row>
    <row r="95" spans="1:4" x14ac:dyDescent="0.45">
      <c r="A95" t="s">
        <v>228</v>
      </c>
      <c r="B95">
        <v>0</v>
      </c>
      <c r="C95">
        <v>0</v>
      </c>
      <c r="D95">
        <v>0</v>
      </c>
    </row>
    <row r="96" spans="1:4" x14ac:dyDescent="0.45">
      <c r="A96" t="s">
        <v>229</v>
      </c>
      <c r="B96">
        <v>0</v>
      </c>
      <c r="C96">
        <v>0</v>
      </c>
      <c r="D96">
        <v>0</v>
      </c>
    </row>
    <row r="97" spans="1:4" x14ac:dyDescent="0.45">
      <c r="A97" t="s">
        <v>230</v>
      </c>
      <c r="B97">
        <v>0</v>
      </c>
      <c r="C97">
        <v>0</v>
      </c>
      <c r="D97">
        <v>0</v>
      </c>
    </row>
    <row r="98" spans="1:4" x14ac:dyDescent="0.45">
      <c r="A98" t="s">
        <v>231</v>
      </c>
      <c r="B98">
        <v>0</v>
      </c>
      <c r="C98">
        <v>0</v>
      </c>
      <c r="D98">
        <v>0</v>
      </c>
    </row>
    <row r="99" spans="1:4" x14ac:dyDescent="0.45">
      <c r="A99" t="s">
        <v>232</v>
      </c>
      <c r="B99">
        <v>0</v>
      </c>
      <c r="C99">
        <v>0</v>
      </c>
      <c r="D99">
        <v>0</v>
      </c>
    </row>
    <row r="100" spans="1:4" x14ac:dyDescent="0.45">
      <c r="A100" t="s">
        <v>233</v>
      </c>
      <c r="B100">
        <v>0</v>
      </c>
      <c r="C100">
        <v>0</v>
      </c>
      <c r="D100">
        <v>0</v>
      </c>
    </row>
    <row r="101" spans="1:4" x14ac:dyDescent="0.45">
      <c r="A101" t="s">
        <v>234</v>
      </c>
      <c r="B101">
        <v>0</v>
      </c>
      <c r="C101">
        <v>0</v>
      </c>
      <c r="D101">
        <v>0</v>
      </c>
    </row>
    <row r="102" spans="1:4" x14ac:dyDescent="0.45">
      <c r="A102" t="s">
        <v>235</v>
      </c>
      <c r="B102">
        <v>0</v>
      </c>
      <c r="C102">
        <v>0</v>
      </c>
      <c r="D102">
        <v>0</v>
      </c>
    </row>
    <row r="103" spans="1:4" x14ac:dyDescent="0.45">
      <c r="A103" t="s">
        <v>236</v>
      </c>
      <c r="B103">
        <v>0</v>
      </c>
      <c r="C103">
        <v>0</v>
      </c>
      <c r="D103">
        <v>0</v>
      </c>
    </row>
    <row r="104" spans="1:4" x14ac:dyDescent="0.45">
      <c r="A104" t="s">
        <v>237</v>
      </c>
      <c r="B104">
        <v>0</v>
      </c>
      <c r="C104">
        <v>0</v>
      </c>
      <c r="D104">
        <v>0</v>
      </c>
    </row>
    <row r="105" spans="1:4" x14ac:dyDescent="0.45">
      <c r="A105" t="s">
        <v>238</v>
      </c>
      <c r="B105">
        <v>0</v>
      </c>
      <c r="C105">
        <v>0</v>
      </c>
      <c r="D105">
        <v>0</v>
      </c>
    </row>
    <row r="106" spans="1:4" x14ac:dyDescent="0.45">
      <c r="A106" t="s">
        <v>239</v>
      </c>
      <c r="B106">
        <v>0</v>
      </c>
      <c r="C106">
        <v>0</v>
      </c>
      <c r="D106">
        <v>0</v>
      </c>
    </row>
    <row r="107" spans="1:4" x14ac:dyDescent="0.45">
      <c r="A107" t="s">
        <v>240</v>
      </c>
      <c r="B107">
        <v>0</v>
      </c>
      <c r="C107">
        <v>0</v>
      </c>
      <c r="D107">
        <v>0</v>
      </c>
    </row>
    <row r="108" spans="1:4" x14ac:dyDescent="0.45">
      <c r="A108" t="s">
        <v>241</v>
      </c>
      <c r="B108">
        <v>0</v>
      </c>
      <c r="C108">
        <v>0</v>
      </c>
      <c r="D108">
        <v>0</v>
      </c>
    </row>
    <row r="109" spans="1:4" x14ac:dyDescent="0.45">
      <c r="A109" t="s">
        <v>242</v>
      </c>
      <c r="B109">
        <v>0</v>
      </c>
      <c r="C109">
        <v>0</v>
      </c>
      <c r="D109">
        <v>0</v>
      </c>
    </row>
    <row r="110" spans="1:4" x14ac:dyDescent="0.45">
      <c r="A110" t="s">
        <v>243</v>
      </c>
      <c r="B110">
        <v>0</v>
      </c>
      <c r="C110">
        <v>0</v>
      </c>
      <c r="D110">
        <v>0</v>
      </c>
    </row>
    <row r="111" spans="1:4" x14ac:dyDescent="0.45">
      <c r="A111" t="s">
        <v>244</v>
      </c>
      <c r="B111">
        <v>0</v>
      </c>
      <c r="C111">
        <v>0</v>
      </c>
      <c r="D111">
        <v>0</v>
      </c>
    </row>
    <row r="112" spans="1:4" x14ac:dyDescent="0.45">
      <c r="A112" t="s">
        <v>245</v>
      </c>
      <c r="B112">
        <v>0</v>
      </c>
      <c r="C112">
        <v>0</v>
      </c>
      <c r="D112">
        <v>0</v>
      </c>
    </row>
    <row r="113" spans="1:4" x14ac:dyDescent="0.45">
      <c r="A113" t="s">
        <v>246</v>
      </c>
      <c r="B113">
        <v>0</v>
      </c>
      <c r="C113">
        <v>0</v>
      </c>
      <c r="D113">
        <v>0</v>
      </c>
    </row>
    <row r="114" spans="1:4" x14ac:dyDescent="0.45">
      <c r="A114" t="s">
        <v>247</v>
      </c>
      <c r="B114">
        <v>0</v>
      </c>
      <c r="C114">
        <v>0</v>
      </c>
      <c r="D114">
        <v>0</v>
      </c>
    </row>
    <row r="115" spans="1:4" x14ac:dyDescent="0.45">
      <c r="A115" t="s">
        <v>248</v>
      </c>
      <c r="B115">
        <v>0</v>
      </c>
      <c r="C115">
        <v>0</v>
      </c>
      <c r="D115">
        <v>0</v>
      </c>
    </row>
    <row r="116" spans="1:4" x14ac:dyDescent="0.45">
      <c r="A116" t="s">
        <v>249</v>
      </c>
      <c r="B116">
        <v>0</v>
      </c>
      <c r="C116">
        <v>0</v>
      </c>
      <c r="D116">
        <v>0</v>
      </c>
    </row>
    <row r="117" spans="1:4" x14ac:dyDescent="0.45">
      <c r="A117" t="s">
        <v>250</v>
      </c>
      <c r="B117">
        <v>0</v>
      </c>
      <c r="C117">
        <v>0</v>
      </c>
      <c r="D117">
        <v>0</v>
      </c>
    </row>
    <row r="118" spans="1:4" x14ac:dyDescent="0.45">
      <c r="A118" t="s">
        <v>251</v>
      </c>
      <c r="B118">
        <v>0</v>
      </c>
      <c r="C118">
        <v>0</v>
      </c>
      <c r="D118">
        <v>0</v>
      </c>
    </row>
    <row r="119" spans="1:4" x14ac:dyDescent="0.45">
      <c r="A119" t="s">
        <v>252</v>
      </c>
      <c r="B119">
        <v>0</v>
      </c>
      <c r="C119">
        <v>0</v>
      </c>
      <c r="D119">
        <v>0</v>
      </c>
    </row>
    <row r="120" spans="1:4" x14ac:dyDescent="0.45">
      <c r="A120" t="s">
        <v>253</v>
      </c>
      <c r="B120">
        <v>0</v>
      </c>
      <c r="C120">
        <v>0</v>
      </c>
      <c r="D120">
        <v>0</v>
      </c>
    </row>
    <row r="121" spans="1:4" x14ac:dyDescent="0.45">
      <c r="A121" t="s">
        <v>254</v>
      </c>
      <c r="B121">
        <v>0</v>
      </c>
      <c r="C121">
        <v>0</v>
      </c>
      <c r="D121">
        <v>0</v>
      </c>
    </row>
    <row r="122" spans="1:4" x14ac:dyDescent="0.45">
      <c r="A122" t="s">
        <v>255</v>
      </c>
      <c r="B122">
        <v>0</v>
      </c>
      <c r="C122">
        <v>0</v>
      </c>
      <c r="D122">
        <v>0</v>
      </c>
    </row>
    <row r="123" spans="1:4" x14ac:dyDescent="0.45">
      <c r="A123" t="s">
        <v>256</v>
      </c>
      <c r="B123">
        <v>0</v>
      </c>
      <c r="C123">
        <v>0</v>
      </c>
      <c r="D123">
        <v>0</v>
      </c>
    </row>
    <row r="124" spans="1:4" x14ac:dyDescent="0.45">
      <c r="A124" t="s">
        <v>257</v>
      </c>
      <c r="B124">
        <v>0</v>
      </c>
      <c r="C124">
        <v>0</v>
      </c>
      <c r="D124">
        <v>0</v>
      </c>
    </row>
    <row r="125" spans="1:4" x14ac:dyDescent="0.45">
      <c r="A125" t="s">
        <v>258</v>
      </c>
      <c r="B125">
        <v>0</v>
      </c>
      <c r="C125">
        <v>0</v>
      </c>
      <c r="D125">
        <v>0</v>
      </c>
    </row>
    <row r="126" spans="1:4" x14ac:dyDescent="0.45">
      <c r="A126" t="s">
        <v>259</v>
      </c>
      <c r="B126">
        <v>0</v>
      </c>
      <c r="C126">
        <v>0</v>
      </c>
      <c r="D126">
        <v>0</v>
      </c>
    </row>
    <row r="127" spans="1:4" x14ac:dyDescent="0.45">
      <c r="A127" t="s">
        <v>260</v>
      </c>
      <c r="B127">
        <v>0</v>
      </c>
      <c r="C127">
        <v>0</v>
      </c>
      <c r="D127">
        <v>0</v>
      </c>
    </row>
    <row r="128" spans="1:4" x14ac:dyDescent="0.45">
      <c r="A128" t="s">
        <v>261</v>
      </c>
      <c r="B128">
        <v>0</v>
      </c>
      <c r="C128">
        <v>0</v>
      </c>
      <c r="D128">
        <v>0</v>
      </c>
    </row>
    <row r="129" spans="1:4" x14ac:dyDescent="0.45">
      <c r="A129" t="s">
        <v>262</v>
      </c>
      <c r="B129">
        <v>0</v>
      </c>
      <c r="C129">
        <v>0</v>
      </c>
      <c r="D129">
        <v>0</v>
      </c>
    </row>
    <row r="130" spans="1:4" x14ac:dyDescent="0.45">
      <c r="A130" t="s">
        <v>263</v>
      </c>
      <c r="B130">
        <v>0</v>
      </c>
      <c r="C130">
        <v>0</v>
      </c>
      <c r="D130">
        <v>0</v>
      </c>
    </row>
    <row r="131" spans="1:4" x14ac:dyDescent="0.45">
      <c r="A131" t="s">
        <v>264</v>
      </c>
      <c r="B131">
        <v>0</v>
      </c>
      <c r="C131">
        <v>0</v>
      </c>
      <c r="D131">
        <v>0</v>
      </c>
    </row>
    <row r="132" spans="1:4" x14ac:dyDescent="0.45">
      <c r="A132" t="s">
        <v>265</v>
      </c>
      <c r="B132">
        <v>0</v>
      </c>
      <c r="C132">
        <v>0</v>
      </c>
      <c r="D132">
        <v>0</v>
      </c>
    </row>
    <row r="133" spans="1:4" x14ac:dyDescent="0.45">
      <c r="A133" t="s">
        <v>266</v>
      </c>
      <c r="B133">
        <v>0</v>
      </c>
      <c r="C133">
        <v>0</v>
      </c>
      <c r="D133">
        <v>0</v>
      </c>
    </row>
    <row r="134" spans="1:4" x14ac:dyDescent="0.45">
      <c r="A134" t="s">
        <v>267</v>
      </c>
      <c r="B134">
        <v>0</v>
      </c>
      <c r="C134">
        <v>0</v>
      </c>
      <c r="D134">
        <v>0</v>
      </c>
    </row>
    <row r="135" spans="1:4" x14ac:dyDescent="0.45">
      <c r="A135" t="s">
        <v>268</v>
      </c>
      <c r="B135">
        <v>0</v>
      </c>
      <c r="C135">
        <v>0</v>
      </c>
      <c r="D135">
        <v>0</v>
      </c>
    </row>
    <row r="136" spans="1:4" x14ac:dyDescent="0.45">
      <c r="A136" t="s">
        <v>269</v>
      </c>
      <c r="B136">
        <v>0</v>
      </c>
      <c r="C136">
        <v>0</v>
      </c>
      <c r="D136">
        <v>0</v>
      </c>
    </row>
    <row r="137" spans="1:4" x14ac:dyDescent="0.45">
      <c r="A137" t="s">
        <v>270</v>
      </c>
      <c r="B137">
        <v>0</v>
      </c>
      <c r="C137">
        <v>0</v>
      </c>
      <c r="D137">
        <v>0</v>
      </c>
    </row>
    <row r="138" spans="1:4" x14ac:dyDescent="0.45">
      <c r="A138" t="s">
        <v>271</v>
      </c>
      <c r="B138">
        <v>0</v>
      </c>
      <c r="C138">
        <v>0</v>
      </c>
      <c r="D138">
        <v>0</v>
      </c>
    </row>
    <row r="139" spans="1:4" x14ac:dyDescent="0.45">
      <c r="A139" t="s">
        <v>272</v>
      </c>
      <c r="B139">
        <v>0</v>
      </c>
      <c r="C139">
        <v>0</v>
      </c>
      <c r="D139">
        <v>0</v>
      </c>
    </row>
    <row r="140" spans="1:4" x14ac:dyDescent="0.45">
      <c r="A140" t="s">
        <v>273</v>
      </c>
      <c r="B140">
        <v>0</v>
      </c>
      <c r="C140">
        <v>0</v>
      </c>
      <c r="D140">
        <v>0</v>
      </c>
    </row>
    <row r="141" spans="1:4" x14ac:dyDescent="0.45">
      <c r="A141" t="s">
        <v>274</v>
      </c>
      <c r="B141">
        <v>0</v>
      </c>
      <c r="C141">
        <v>0</v>
      </c>
      <c r="D141">
        <v>0</v>
      </c>
    </row>
    <row r="142" spans="1:4" x14ac:dyDescent="0.45">
      <c r="A142" t="s">
        <v>275</v>
      </c>
      <c r="B142">
        <v>0</v>
      </c>
      <c r="C142">
        <v>0</v>
      </c>
      <c r="D142">
        <v>0</v>
      </c>
    </row>
    <row r="143" spans="1:4" x14ac:dyDescent="0.45">
      <c r="A143" t="s">
        <v>276</v>
      </c>
      <c r="B143">
        <v>0</v>
      </c>
      <c r="C143">
        <v>0</v>
      </c>
      <c r="D143">
        <v>0</v>
      </c>
    </row>
    <row r="144" spans="1:4" x14ac:dyDescent="0.45">
      <c r="A144" t="s">
        <v>277</v>
      </c>
      <c r="B144">
        <v>0</v>
      </c>
      <c r="C144">
        <v>0</v>
      </c>
      <c r="D144">
        <v>0</v>
      </c>
    </row>
    <row r="145" spans="1:4" x14ac:dyDescent="0.45">
      <c r="A145" t="s">
        <v>278</v>
      </c>
      <c r="B145">
        <v>0</v>
      </c>
      <c r="C145">
        <v>0</v>
      </c>
      <c r="D145">
        <v>0</v>
      </c>
    </row>
    <row r="146" spans="1:4" x14ac:dyDescent="0.45">
      <c r="A146" t="s">
        <v>279</v>
      </c>
      <c r="B146">
        <v>0</v>
      </c>
      <c r="C146">
        <v>0</v>
      </c>
      <c r="D146">
        <v>0</v>
      </c>
    </row>
    <row r="147" spans="1:4" x14ac:dyDescent="0.45">
      <c r="A147" t="s">
        <v>280</v>
      </c>
      <c r="B147">
        <v>0</v>
      </c>
      <c r="C147">
        <v>0</v>
      </c>
      <c r="D147">
        <v>0</v>
      </c>
    </row>
    <row r="148" spans="1:4" x14ac:dyDescent="0.45">
      <c r="A148" t="s">
        <v>281</v>
      </c>
      <c r="B148">
        <v>0</v>
      </c>
      <c r="C148">
        <v>0</v>
      </c>
      <c r="D148">
        <v>0</v>
      </c>
    </row>
    <row r="149" spans="1:4" x14ac:dyDescent="0.45">
      <c r="A149" t="s">
        <v>282</v>
      </c>
      <c r="B149">
        <v>0</v>
      </c>
      <c r="C149">
        <v>0</v>
      </c>
      <c r="D149">
        <v>0</v>
      </c>
    </row>
    <row r="150" spans="1:4" x14ac:dyDescent="0.45">
      <c r="A150" t="s">
        <v>283</v>
      </c>
      <c r="B150">
        <v>0</v>
      </c>
      <c r="C150">
        <v>0</v>
      </c>
      <c r="D150">
        <v>0</v>
      </c>
    </row>
    <row r="151" spans="1:4" x14ac:dyDescent="0.45">
      <c r="A151" t="s">
        <v>284</v>
      </c>
      <c r="B151">
        <v>0</v>
      </c>
      <c r="C151">
        <v>0</v>
      </c>
      <c r="D151">
        <v>0</v>
      </c>
    </row>
    <row r="152" spans="1:4" x14ac:dyDescent="0.45">
      <c r="A152" t="s">
        <v>285</v>
      </c>
      <c r="B152">
        <v>0</v>
      </c>
      <c r="C152">
        <v>0</v>
      </c>
      <c r="D152">
        <v>0</v>
      </c>
    </row>
    <row r="153" spans="1:4" x14ac:dyDescent="0.45">
      <c r="A153" t="s">
        <v>286</v>
      </c>
      <c r="B153">
        <v>0</v>
      </c>
      <c r="C153">
        <v>0</v>
      </c>
      <c r="D153">
        <v>0</v>
      </c>
    </row>
    <row r="154" spans="1:4" x14ac:dyDescent="0.45">
      <c r="A154" t="s">
        <v>287</v>
      </c>
      <c r="B154">
        <v>0</v>
      </c>
      <c r="C154">
        <v>0</v>
      </c>
      <c r="D154">
        <v>0</v>
      </c>
    </row>
    <row r="155" spans="1:4" x14ac:dyDescent="0.45">
      <c r="A155" t="s">
        <v>288</v>
      </c>
      <c r="B155">
        <v>0</v>
      </c>
      <c r="C155">
        <v>0</v>
      </c>
      <c r="D155">
        <v>0</v>
      </c>
    </row>
    <row r="156" spans="1:4" x14ac:dyDescent="0.45">
      <c r="A156" t="s">
        <v>289</v>
      </c>
      <c r="B156">
        <v>0</v>
      </c>
      <c r="C156">
        <v>0</v>
      </c>
      <c r="D156">
        <v>0</v>
      </c>
    </row>
    <row r="157" spans="1:4" x14ac:dyDescent="0.45">
      <c r="A157" t="s">
        <v>290</v>
      </c>
      <c r="B157">
        <v>0</v>
      </c>
      <c r="C157">
        <v>0</v>
      </c>
      <c r="D157">
        <v>0</v>
      </c>
    </row>
    <row r="158" spans="1:4" x14ac:dyDescent="0.45">
      <c r="A158" t="s">
        <v>291</v>
      </c>
      <c r="B158">
        <v>0</v>
      </c>
      <c r="C158">
        <v>0</v>
      </c>
      <c r="D158">
        <v>0</v>
      </c>
    </row>
    <row r="159" spans="1:4" x14ac:dyDescent="0.45">
      <c r="A159" t="s">
        <v>292</v>
      </c>
      <c r="B159">
        <v>0</v>
      </c>
      <c r="C159">
        <v>0</v>
      </c>
      <c r="D159">
        <v>0</v>
      </c>
    </row>
    <row r="160" spans="1:4" x14ac:dyDescent="0.45">
      <c r="A160" t="s">
        <v>293</v>
      </c>
      <c r="B160">
        <v>0</v>
      </c>
      <c r="C160">
        <v>0</v>
      </c>
      <c r="D160">
        <v>0</v>
      </c>
    </row>
    <row r="161" spans="1:4" x14ac:dyDescent="0.45">
      <c r="A161" t="s">
        <v>294</v>
      </c>
      <c r="B161">
        <v>0</v>
      </c>
      <c r="C161">
        <v>0</v>
      </c>
      <c r="D161">
        <v>0</v>
      </c>
    </row>
    <row r="162" spans="1:4" x14ac:dyDescent="0.45">
      <c r="A162" t="s">
        <v>295</v>
      </c>
      <c r="B162">
        <v>0</v>
      </c>
      <c r="C162">
        <v>0</v>
      </c>
      <c r="D162">
        <v>0</v>
      </c>
    </row>
    <row r="163" spans="1:4" x14ac:dyDescent="0.45">
      <c r="A163" t="s">
        <v>296</v>
      </c>
      <c r="B163">
        <v>0</v>
      </c>
      <c r="C163">
        <v>0</v>
      </c>
      <c r="D163">
        <v>0</v>
      </c>
    </row>
    <row r="164" spans="1:4" x14ac:dyDescent="0.45">
      <c r="A164" t="s">
        <v>297</v>
      </c>
      <c r="B164">
        <v>0</v>
      </c>
      <c r="C164">
        <v>0</v>
      </c>
      <c r="D164">
        <v>0</v>
      </c>
    </row>
    <row r="165" spans="1:4" x14ac:dyDescent="0.45">
      <c r="A165" t="s">
        <v>298</v>
      </c>
      <c r="B165">
        <v>0</v>
      </c>
      <c r="C165">
        <v>0</v>
      </c>
      <c r="D165">
        <v>0</v>
      </c>
    </row>
    <row r="166" spans="1:4" x14ac:dyDescent="0.45">
      <c r="A166" t="s">
        <v>299</v>
      </c>
      <c r="B166">
        <v>0</v>
      </c>
      <c r="C166">
        <v>0</v>
      </c>
      <c r="D166">
        <v>0</v>
      </c>
    </row>
    <row r="167" spans="1:4" x14ac:dyDescent="0.45">
      <c r="A167" t="s">
        <v>300</v>
      </c>
      <c r="B167">
        <v>0</v>
      </c>
      <c r="C167">
        <v>0</v>
      </c>
      <c r="D167">
        <v>0</v>
      </c>
    </row>
    <row r="168" spans="1:4" x14ac:dyDescent="0.45">
      <c r="A168" t="s">
        <v>301</v>
      </c>
      <c r="B168">
        <v>0</v>
      </c>
      <c r="C168">
        <v>0</v>
      </c>
      <c r="D168">
        <v>0</v>
      </c>
    </row>
    <row r="169" spans="1:4" x14ac:dyDescent="0.45">
      <c r="A169" t="s">
        <v>302</v>
      </c>
      <c r="B169">
        <v>0</v>
      </c>
      <c r="C169">
        <v>0</v>
      </c>
      <c r="D169">
        <v>0</v>
      </c>
    </row>
    <row r="170" spans="1:4" x14ac:dyDescent="0.45">
      <c r="A170" t="s">
        <v>303</v>
      </c>
      <c r="B170">
        <v>0</v>
      </c>
      <c r="C170">
        <v>0</v>
      </c>
      <c r="D170">
        <v>0</v>
      </c>
    </row>
    <row r="171" spans="1:4" x14ac:dyDescent="0.45">
      <c r="A171" t="s">
        <v>304</v>
      </c>
      <c r="B171">
        <v>0</v>
      </c>
      <c r="C171">
        <v>0</v>
      </c>
      <c r="D171">
        <v>0</v>
      </c>
    </row>
    <row r="172" spans="1:4" x14ac:dyDescent="0.45">
      <c r="A172" t="s">
        <v>305</v>
      </c>
      <c r="B172">
        <v>0</v>
      </c>
      <c r="C172">
        <v>0</v>
      </c>
      <c r="D172">
        <v>0</v>
      </c>
    </row>
    <row r="173" spans="1:4" x14ac:dyDescent="0.45">
      <c r="A173" t="s">
        <v>306</v>
      </c>
      <c r="B173">
        <v>0</v>
      </c>
      <c r="C173">
        <v>0</v>
      </c>
      <c r="D173">
        <v>0</v>
      </c>
    </row>
    <row r="174" spans="1:4" x14ac:dyDescent="0.45">
      <c r="A174" t="s">
        <v>307</v>
      </c>
      <c r="B174">
        <v>0</v>
      </c>
      <c r="C174">
        <v>0</v>
      </c>
      <c r="D174">
        <v>0</v>
      </c>
    </row>
    <row r="175" spans="1:4" x14ac:dyDescent="0.45">
      <c r="A175" t="s">
        <v>308</v>
      </c>
      <c r="B175">
        <v>0</v>
      </c>
      <c r="C175">
        <v>0</v>
      </c>
      <c r="D175">
        <v>0</v>
      </c>
    </row>
    <row r="176" spans="1:4" x14ac:dyDescent="0.45">
      <c r="A176" t="s">
        <v>309</v>
      </c>
      <c r="B176">
        <v>0</v>
      </c>
      <c r="C176">
        <v>0</v>
      </c>
      <c r="D176">
        <v>0</v>
      </c>
    </row>
    <row r="177" spans="1:4" x14ac:dyDescent="0.45">
      <c r="A177" t="s">
        <v>310</v>
      </c>
      <c r="B177">
        <v>0</v>
      </c>
      <c r="C177">
        <v>0</v>
      </c>
      <c r="D177">
        <v>0</v>
      </c>
    </row>
    <row r="178" spans="1:4" x14ac:dyDescent="0.45">
      <c r="A178" t="s">
        <v>311</v>
      </c>
      <c r="B178">
        <v>0</v>
      </c>
      <c r="C178">
        <v>0</v>
      </c>
      <c r="D178">
        <v>0</v>
      </c>
    </row>
    <row r="179" spans="1:4" x14ac:dyDescent="0.45">
      <c r="A179" t="s">
        <v>312</v>
      </c>
      <c r="B179">
        <v>0</v>
      </c>
      <c r="C179">
        <v>0</v>
      </c>
      <c r="D179">
        <v>0</v>
      </c>
    </row>
    <row r="180" spans="1:4" x14ac:dyDescent="0.45">
      <c r="A180" t="s">
        <v>313</v>
      </c>
      <c r="B180">
        <v>0</v>
      </c>
      <c r="C180">
        <v>0</v>
      </c>
      <c r="D180">
        <v>0</v>
      </c>
    </row>
    <row r="181" spans="1:4" x14ac:dyDescent="0.45">
      <c r="A181" t="s">
        <v>314</v>
      </c>
      <c r="B181">
        <v>0</v>
      </c>
      <c r="C181">
        <v>0</v>
      </c>
      <c r="D181">
        <v>0</v>
      </c>
    </row>
    <row r="182" spans="1:4" x14ac:dyDescent="0.45">
      <c r="A182" t="s">
        <v>315</v>
      </c>
      <c r="B182">
        <v>0</v>
      </c>
      <c r="C182">
        <v>0</v>
      </c>
      <c r="D182">
        <v>0</v>
      </c>
    </row>
    <row r="183" spans="1:4" x14ac:dyDescent="0.45">
      <c r="A183" t="s">
        <v>316</v>
      </c>
      <c r="B183">
        <v>0</v>
      </c>
      <c r="C183">
        <v>0</v>
      </c>
      <c r="D183">
        <v>0</v>
      </c>
    </row>
    <row r="184" spans="1:4" x14ac:dyDescent="0.45">
      <c r="A184" t="s">
        <v>317</v>
      </c>
      <c r="B184">
        <v>0</v>
      </c>
      <c r="C184">
        <v>0</v>
      </c>
      <c r="D184">
        <v>0</v>
      </c>
    </row>
    <row r="185" spans="1:4" x14ac:dyDescent="0.45">
      <c r="A185" t="s">
        <v>318</v>
      </c>
      <c r="B185">
        <v>0</v>
      </c>
      <c r="C185">
        <v>0</v>
      </c>
      <c r="D185">
        <v>0</v>
      </c>
    </row>
    <row r="186" spans="1:4" x14ac:dyDescent="0.45">
      <c r="A186" t="s">
        <v>319</v>
      </c>
      <c r="B186">
        <v>0</v>
      </c>
      <c r="C186">
        <v>0</v>
      </c>
      <c r="D186">
        <v>0</v>
      </c>
    </row>
    <row r="187" spans="1:4" x14ac:dyDescent="0.45">
      <c r="A187" t="s">
        <v>320</v>
      </c>
      <c r="B187">
        <v>0</v>
      </c>
      <c r="C187">
        <v>0</v>
      </c>
      <c r="D187">
        <v>0</v>
      </c>
    </row>
    <row r="188" spans="1:4" x14ac:dyDescent="0.45">
      <c r="A188" t="s">
        <v>321</v>
      </c>
      <c r="B188">
        <v>0</v>
      </c>
      <c r="C188">
        <v>0</v>
      </c>
      <c r="D188">
        <v>0</v>
      </c>
    </row>
    <row r="189" spans="1:4" x14ac:dyDescent="0.45">
      <c r="A189" t="s">
        <v>322</v>
      </c>
      <c r="B189">
        <v>0</v>
      </c>
      <c r="C189">
        <v>0</v>
      </c>
      <c r="D189">
        <v>0</v>
      </c>
    </row>
    <row r="190" spans="1:4" x14ac:dyDescent="0.45">
      <c r="A190" t="s">
        <v>323</v>
      </c>
      <c r="B190">
        <v>0</v>
      </c>
      <c r="C190">
        <v>0</v>
      </c>
      <c r="D190">
        <v>0</v>
      </c>
    </row>
    <row r="191" spans="1:4" x14ac:dyDescent="0.45">
      <c r="A191" t="s">
        <v>324</v>
      </c>
      <c r="B191">
        <v>0</v>
      </c>
      <c r="C191">
        <v>0</v>
      </c>
      <c r="D191">
        <v>0</v>
      </c>
    </row>
    <row r="192" spans="1:4" x14ac:dyDescent="0.45">
      <c r="A192" t="s">
        <v>325</v>
      </c>
      <c r="B192">
        <v>0</v>
      </c>
      <c r="C192">
        <v>0</v>
      </c>
      <c r="D192">
        <v>0</v>
      </c>
    </row>
    <row r="193" spans="1:4" x14ac:dyDescent="0.45">
      <c r="A193" t="s">
        <v>326</v>
      </c>
      <c r="B193">
        <v>0</v>
      </c>
      <c r="C193">
        <v>0</v>
      </c>
      <c r="D193">
        <v>0</v>
      </c>
    </row>
    <row r="194" spans="1:4" x14ac:dyDescent="0.45">
      <c r="A194" t="s">
        <v>327</v>
      </c>
      <c r="B194">
        <v>0</v>
      </c>
      <c r="C194">
        <v>0</v>
      </c>
      <c r="D194">
        <v>0</v>
      </c>
    </row>
    <row r="195" spans="1:4" x14ac:dyDescent="0.45">
      <c r="A195" t="s">
        <v>328</v>
      </c>
      <c r="B195">
        <v>0</v>
      </c>
      <c r="C195">
        <v>0</v>
      </c>
      <c r="D195">
        <v>0</v>
      </c>
    </row>
    <row r="196" spans="1:4" x14ac:dyDescent="0.45">
      <c r="A196" t="s">
        <v>329</v>
      </c>
      <c r="B196">
        <v>0</v>
      </c>
      <c r="C196">
        <v>0</v>
      </c>
      <c r="D196">
        <v>0</v>
      </c>
    </row>
    <row r="197" spans="1:4" x14ac:dyDescent="0.45">
      <c r="A197" t="s">
        <v>330</v>
      </c>
      <c r="B197">
        <v>0</v>
      </c>
      <c r="C197">
        <v>0</v>
      </c>
      <c r="D197">
        <v>0</v>
      </c>
    </row>
    <row r="198" spans="1:4" x14ac:dyDescent="0.45">
      <c r="A198" t="s">
        <v>331</v>
      </c>
      <c r="B198">
        <v>0</v>
      </c>
      <c r="C198">
        <v>0</v>
      </c>
      <c r="D198">
        <v>0</v>
      </c>
    </row>
    <row r="199" spans="1:4" x14ac:dyDescent="0.45">
      <c r="A199" t="s">
        <v>332</v>
      </c>
      <c r="B199">
        <v>0</v>
      </c>
      <c r="C199">
        <v>0</v>
      </c>
      <c r="D199">
        <v>0</v>
      </c>
    </row>
    <row r="200" spans="1:4" x14ac:dyDescent="0.45">
      <c r="A200" t="s">
        <v>333</v>
      </c>
      <c r="B200">
        <v>0</v>
      </c>
      <c r="C200">
        <v>0</v>
      </c>
      <c r="D200">
        <v>0</v>
      </c>
    </row>
    <row r="201" spans="1:4" x14ac:dyDescent="0.45">
      <c r="A201" t="s">
        <v>334</v>
      </c>
      <c r="B201">
        <v>0</v>
      </c>
      <c r="C201">
        <v>0</v>
      </c>
      <c r="D201">
        <v>0</v>
      </c>
    </row>
    <row r="202" spans="1:4" x14ac:dyDescent="0.45">
      <c r="A202" t="s">
        <v>335</v>
      </c>
      <c r="B202">
        <v>0</v>
      </c>
      <c r="C202">
        <v>0</v>
      </c>
      <c r="D202">
        <v>0</v>
      </c>
    </row>
    <row r="203" spans="1:4" x14ac:dyDescent="0.45">
      <c r="A203" t="s">
        <v>336</v>
      </c>
      <c r="B203">
        <v>1</v>
      </c>
      <c r="C203">
        <v>1</v>
      </c>
      <c r="D203">
        <v>1</v>
      </c>
    </row>
    <row r="204" spans="1:4" x14ac:dyDescent="0.45">
      <c r="A204" t="s">
        <v>337</v>
      </c>
      <c r="B204">
        <v>1</v>
      </c>
      <c r="C204">
        <v>1</v>
      </c>
      <c r="D204">
        <v>1</v>
      </c>
    </row>
    <row r="205" spans="1:4" x14ac:dyDescent="0.45">
      <c r="A205" t="s">
        <v>338</v>
      </c>
      <c r="B205">
        <v>1</v>
      </c>
      <c r="C205">
        <v>1</v>
      </c>
      <c r="D205">
        <v>1</v>
      </c>
    </row>
    <row r="206" spans="1:4" x14ac:dyDescent="0.45">
      <c r="A206" t="s">
        <v>339</v>
      </c>
      <c r="B206">
        <v>1</v>
      </c>
      <c r="C206">
        <v>1</v>
      </c>
      <c r="D206">
        <v>1</v>
      </c>
    </row>
    <row r="207" spans="1:4" x14ac:dyDescent="0.45">
      <c r="A207" t="s">
        <v>340</v>
      </c>
      <c r="B207">
        <v>1</v>
      </c>
      <c r="C207">
        <v>1</v>
      </c>
      <c r="D207">
        <v>1</v>
      </c>
    </row>
    <row r="208" spans="1:4" x14ac:dyDescent="0.45">
      <c r="A208" t="s">
        <v>341</v>
      </c>
      <c r="B208">
        <v>1</v>
      </c>
      <c r="C208">
        <v>1</v>
      </c>
      <c r="D208">
        <v>1</v>
      </c>
    </row>
    <row r="209" spans="1:4" x14ac:dyDescent="0.45">
      <c r="A209" t="s">
        <v>342</v>
      </c>
      <c r="B209">
        <v>1</v>
      </c>
      <c r="C209">
        <v>1</v>
      </c>
      <c r="D209">
        <v>1</v>
      </c>
    </row>
    <row r="210" spans="1:4" x14ac:dyDescent="0.45">
      <c r="A210" t="s">
        <v>343</v>
      </c>
      <c r="B210">
        <v>1</v>
      </c>
      <c r="C210">
        <v>1</v>
      </c>
      <c r="D210">
        <v>1</v>
      </c>
    </row>
    <row r="211" spans="1:4" x14ac:dyDescent="0.45">
      <c r="A211" t="s">
        <v>344</v>
      </c>
      <c r="B211">
        <v>1</v>
      </c>
      <c r="C211">
        <v>1</v>
      </c>
      <c r="D211">
        <v>1</v>
      </c>
    </row>
    <row r="212" spans="1:4" x14ac:dyDescent="0.45">
      <c r="A212" t="s">
        <v>345</v>
      </c>
      <c r="B212">
        <v>0</v>
      </c>
      <c r="C212">
        <v>0</v>
      </c>
      <c r="D212">
        <v>0</v>
      </c>
    </row>
    <row r="213" spans="1:4" x14ac:dyDescent="0.45">
      <c r="A213" t="s">
        <v>346</v>
      </c>
      <c r="B213">
        <v>0</v>
      </c>
      <c r="C213">
        <v>0</v>
      </c>
      <c r="D213">
        <v>0</v>
      </c>
    </row>
    <row r="214" spans="1:4" x14ac:dyDescent="0.45">
      <c r="A214" t="s">
        <v>347</v>
      </c>
      <c r="B214">
        <v>0</v>
      </c>
      <c r="C214">
        <v>0</v>
      </c>
      <c r="D214">
        <v>0</v>
      </c>
    </row>
    <row r="215" spans="1:4" x14ac:dyDescent="0.45">
      <c r="A215" t="s">
        <v>348</v>
      </c>
      <c r="B215">
        <v>0</v>
      </c>
      <c r="C215">
        <v>0</v>
      </c>
      <c r="D215">
        <v>0</v>
      </c>
    </row>
    <row r="216" spans="1:4" x14ac:dyDescent="0.45">
      <c r="A216" t="s">
        <v>349</v>
      </c>
      <c r="B216">
        <v>0</v>
      </c>
      <c r="C216">
        <v>0</v>
      </c>
      <c r="D216">
        <v>0</v>
      </c>
    </row>
    <row r="217" spans="1:4" x14ac:dyDescent="0.45">
      <c r="A217" t="s">
        <v>350</v>
      </c>
      <c r="B217">
        <v>0</v>
      </c>
      <c r="C217">
        <v>0</v>
      </c>
      <c r="D217">
        <v>0</v>
      </c>
    </row>
    <row r="218" spans="1:4" x14ac:dyDescent="0.45">
      <c r="A218" t="s">
        <v>351</v>
      </c>
      <c r="B218">
        <v>0</v>
      </c>
      <c r="C218">
        <v>0</v>
      </c>
      <c r="D218">
        <v>0</v>
      </c>
    </row>
    <row r="219" spans="1:4" x14ac:dyDescent="0.45">
      <c r="A219" t="s">
        <v>352</v>
      </c>
      <c r="B219">
        <v>0</v>
      </c>
      <c r="C219">
        <v>0</v>
      </c>
      <c r="D219">
        <v>0</v>
      </c>
    </row>
    <row r="220" spans="1:4" x14ac:dyDescent="0.45">
      <c r="A220" t="s">
        <v>353</v>
      </c>
      <c r="B220">
        <v>0</v>
      </c>
      <c r="C220">
        <v>0</v>
      </c>
      <c r="D220">
        <v>0</v>
      </c>
    </row>
    <row r="221" spans="1:4" x14ac:dyDescent="0.45">
      <c r="A221" t="s">
        <v>354</v>
      </c>
      <c r="B221">
        <v>0</v>
      </c>
      <c r="C221">
        <v>0</v>
      </c>
      <c r="D221">
        <v>0</v>
      </c>
    </row>
    <row r="222" spans="1:4" x14ac:dyDescent="0.45">
      <c r="A222" t="s">
        <v>355</v>
      </c>
      <c r="B222">
        <v>0</v>
      </c>
      <c r="C222">
        <v>0</v>
      </c>
      <c r="D222">
        <v>0</v>
      </c>
    </row>
    <row r="223" spans="1:4" x14ac:dyDescent="0.45">
      <c r="A223" t="s">
        <v>356</v>
      </c>
      <c r="B223">
        <v>0</v>
      </c>
      <c r="C223">
        <v>0</v>
      </c>
      <c r="D223">
        <v>0</v>
      </c>
    </row>
    <row r="224" spans="1:4" x14ac:dyDescent="0.45">
      <c r="A224" t="s">
        <v>357</v>
      </c>
      <c r="B224">
        <v>0</v>
      </c>
      <c r="C224">
        <v>0</v>
      </c>
      <c r="D224">
        <v>0</v>
      </c>
    </row>
    <row r="225" spans="1:4" x14ac:dyDescent="0.45">
      <c r="A225" t="s">
        <v>438</v>
      </c>
      <c r="B225">
        <v>0</v>
      </c>
      <c r="C225">
        <v>0</v>
      </c>
      <c r="D225">
        <v>0</v>
      </c>
    </row>
    <row r="226" spans="1:4" x14ac:dyDescent="0.45">
      <c r="A226" t="s">
        <v>441</v>
      </c>
      <c r="B226">
        <v>0</v>
      </c>
      <c r="C226">
        <v>0</v>
      </c>
      <c r="D226">
        <v>0</v>
      </c>
    </row>
  </sheetData>
  <phoneticPr fontId="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A471-0AA0-41D3-80A7-372CD7E08C8E}">
  <dimension ref="A1:E226"/>
  <sheetViews>
    <sheetView workbookViewId="0">
      <pane xSplit="1" ySplit="1" topLeftCell="B212" activePane="bottomRight" state="frozen"/>
      <selection pane="topRight" activeCell="B1" sqref="B1"/>
      <selection pane="bottomLeft" activeCell="A2" sqref="A2"/>
      <selection pane="bottomRight" activeCell="E228" sqref="E228"/>
    </sheetView>
  </sheetViews>
  <sheetFormatPr defaultRowHeight="14.25" x14ac:dyDescent="0.45"/>
  <sheetData>
    <row r="1" spans="1:5" x14ac:dyDescent="0.45">
      <c r="B1" t="s">
        <v>39</v>
      </c>
      <c r="C1" t="s">
        <v>358</v>
      </c>
      <c r="D1" t="s">
        <v>359</v>
      </c>
    </row>
    <row r="2" spans="1:5" x14ac:dyDescent="0.45">
      <c r="A2" t="s">
        <v>135</v>
      </c>
    </row>
    <row r="3" spans="1:5" x14ac:dyDescent="0.45">
      <c r="A3" t="s">
        <v>136</v>
      </c>
      <c r="C3">
        <v>1.3863669999999999</v>
      </c>
    </row>
    <row r="4" spans="1:5" x14ac:dyDescent="0.45">
      <c r="A4" t="s">
        <v>137</v>
      </c>
      <c r="C4">
        <v>0.85342649999999998</v>
      </c>
      <c r="D4">
        <f>C4/C3-1</f>
        <v>-0.38441516568123735</v>
      </c>
      <c r="E4">
        <f>E5/(1+ D5)</f>
        <v>21.595786031887915</v>
      </c>
    </row>
    <row r="5" spans="1:5" x14ac:dyDescent="0.45">
      <c r="A5" t="s">
        <v>138</v>
      </c>
      <c r="C5">
        <v>0.5996996</v>
      </c>
      <c r="D5">
        <f t="shared" ref="D5:D68" si="0">C5/C4-1</f>
        <v>-0.29730375140682885</v>
      </c>
      <c r="E5">
        <f t="shared" ref="E5:E67" si="1">E6/(1+ D6)</f>
        <v>15.175277830028444</v>
      </c>
    </row>
    <row r="6" spans="1:5" x14ac:dyDescent="0.45">
      <c r="A6" t="s">
        <v>139</v>
      </c>
      <c r="C6">
        <v>0.4664527</v>
      </c>
      <c r="D6">
        <f t="shared" si="0"/>
        <v>-0.22218940949768851</v>
      </c>
      <c r="E6">
        <f t="shared" si="1"/>
        <v>11.80349181001106</v>
      </c>
    </row>
    <row r="7" spans="1:5" x14ac:dyDescent="0.45">
      <c r="A7" t="s">
        <v>140</v>
      </c>
      <c r="C7">
        <v>0.52603370000000005</v>
      </c>
      <c r="D7">
        <f t="shared" si="0"/>
        <v>0.1277321366132087</v>
      </c>
      <c r="E7">
        <f t="shared" si="1"/>
        <v>13.311177038400283</v>
      </c>
    </row>
    <row r="8" spans="1:5" x14ac:dyDescent="0.45">
      <c r="A8" t="s">
        <v>141</v>
      </c>
      <c r="C8">
        <v>0.73293299999999995</v>
      </c>
      <c r="D8">
        <f t="shared" si="0"/>
        <v>0.39331947744032347</v>
      </c>
      <c r="E8">
        <f t="shared" si="1"/>
        <v>18.546722235259516</v>
      </c>
    </row>
    <row r="9" spans="1:5" x14ac:dyDescent="0.45">
      <c r="A9" t="s">
        <v>142</v>
      </c>
      <c r="C9">
        <v>0.75256449999999997</v>
      </c>
      <c r="D9">
        <f t="shared" si="0"/>
        <v>2.6784849365494523E-2</v>
      </c>
      <c r="E9">
        <f t="shared" si="1"/>
        <v>19.043493396554609</v>
      </c>
    </row>
    <row r="10" spans="1:5" x14ac:dyDescent="0.45">
      <c r="A10" t="s">
        <v>143</v>
      </c>
      <c r="C10">
        <v>0.44826290000000002</v>
      </c>
      <c r="D10">
        <f t="shared" si="0"/>
        <v>-0.40435284948997718</v>
      </c>
      <c r="E10">
        <f t="shared" si="1"/>
        <v>11.343202577414189</v>
      </c>
    </row>
    <row r="11" spans="1:5" x14ac:dyDescent="0.45">
      <c r="A11" t="s">
        <v>144</v>
      </c>
      <c r="C11">
        <v>0.48698599999999997</v>
      </c>
      <c r="D11">
        <f t="shared" si="0"/>
        <v>8.6384797849654582E-2</v>
      </c>
      <c r="E11">
        <f t="shared" si="1"/>
        <v>12.323082839031795</v>
      </c>
    </row>
    <row r="12" spans="1:5" x14ac:dyDescent="0.45">
      <c r="A12" t="s">
        <v>145</v>
      </c>
      <c r="C12">
        <v>0.50625589999999998</v>
      </c>
      <c r="D12">
        <f t="shared" si="0"/>
        <v>3.9569720690122434E-2</v>
      </c>
      <c r="E12">
        <f t="shared" si="1"/>
        <v>12.810703785013523</v>
      </c>
    </row>
    <row r="13" spans="1:5" x14ac:dyDescent="0.45">
      <c r="A13" t="s">
        <v>146</v>
      </c>
      <c r="C13">
        <v>0.52969840000000001</v>
      </c>
      <c r="D13">
        <f t="shared" si="0"/>
        <v>4.6305633178793659E-2</v>
      </c>
      <c r="E13">
        <f t="shared" si="1"/>
        <v>13.403911535244543</v>
      </c>
    </row>
    <row r="14" spans="1:5" x14ac:dyDescent="0.45">
      <c r="A14" t="s">
        <v>147</v>
      </c>
      <c r="C14">
        <v>0.71707180000000004</v>
      </c>
      <c r="D14">
        <f t="shared" si="0"/>
        <v>0.35373601279520583</v>
      </c>
      <c r="E14">
        <f t="shared" si="1"/>
        <v>18.145357757581614</v>
      </c>
    </row>
    <row r="15" spans="1:5" x14ac:dyDescent="0.45">
      <c r="A15" t="s">
        <v>148</v>
      </c>
      <c r="C15">
        <v>1.022923</v>
      </c>
      <c r="D15">
        <f t="shared" si="0"/>
        <v>0.42652799900930427</v>
      </c>
      <c r="E15">
        <f t="shared" si="1"/>
        <v>25.884860893230854</v>
      </c>
    </row>
    <row r="16" spans="1:5" x14ac:dyDescent="0.45">
      <c r="A16" t="s">
        <v>149</v>
      </c>
      <c r="C16">
        <v>0.77785680000000001</v>
      </c>
      <c r="D16">
        <f t="shared" si="0"/>
        <v>-0.23957443522141941</v>
      </c>
      <c r="E16">
        <f t="shared" si="1"/>
        <v>19.683509963950065</v>
      </c>
    </row>
    <row r="17" spans="1:5" x14ac:dyDescent="0.45">
      <c r="A17" t="s">
        <v>150</v>
      </c>
      <c r="C17">
        <v>1.296192</v>
      </c>
      <c r="D17">
        <f t="shared" si="0"/>
        <v>0.66636326892044906</v>
      </c>
      <c r="E17">
        <f t="shared" si="1"/>
        <v>32.799878007356064</v>
      </c>
    </row>
    <row r="18" spans="1:5" x14ac:dyDescent="0.45">
      <c r="A18" t="s">
        <v>151</v>
      </c>
      <c r="C18">
        <v>1.0513239999999999</v>
      </c>
      <c r="D18">
        <f t="shared" si="0"/>
        <v>-0.18891337085863824</v>
      </c>
      <c r="E18">
        <f t="shared" si="1"/>
        <v>26.603542489234318</v>
      </c>
    </row>
    <row r="19" spans="1:5" x14ac:dyDescent="0.45">
      <c r="A19" t="s">
        <v>152</v>
      </c>
      <c r="C19">
        <v>0.96948599999999996</v>
      </c>
      <c r="D19">
        <f t="shared" si="0"/>
        <v>-7.7842796321590635E-2</v>
      </c>
      <c r="E19">
        <f t="shared" si="1"/>
        <v>24.532648349812067</v>
      </c>
    </row>
    <row r="20" spans="1:5" x14ac:dyDescent="0.45">
      <c r="A20" t="s">
        <v>153</v>
      </c>
      <c r="C20">
        <v>1.5793109999999999</v>
      </c>
      <c r="D20">
        <f t="shared" si="0"/>
        <v>0.62901888217055224</v>
      </c>
      <c r="E20">
        <f t="shared" si="1"/>
        <v>39.964147391494095</v>
      </c>
    </row>
    <row r="21" spans="1:5" x14ac:dyDescent="0.45">
      <c r="A21" t="s">
        <v>154</v>
      </c>
      <c r="C21">
        <v>1.6316360000000001</v>
      </c>
      <c r="D21">
        <f t="shared" si="0"/>
        <v>3.3131536473816947E-2</v>
      </c>
      <c r="E21">
        <f t="shared" si="1"/>
        <v>41.28822099844038</v>
      </c>
    </row>
    <row r="22" spans="1:5" x14ac:dyDescent="0.45">
      <c r="A22" t="s">
        <v>155</v>
      </c>
      <c r="C22">
        <v>1.1251450000000001</v>
      </c>
      <c r="D22">
        <f t="shared" si="0"/>
        <v>-0.31041911308649728</v>
      </c>
      <c r="E22">
        <f t="shared" si="1"/>
        <v>28.471568055185227</v>
      </c>
    </row>
    <row r="23" spans="1:5" x14ac:dyDescent="0.45">
      <c r="A23" t="s">
        <v>156</v>
      </c>
      <c r="C23">
        <v>0.90070510000000004</v>
      </c>
      <c r="D23">
        <f t="shared" si="0"/>
        <v>-0.1994764230388083</v>
      </c>
      <c r="E23">
        <f t="shared" si="1"/>
        <v>22.792161501230879</v>
      </c>
    </row>
    <row r="24" spans="1:5" x14ac:dyDescent="0.45">
      <c r="A24" t="s">
        <v>157</v>
      </c>
      <c r="C24">
        <v>0.93318889999999999</v>
      </c>
      <c r="D24">
        <f t="shared" si="0"/>
        <v>3.6064856299803383E-2</v>
      </c>
      <c r="E24">
        <f t="shared" si="1"/>
        <v>23.614157530534683</v>
      </c>
    </row>
    <row r="25" spans="1:5" x14ac:dyDescent="0.45">
      <c r="A25" t="s">
        <v>158</v>
      </c>
      <c r="C25">
        <v>0.80510910000000002</v>
      </c>
      <c r="D25">
        <f t="shared" si="0"/>
        <v>-0.13724959651791824</v>
      </c>
      <c r="E25">
        <f t="shared" si="1"/>
        <v>20.373123937358237</v>
      </c>
    </row>
    <row r="26" spans="1:5" x14ac:dyDescent="0.45">
      <c r="A26" t="s">
        <v>159</v>
      </c>
      <c r="C26">
        <v>0.80910839999999995</v>
      </c>
      <c r="D26">
        <f t="shared" si="0"/>
        <v>4.9674013124432204E-3</v>
      </c>
      <c r="E26">
        <f t="shared" si="1"/>
        <v>20.474325419943238</v>
      </c>
    </row>
    <row r="27" spans="1:5" x14ac:dyDescent="0.45">
      <c r="A27" t="s">
        <v>160</v>
      </c>
      <c r="C27">
        <v>0.67658669999999999</v>
      </c>
      <c r="D27">
        <f t="shared" si="0"/>
        <v>-0.16378732441784061</v>
      </c>
      <c r="E27">
        <f t="shared" si="1"/>
        <v>17.120890440150554</v>
      </c>
    </row>
    <row r="28" spans="1:5" x14ac:dyDescent="0.45">
      <c r="A28" t="s">
        <v>161</v>
      </c>
      <c r="C28">
        <v>0.57080109999999995</v>
      </c>
      <c r="D28">
        <f t="shared" si="0"/>
        <v>-0.15635187626360381</v>
      </c>
      <c r="E28">
        <f t="shared" si="1"/>
        <v>14.444007096529418</v>
      </c>
    </row>
    <row r="29" spans="1:5" x14ac:dyDescent="0.45">
      <c r="A29" t="s">
        <v>162</v>
      </c>
      <c r="C29">
        <v>0.67401679999999997</v>
      </c>
      <c r="D29">
        <f t="shared" si="0"/>
        <v>0.18082603554898546</v>
      </c>
      <c r="E29">
        <f t="shared" si="1"/>
        <v>17.055859637236246</v>
      </c>
    </row>
    <row r="30" spans="1:5" x14ac:dyDescent="0.45">
      <c r="A30" t="s">
        <v>163</v>
      </c>
      <c r="C30">
        <v>0.50042949999999997</v>
      </c>
      <c r="D30">
        <f t="shared" si="0"/>
        <v>-0.25754150341653204</v>
      </c>
      <c r="E30">
        <f t="shared" si="1"/>
        <v>12.663267904201076</v>
      </c>
    </row>
    <row r="31" spans="1:5" x14ac:dyDescent="0.45">
      <c r="A31" t="s">
        <v>164</v>
      </c>
      <c r="C31">
        <v>0.58318460000000005</v>
      </c>
      <c r="D31">
        <f t="shared" si="0"/>
        <v>0.16536814876021522</v>
      </c>
      <c r="E31">
        <f t="shared" si="1"/>
        <v>14.757369074773459</v>
      </c>
    </row>
    <row r="32" spans="1:5" x14ac:dyDescent="0.45">
      <c r="A32" t="s">
        <v>165</v>
      </c>
      <c r="C32">
        <v>0.51145410000000002</v>
      </c>
      <c r="D32">
        <f t="shared" si="0"/>
        <v>-0.12299793238710355</v>
      </c>
      <c r="E32">
        <f t="shared" si="1"/>
        <v>12.942243191102941</v>
      </c>
    </row>
    <row r="33" spans="1:5" x14ac:dyDescent="0.45">
      <c r="A33" t="s">
        <v>166</v>
      </c>
      <c r="C33">
        <v>0.65386299999999997</v>
      </c>
      <c r="D33">
        <f t="shared" si="0"/>
        <v>0.27843925779458978</v>
      </c>
      <c r="E33">
        <f t="shared" si="1"/>
        <v>16.545871779430726</v>
      </c>
    </row>
    <row r="34" spans="1:5" x14ac:dyDescent="0.45">
      <c r="A34" t="s">
        <v>167</v>
      </c>
      <c r="C34">
        <v>0.57950219999999997</v>
      </c>
      <c r="D34">
        <f t="shared" si="0"/>
        <v>-0.11372535225268898</v>
      </c>
      <c r="E34">
        <f t="shared" si="1"/>
        <v>14.664186682987141</v>
      </c>
    </row>
    <row r="35" spans="1:5" x14ac:dyDescent="0.45">
      <c r="A35" t="s">
        <v>168</v>
      </c>
      <c r="C35">
        <v>0.76861139999999994</v>
      </c>
      <c r="D35">
        <f t="shared" si="0"/>
        <v>0.32633042635558596</v>
      </c>
      <c r="E35">
        <f t="shared" si="1"/>
        <v>19.449556975404242</v>
      </c>
    </row>
    <row r="36" spans="1:5" x14ac:dyDescent="0.45">
      <c r="A36" t="s">
        <v>169</v>
      </c>
      <c r="C36">
        <v>0.65210610000000002</v>
      </c>
      <c r="D36">
        <f t="shared" si="0"/>
        <v>-0.15157893832956415</v>
      </c>
      <c r="E36">
        <f t="shared" si="1"/>
        <v>16.501413778092097</v>
      </c>
    </row>
    <row r="37" spans="1:5" x14ac:dyDescent="0.45">
      <c r="A37" t="s">
        <v>170</v>
      </c>
      <c r="C37">
        <v>1.03748</v>
      </c>
      <c r="D37">
        <f t="shared" si="0"/>
        <v>0.59096809552923979</v>
      </c>
      <c r="E37">
        <f t="shared" si="1"/>
        <v>26.253222852071143</v>
      </c>
    </row>
    <row r="38" spans="1:5" x14ac:dyDescent="0.45">
      <c r="A38" t="s">
        <v>171</v>
      </c>
      <c r="C38">
        <v>0.63324119999999995</v>
      </c>
      <c r="D38">
        <f t="shared" si="0"/>
        <v>-0.38963527007749554</v>
      </c>
      <c r="E38">
        <f t="shared" si="1"/>
        <v>16.024041275699727</v>
      </c>
    </row>
    <row r="39" spans="1:5" x14ac:dyDescent="0.45">
      <c r="A39" t="s">
        <v>172</v>
      </c>
      <c r="C39">
        <v>0.57818899999999995</v>
      </c>
      <c r="D39">
        <f t="shared" si="0"/>
        <v>-8.6937173386696931E-2</v>
      </c>
      <c r="E39">
        <f t="shared" si="1"/>
        <v>14.630956420958633</v>
      </c>
    </row>
    <row r="40" spans="1:5" x14ac:dyDescent="0.45">
      <c r="A40" t="s">
        <v>173</v>
      </c>
      <c r="C40">
        <v>0.61093759999999997</v>
      </c>
      <c r="D40">
        <f t="shared" si="0"/>
        <v>5.663995683072498E-2</v>
      </c>
      <c r="E40">
        <f t="shared" si="1"/>
        <v>15.459653161033948</v>
      </c>
    </row>
    <row r="41" spans="1:5" x14ac:dyDescent="0.45">
      <c r="A41" t="s">
        <v>174</v>
      </c>
      <c r="C41">
        <v>0.84267769999999997</v>
      </c>
      <c r="D41">
        <f t="shared" si="0"/>
        <v>0.37931877167160777</v>
      </c>
      <c r="E41">
        <f t="shared" si="1"/>
        <v>21.323789808546433</v>
      </c>
    </row>
    <row r="42" spans="1:5" x14ac:dyDescent="0.45">
      <c r="A42" t="s">
        <v>175</v>
      </c>
      <c r="C42">
        <v>1.1446289999999999</v>
      </c>
      <c r="D42">
        <f t="shared" si="0"/>
        <v>0.35832359157006288</v>
      </c>
      <c r="E42">
        <f t="shared" si="1"/>
        <v>28.964606758629895</v>
      </c>
    </row>
    <row r="43" spans="1:5" x14ac:dyDescent="0.45">
      <c r="A43" t="s">
        <v>176</v>
      </c>
      <c r="C43">
        <v>0.92043070000000005</v>
      </c>
      <c r="D43">
        <f t="shared" si="0"/>
        <v>-0.19586984079557646</v>
      </c>
      <c r="E43">
        <f t="shared" si="1"/>
        <v>23.291313844110579</v>
      </c>
    </row>
    <row r="44" spans="1:5" x14ac:dyDescent="0.45">
      <c r="A44" t="s">
        <v>177</v>
      </c>
      <c r="C44">
        <v>0.92723999999999995</v>
      </c>
      <c r="D44">
        <f t="shared" si="0"/>
        <v>7.3979496772542674E-3</v>
      </c>
      <c r="E44">
        <f t="shared" si="1"/>
        <v>23.463621811846444</v>
      </c>
    </row>
    <row r="45" spans="1:5" x14ac:dyDescent="0.45">
      <c r="A45" t="s">
        <v>178</v>
      </c>
      <c r="C45">
        <v>1.0711360000000001</v>
      </c>
      <c r="D45">
        <f t="shared" si="0"/>
        <v>0.1551874379880076</v>
      </c>
      <c r="E45">
        <f t="shared" si="1"/>
        <v>27.104881166746427</v>
      </c>
    </row>
    <row r="46" spans="1:5" x14ac:dyDescent="0.45">
      <c r="A46" t="s">
        <v>179</v>
      </c>
      <c r="C46">
        <v>0.90886199999999995</v>
      </c>
      <c r="D46">
        <f t="shared" si="0"/>
        <v>-0.15149710214202505</v>
      </c>
      <c r="E46">
        <f t="shared" si="1"/>
        <v>22.998570216080392</v>
      </c>
    </row>
    <row r="47" spans="1:5" x14ac:dyDescent="0.45">
      <c r="A47" t="s">
        <v>180</v>
      </c>
      <c r="C47">
        <v>0.658335</v>
      </c>
      <c r="D47">
        <f t="shared" si="0"/>
        <v>-0.2756491084455065</v>
      </c>
      <c r="E47">
        <f t="shared" si="1"/>
        <v>16.659034840496453</v>
      </c>
    </row>
    <row r="48" spans="1:5" x14ac:dyDescent="0.45">
      <c r="A48" t="s">
        <v>181</v>
      </c>
      <c r="C48">
        <v>0.92635319999999999</v>
      </c>
      <c r="D48">
        <f t="shared" si="0"/>
        <v>0.40711522249310761</v>
      </c>
      <c r="E48">
        <f t="shared" si="1"/>
        <v>23.441181516105598</v>
      </c>
    </row>
    <row r="49" spans="1:5" x14ac:dyDescent="0.45">
      <c r="A49" t="s">
        <v>182</v>
      </c>
      <c r="C49">
        <v>0.83095149999999995</v>
      </c>
      <c r="D49">
        <f t="shared" si="0"/>
        <v>-0.10298631234824906</v>
      </c>
      <c r="E49">
        <f t="shared" si="1"/>
        <v>21.027060674675944</v>
      </c>
    </row>
    <row r="50" spans="1:5" x14ac:dyDescent="0.45">
      <c r="A50" t="s">
        <v>183</v>
      </c>
      <c r="C50">
        <v>1.009252</v>
      </c>
      <c r="D50">
        <f t="shared" si="0"/>
        <v>0.21457389510699487</v>
      </c>
      <c r="E50">
        <f t="shared" si="1"/>
        <v>25.538918986292277</v>
      </c>
    </row>
    <row r="51" spans="1:5" x14ac:dyDescent="0.45">
      <c r="A51" t="s">
        <v>184</v>
      </c>
      <c r="C51">
        <v>0.75233859999999997</v>
      </c>
      <c r="D51">
        <f t="shared" si="0"/>
        <v>-0.25455822728119448</v>
      </c>
      <c r="E51">
        <f t="shared" si="1"/>
        <v>19.037777042463674</v>
      </c>
    </row>
    <row r="52" spans="1:5" x14ac:dyDescent="0.45">
      <c r="A52" t="s">
        <v>185</v>
      </c>
      <c r="C52">
        <v>1.1998759999999999</v>
      </c>
      <c r="D52">
        <f t="shared" si="0"/>
        <v>0.59486167531481171</v>
      </c>
      <c r="E52">
        <f t="shared" si="1"/>
        <v>30.362620988213475</v>
      </c>
    </row>
    <row r="53" spans="1:5" x14ac:dyDescent="0.45">
      <c r="A53" t="s">
        <v>186</v>
      </c>
      <c r="C53">
        <v>1.46831</v>
      </c>
      <c r="D53">
        <f t="shared" si="0"/>
        <v>0.22371811753881232</v>
      </c>
      <c r="E53">
        <f t="shared" si="1"/>
        <v>37.155289399241028</v>
      </c>
    </row>
    <row r="54" spans="1:5" x14ac:dyDescent="0.45">
      <c r="A54" t="s">
        <v>187</v>
      </c>
      <c r="C54">
        <v>1.027161</v>
      </c>
      <c r="D54">
        <f t="shared" si="0"/>
        <v>-0.30044677213939841</v>
      </c>
      <c r="E54">
        <f t="shared" si="1"/>
        <v>25.992102631333854</v>
      </c>
    </row>
    <row r="55" spans="1:5" x14ac:dyDescent="0.45">
      <c r="A55" t="s">
        <v>188</v>
      </c>
      <c r="C55">
        <v>0.76695080000000004</v>
      </c>
      <c r="D55">
        <f t="shared" si="0"/>
        <v>-0.25332951698906003</v>
      </c>
      <c r="E55">
        <f t="shared" si="1"/>
        <v>19.407535826207972</v>
      </c>
    </row>
    <row r="56" spans="1:5" x14ac:dyDescent="0.45">
      <c r="A56" t="s">
        <v>189</v>
      </c>
      <c r="C56">
        <v>0.85193830000000004</v>
      </c>
      <c r="D56">
        <f t="shared" si="0"/>
        <v>0.11081219290728939</v>
      </c>
      <c r="E56">
        <f t="shared" si="1"/>
        <v>21.558127430036858</v>
      </c>
    </row>
    <row r="57" spans="1:5" x14ac:dyDescent="0.45">
      <c r="A57" t="s">
        <v>190</v>
      </c>
      <c r="C57">
        <v>0.62240490000000004</v>
      </c>
      <c r="D57">
        <f t="shared" si="0"/>
        <v>-0.26942491023117521</v>
      </c>
      <c r="E57">
        <f t="shared" si="1"/>
        <v>15.749830882446942</v>
      </c>
    </row>
    <row r="58" spans="1:5" x14ac:dyDescent="0.45">
      <c r="A58" t="s">
        <v>191</v>
      </c>
      <c r="C58">
        <v>0.80540230000000002</v>
      </c>
      <c r="D58">
        <f t="shared" si="0"/>
        <v>0.29401664414917028</v>
      </c>
      <c r="E58">
        <f t="shared" si="1"/>
        <v>20.380543304420957</v>
      </c>
    </row>
    <row r="59" spans="1:5" x14ac:dyDescent="0.45">
      <c r="A59" t="s">
        <v>192</v>
      </c>
      <c r="C59">
        <v>0.75246780000000002</v>
      </c>
      <c r="D59">
        <f t="shared" si="0"/>
        <v>-6.5724297037641932E-2</v>
      </c>
      <c r="E59">
        <f t="shared" si="1"/>
        <v>19.04104642249267</v>
      </c>
    </row>
    <row r="60" spans="1:5" x14ac:dyDescent="0.45">
      <c r="A60" t="s">
        <v>193</v>
      </c>
      <c r="C60">
        <v>0.86860630000000005</v>
      </c>
      <c r="D60">
        <f t="shared" si="0"/>
        <v>0.15434348154166866</v>
      </c>
      <c r="E60">
        <f t="shared" si="1"/>
        <v>21.979907819536724</v>
      </c>
    </row>
    <row r="61" spans="1:5" x14ac:dyDescent="0.45">
      <c r="A61" t="s">
        <v>194</v>
      </c>
      <c r="C61">
        <v>0.73391770000000001</v>
      </c>
      <c r="D61">
        <f t="shared" si="0"/>
        <v>-0.1550628863732626</v>
      </c>
      <c r="E61">
        <f t="shared" si="1"/>
        <v>18.571639870821116</v>
      </c>
    </row>
    <row r="62" spans="1:5" x14ac:dyDescent="0.45">
      <c r="A62" t="s">
        <v>195</v>
      </c>
      <c r="C62">
        <v>0.69991479999999995</v>
      </c>
      <c r="D62">
        <f t="shared" si="0"/>
        <v>-4.6330671681579672E-2</v>
      </c>
      <c r="E62">
        <f t="shared" si="1"/>
        <v>17.711203321377567</v>
      </c>
    </row>
    <row r="63" spans="1:5" x14ac:dyDescent="0.45">
      <c r="A63" t="s">
        <v>196</v>
      </c>
      <c r="C63">
        <v>0.55590640000000002</v>
      </c>
      <c r="D63">
        <f t="shared" si="0"/>
        <v>-0.20575132859027978</v>
      </c>
      <c r="E63">
        <f t="shared" si="1"/>
        <v>14.067099707071556</v>
      </c>
    </row>
    <row r="64" spans="1:5" x14ac:dyDescent="0.45">
      <c r="A64" t="s">
        <v>197</v>
      </c>
      <c r="C64">
        <v>0.5783315</v>
      </c>
      <c r="D64">
        <f t="shared" si="0"/>
        <v>4.0339704669706933E-2</v>
      </c>
      <c r="E64">
        <f t="shared" si="1"/>
        <v>14.634562354814143</v>
      </c>
    </row>
    <row r="65" spans="1:5" x14ac:dyDescent="0.45">
      <c r="A65" t="s">
        <v>198</v>
      </c>
      <c r="C65">
        <v>0.65481009999999995</v>
      </c>
      <c r="D65">
        <f t="shared" si="0"/>
        <v>0.13224007338351784</v>
      </c>
      <c r="E65">
        <f t="shared" si="1"/>
        <v>16.569837954550433</v>
      </c>
    </row>
    <row r="66" spans="1:5" x14ac:dyDescent="0.45">
      <c r="A66" t="s">
        <v>199</v>
      </c>
      <c r="C66">
        <v>0.81053039999999998</v>
      </c>
      <c r="D66">
        <f t="shared" si="0"/>
        <v>0.23780986273730353</v>
      </c>
      <c r="E66">
        <f t="shared" si="1"/>
        <v>20.510308844101434</v>
      </c>
    </row>
    <row r="67" spans="1:5" x14ac:dyDescent="0.45">
      <c r="A67" t="s">
        <v>200</v>
      </c>
      <c r="C67">
        <v>0.91724969999999995</v>
      </c>
      <c r="D67">
        <f t="shared" si="0"/>
        <v>0.13166600537129747</v>
      </c>
      <c r="E67">
        <f t="shared" si="1"/>
        <v>23.210819278535862</v>
      </c>
    </row>
    <row r="68" spans="1:5" x14ac:dyDescent="0.45">
      <c r="A68" t="s">
        <v>201</v>
      </c>
      <c r="C68">
        <v>1.095018</v>
      </c>
      <c r="D68">
        <f t="shared" si="0"/>
        <v>0.19380578701742834</v>
      </c>
      <c r="E68">
        <f t="shared" ref="E68:E80" si="2">E69/(1+ D69)</f>
        <v>27.709210376131804</v>
      </c>
    </row>
    <row r="69" spans="1:5" x14ac:dyDescent="0.45">
      <c r="A69" t="s">
        <v>202</v>
      </c>
      <c r="C69">
        <v>0.77946040000000005</v>
      </c>
      <c r="D69">
        <f t="shared" ref="D69:D132" si="3">C69/C68-1</f>
        <v>-0.28817571948588971</v>
      </c>
      <c r="E69">
        <f t="shared" si="2"/>
        <v>19.724088739604142</v>
      </c>
    </row>
    <row r="70" spans="1:5" x14ac:dyDescent="0.45">
      <c r="A70" t="s">
        <v>203</v>
      </c>
      <c r="C70">
        <v>0.91751689999999997</v>
      </c>
      <c r="D70">
        <f t="shared" si="3"/>
        <v>0.17711804217379079</v>
      </c>
      <c r="E70">
        <f t="shared" si="2"/>
        <v>23.217580720824941</v>
      </c>
    </row>
    <row r="71" spans="1:5" x14ac:dyDescent="0.45">
      <c r="A71" t="s">
        <v>204</v>
      </c>
      <c r="C71">
        <v>1.0984480000000001</v>
      </c>
      <c r="D71">
        <f t="shared" si="3"/>
        <v>0.19719647670794971</v>
      </c>
      <c r="E71">
        <f t="shared" si="2"/>
        <v>27.796005836654039</v>
      </c>
    </row>
    <row r="72" spans="1:5" x14ac:dyDescent="0.45">
      <c r="A72" t="s">
        <v>205</v>
      </c>
      <c r="C72">
        <v>0.88358579999999998</v>
      </c>
      <c r="D72">
        <f t="shared" si="3"/>
        <v>-0.19560525395831219</v>
      </c>
      <c r="E72">
        <f t="shared" si="2"/>
        <v>22.358961055948598</v>
      </c>
    </row>
    <row r="73" spans="1:5" x14ac:dyDescent="0.45">
      <c r="A73" t="s">
        <v>206</v>
      </c>
      <c r="C73">
        <v>3.5918359999999998</v>
      </c>
      <c r="D73">
        <f t="shared" si="3"/>
        <v>3.0650675916249446</v>
      </c>
      <c r="E73">
        <f t="shared" si="2"/>
        <v>90.890687970940888</v>
      </c>
    </row>
    <row r="74" spans="1:5" x14ac:dyDescent="0.45">
      <c r="A74" t="s">
        <v>207</v>
      </c>
      <c r="C74">
        <v>1.4109259999999999</v>
      </c>
      <c r="D74">
        <f t="shared" si="3"/>
        <v>-0.60718529465153748</v>
      </c>
      <c r="E74">
        <f t="shared" si="2"/>
        <v>35.703198814224194</v>
      </c>
    </row>
    <row r="75" spans="1:5" x14ac:dyDescent="0.45">
      <c r="A75" t="s">
        <v>208</v>
      </c>
      <c r="C75">
        <v>1.1403760000000001</v>
      </c>
      <c r="D75">
        <f t="shared" si="3"/>
        <v>-0.19175350089232168</v>
      </c>
      <c r="E75">
        <f t="shared" si="2"/>
        <v>28.856985448542119</v>
      </c>
    </row>
    <row r="76" spans="1:5" x14ac:dyDescent="0.45">
      <c r="A76" t="s">
        <v>209</v>
      </c>
      <c r="C76">
        <v>0.83144750000000001</v>
      </c>
      <c r="D76">
        <f t="shared" si="3"/>
        <v>-0.27090056262145124</v>
      </c>
      <c r="E76">
        <f t="shared" si="2"/>
        <v>21.039611854973028</v>
      </c>
    </row>
    <row r="77" spans="1:5" x14ac:dyDescent="0.45">
      <c r="A77" t="s">
        <v>210</v>
      </c>
      <c r="C77">
        <v>0.74995319999999999</v>
      </c>
      <c r="D77">
        <f t="shared" si="3"/>
        <v>-9.8014967872295022E-2</v>
      </c>
      <c r="E77">
        <f t="shared" si="2"/>
        <v>18.97741497496229</v>
      </c>
    </row>
    <row r="78" spans="1:5" x14ac:dyDescent="0.45">
      <c r="A78" t="s">
        <v>211</v>
      </c>
      <c r="C78">
        <v>0.72550139999999996</v>
      </c>
      <c r="D78">
        <f t="shared" si="3"/>
        <v>-3.2604434516713909E-2</v>
      </c>
      <c r="E78">
        <f t="shared" si="2"/>
        <v>18.358667091114626</v>
      </c>
    </row>
    <row r="79" spans="1:5" x14ac:dyDescent="0.45">
      <c r="A79" t="s">
        <v>212</v>
      </c>
      <c r="C79">
        <v>0.72527299999999995</v>
      </c>
      <c r="D79">
        <f t="shared" si="3"/>
        <v>-3.1481675982980573E-4</v>
      </c>
      <c r="E79">
        <f t="shared" si="2"/>
        <v>18.352887475026208</v>
      </c>
    </row>
    <row r="80" spans="1:5" x14ac:dyDescent="0.45">
      <c r="A80" t="s">
        <v>213</v>
      </c>
      <c r="C80">
        <v>0.66269719999999999</v>
      </c>
      <c r="D80">
        <f t="shared" si="3"/>
        <v>-8.627895978479827E-2</v>
      </c>
      <c r="E80">
        <f t="shared" si="2"/>
        <v>16.769419434633495</v>
      </c>
    </row>
    <row r="81" spans="1:5" x14ac:dyDescent="0.45">
      <c r="A81" t="s">
        <v>214</v>
      </c>
      <c r="C81">
        <v>1.07531</v>
      </c>
      <c r="D81">
        <f t="shared" si="3"/>
        <v>0.62262644236311848</v>
      </c>
      <c r="E81">
        <f>E82/(1+ D82)</f>
        <v>27.210503397714284</v>
      </c>
    </row>
    <row r="82" spans="1:5" x14ac:dyDescent="0.45">
      <c r="A82" s="10" t="s">
        <v>215</v>
      </c>
      <c r="B82" s="10">
        <v>22.17</v>
      </c>
      <c r="C82" s="10">
        <v>0.87611839999999996</v>
      </c>
      <c r="D82" s="10">
        <f t="shared" si="3"/>
        <v>-0.18524109326612792</v>
      </c>
      <c r="E82" s="10">
        <f>B82</f>
        <v>22.17</v>
      </c>
    </row>
    <row r="83" spans="1:5" x14ac:dyDescent="0.45">
      <c r="A83" t="s">
        <v>216</v>
      </c>
      <c r="B83">
        <v>18.72</v>
      </c>
      <c r="C83">
        <v>0.75361199999999995</v>
      </c>
      <c r="D83">
        <f t="shared" si="3"/>
        <v>-0.13982858937787401</v>
      </c>
      <c r="E83">
        <f t="shared" ref="E83:E146" si="4">B83</f>
        <v>18.72</v>
      </c>
    </row>
    <row r="84" spans="1:5" x14ac:dyDescent="0.45">
      <c r="A84" t="s">
        <v>217</v>
      </c>
      <c r="B84">
        <v>25.2</v>
      </c>
      <c r="C84">
        <v>1.169559</v>
      </c>
      <c r="D84">
        <f t="shared" si="3"/>
        <v>0.55193786723141369</v>
      </c>
      <c r="E84">
        <f t="shared" si="4"/>
        <v>25.2</v>
      </c>
    </row>
    <row r="85" spans="1:5" x14ac:dyDescent="0.45">
      <c r="A85" t="s">
        <v>218</v>
      </c>
      <c r="B85">
        <v>26.11</v>
      </c>
      <c r="C85">
        <v>1.083485</v>
      </c>
      <c r="D85">
        <f t="shared" si="3"/>
        <v>-7.3595261119789535E-2</v>
      </c>
      <c r="E85">
        <f t="shared" si="4"/>
        <v>26.11</v>
      </c>
    </row>
    <row r="86" spans="1:5" x14ac:dyDescent="0.45">
      <c r="A86" t="s">
        <v>219</v>
      </c>
      <c r="B86">
        <v>22.52</v>
      </c>
      <c r="C86">
        <v>1.0336320000000001</v>
      </c>
      <c r="D86">
        <f t="shared" si="3"/>
        <v>-4.6011712206444844E-2</v>
      </c>
      <c r="E86">
        <f t="shared" si="4"/>
        <v>22.52</v>
      </c>
    </row>
    <row r="87" spans="1:5" x14ac:dyDescent="0.45">
      <c r="A87" t="s">
        <v>220</v>
      </c>
      <c r="B87">
        <v>17.149999999999999</v>
      </c>
      <c r="C87">
        <v>0.86933280000000002</v>
      </c>
      <c r="D87">
        <f t="shared" si="3"/>
        <v>-0.15895328318008739</v>
      </c>
      <c r="E87">
        <f t="shared" si="4"/>
        <v>17.149999999999999</v>
      </c>
    </row>
    <row r="88" spans="1:5" x14ac:dyDescent="0.45">
      <c r="A88" t="s">
        <v>221</v>
      </c>
      <c r="B88">
        <v>16.63</v>
      </c>
      <c r="C88">
        <v>0.74274580000000001</v>
      </c>
      <c r="D88">
        <f t="shared" si="3"/>
        <v>-0.14561396970182194</v>
      </c>
      <c r="E88">
        <f t="shared" si="4"/>
        <v>16.63</v>
      </c>
    </row>
    <row r="89" spans="1:5" x14ac:dyDescent="0.45">
      <c r="A89" t="s">
        <v>222</v>
      </c>
      <c r="B89">
        <v>17.46</v>
      </c>
      <c r="C89">
        <v>0.8890285</v>
      </c>
      <c r="D89">
        <f t="shared" si="3"/>
        <v>0.19694853878675578</v>
      </c>
      <c r="E89">
        <f t="shared" si="4"/>
        <v>17.46</v>
      </c>
    </row>
    <row r="90" spans="1:5" x14ac:dyDescent="0.45">
      <c r="A90" t="s">
        <v>223</v>
      </c>
      <c r="B90">
        <v>17.559999999999999</v>
      </c>
      <c r="C90">
        <v>0.59162579999999998</v>
      </c>
      <c r="D90">
        <f t="shared" si="3"/>
        <v>-0.33452549608927051</v>
      </c>
      <c r="E90">
        <f t="shared" si="4"/>
        <v>17.559999999999999</v>
      </c>
    </row>
    <row r="91" spans="1:5" x14ac:dyDescent="0.45">
      <c r="A91" t="s">
        <v>224</v>
      </c>
      <c r="B91">
        <v>15.62</v>
      </c>
      <c r="C91">
        <v>0.69614819999999999</v>
      </c>
      <c r="D91">
        <f t="shared" si="3"/>
        <v>0.17666978012115098</v>
      </c>
      <c r="E91">
        <f t="shared" si="4"/>
        <v>15.62</v>
      </c>
    </row>
    <row r="92" spans="1:5" x14ac:dyDescent="0.45">
      <c r="A92" t="s">
        <v>225</v>
      </c>
      <c r="B92">
        <v>13.9</v>
      </c>
      <c r="C92">
        <v>0.57252579999999997</v>
      </c>
      <c r="D92">
        <f t="shared" si="3"/>
        <v>-0.17758057838833741</v>
      </c>
      <c r="E92">
        <f t="shared" si="4"/>
        <v>13.9</v>
      </c>
    </row>
    <row r="93" spans="1:5" x14ac:dyDescent="0.45">
      <c r="A93" t="s">
        <v>226</v>
      </c>
      <c r="B93">
        <v>14.76</v>
      </c>
      <c r="C93">
        <v>0.54006580000000004</v>
      </c>
      <c r="D93">
        <f t="shared" si="3"/>
        <v>-5.6696134916539909E-2</v>
      </c>
      <c r="E93">
        <f t="shared" si="4"/>
        <v>14.76</v>
      </c>
    </row>
    <row r="94" spans="1:5" x14ac:dyDescent="0.45">
      <c r="A94" t="s">
        <v>227</v>
      </c>
      <c r="B94">
        <v>13.26</v>
      </c>
      <c r="C94">
        <v>0.62726669999999995</v>
      </c>
      <c r="D94">
        <f t="shared" si="3"/>
        <v>0.16146347352489254</v>
      </c>
      <c r="E94">
        <f t="shared" si="4"/>
        <v>13.26</v>
      </c>
    </row>
    <row r="95" spans="1:5" x14ac:dyDescent="0.45">
      <c r="A95" t="s">
        <v>228</v>
      </c>
      <c r="B95">
        <v>12.97</v>
      </c>
      <c r="C95">
        <v>0.61185129999999999</v>
      </c>
      <c r="D95">
        <f t="shared" si="3"/>
        <v>-2.4575511500929292E-2</v>
      </c>
      <c r="E95">
        <f t="shared" si="4"/>
        <v>12.97</v>
      </c>
    </row>
    <row r="96" spans="1:5" x14ac:dyDescent="0.45">
      <c r="A96" t="s">
        <v>229</v>
      </c>
      <c r="B96">
        <v>12.12</v>
      </c>
      <c r="C96">
        <v>0.45668510000000001</v>
      </c>
      <c r="D96">
        <f t="shared" si="3"/>
        <v>-0.25360116093567175</v>
      </c>
      <c r="E96">
        <f t="shared" si="4"/>
        <v>12.12</v>
      </c>
    </row>
    <row r="97" spans="1:5" x14ac:dyDescent="0.45">
      <c r="A97" t="s">
        <v>230</v>
      </c>
      <c r="B97">
        <v>12.42</v>
      </c>
      <c r="C97">
        <v>0.42171219999999998</v>
      </c>
      <c r="D97">
        <f t="shared" si="3"/>
        <v>-7.6579901555798524E-2</v>
      </c>
      <c r="E97">
        <f t="shared" si="4"/>
        <v>12.42</v>
      </c>
    </row>
    <row r="98" spans="1:5" x14ac:dyDescent="0.45">
      <c r="A98" t="s">
        <v>231</v>
      </c>
      <c r="B98">
        <v>13.44</v>
      </c>
      <c r="C98">
        <v>0.60571379999999997</v>
      </c>
      <c r="D98">
        <f t="shared" si="3"/>
        <v>0.43632031513434999</v>
      </c>
      <c r="E98">
        <f t="shared" si="4"/>
        <v>13.44</v>
      </c>
    </row>
    <row r="99" spans="1:5" x14ac:dyDescent="0.45">
      <c r="A99" t="s">
        <v>232</v>
      </c>
      <c r="B99">
        <v>14.51</v>
      </c>
      <c r="C99">
        <v>0.67562869999999997</v>
      </c>
      <c r="D99">
        <f t="shared" si="3"/>
        <v>0.11542563501112246</v>
      </c>
      <c r="E99">
        <f t="shared" si="4"/>
        <v>14.51</v>
      </c>
    </row>
    <row r="100" spans="1:5" x14ac:dyDescent="0.45">
      <c r="A100" t="s">
        <v>233</v>
      </c>
      <c r="B100">
        <v>12.52</v>
      </c>
      <c r="C100">
        <v>0.50602119999999995</v>
      </c>
      <c r="D100">
        <f t="shared" si="3"/>
        <v>-0.25103655306531536</v>
      </c>
      <c r="E100">
        <f t="shared" si="4"/>
        <v>12.52</v>
      </c>
    </row>
    <row r="101" spans="1:5" x14ac:dyDescent="0.45">
      <c r="A101" t="s">
        <v>234</v>
      </c>
      <c r="B101">
        <v>15.27</v>
      </c>
      <c r="C101">
        <v>0.64929499999999996</v>
      </c>
      <c r="D101">
        <f t="shared" si="3"/>
        <v>0.28313793967525469</v>
      </c>
      <c r="E101">
        <f t="shared" si="4"/>
        <v>15.27</v>
      </c>
    </row>
    <row r="102" spans="1:5" x14ac:dyDescent="0.45">
      <c r="A102" t="s">
        <v>235</v>
      </c>
      <c r="B102">
        <v>11.99</v>
      </c>
      <c r="C102">
        <v>0.41880849999999997</v>
      </c>
      <c r="D102">
        <f t="shared" si="3"/>
        <v>-0.35497963175444136</v>
      </c>
      <c r="E102">
        <f t="shared" si="4"/>
        <v>11.99</v>
      </c>
    </row>
    <row r="103" spans="1:5" x14ac:dyDescent="0.45">
      <c r="A103" t="s">
        <v>236</v>
      </c>
      <c r="B103">
        <v>12.19</v>
      </c>
      <c r="C103">
        <v>0.53811620000000004</v>
      </c>
      <c r="D103">
        <f t="shared" si="3"/>
        <v>0.28487411310897492</v>
      </c>
      <c r="E103">
        <f t="shared" si="4"/>
        <v>12.19</v>
      </c>
    </row>
    <row r="104" spans="1:5" x14ac:dyDescent="0.45">
      <c r="A104" t="s">
        <v>237</v>
      </c>
      <c r="B104">
        <v>12.47</v>
      </c>
      <c r="C104">
        <v>0.44790400000000002</v>
      </c>
      <c r="D104">
        <f t="shared" si="3"/>
        <v>-0.16764446043438208</v>
      </c>
      <c r="E104">
        <f t="shared" si="4"/>
        <v>12.47</v>
      </c>
    </row>
    <row r="105" spans="1:5" x14ac:dyDescent="0.45">
      <c r="A105" t="s">
        <v>238</v>
      </c>
      <c r="B105">
        <v>12.9</v>
      </c>
      <c r="C105">
        <v>0.53178049999999999</v>
      </c>
      <c r="D105">
        <f t="shared" si="3"/>
        <v>0.18726445845538331</v>
      </c>
      <c r="E105">
        <f t="shared" si="4"/>
        <v>12.9</v>
      </c>
    </row>
    <row r="106" spans="1:5" x14ac:dyDescent="0.45">
      <c r="A106" t="s">
        <v>239</v>
      </c>
      <c r="B106">
        <v>15.4</v>
      </c>
      <c r="C106">
        <v>0.8250729</v>
      </c>
      <c r="D106">
        <f t="shared" si="3"/>
        <v>0.55152906133263624</v>
      </c>
      <c r="E106">
        <f t="shared" si="4"/>
        <v>15.4</v>
      </c>
    </row>
    <row r="107" spans="1:5" x14ac:dyDescent="0.45">
      <c r="A107" t="s">
        <v>240</v>
      </c>
      <c r="B107">
        <v>16.37</v>
      </c>
      <c r="C107">
        <v>0.6222434</v>
      </c>
      <c r="D107">
        <f t="shared" si="3"/>
        <v>-0.24583221676533062</v>
      </c>
      <c r="E107">
        <f t="shared" si="4"/>
        <v>16.37</v>
      </c>
    </row>
    <row r="108" spans="1:5" x14ac:dyDescent="0.45">
      <c r="A108" t="s">
        <v>241</v>
      </c>
      <c r="B108">
        <v>16.78</v>
      </c>
      <c r="C108">
        <v>0.79926339999999996</v>
      </c>
      <c r="D108">
        <f t="shared" si="3"/>
        <v>0.28448674586182832</v>
      </c>
      <c r="E108">
        <f t="shared" si="4"/>
        <v>16.78</v>
      </c>
    </row>
    <row r="109" spans="1:5" x14ac:dyDescent="0.45">
      <c r="A109" t="s">
        <v>242</v>
      </c>
      <c r="B109">
        <v>17.21</v>
      </c>
      <c r="C109">
        <v>0.67155770000000004</v>
      </c>
      <c r="D109">
        <f t="shared" si="3"/>
        <v>-0.15977924173682911</v>
      </c>
      <c r="E109">
        <f t="shared" si="4"/>
        <v>17.21</v>
      </c>
    </row>
    <row r="110" spans="1:5" x14ac:dyDescent="0.45">
      <c r="A110" t="s">
        <v>243</v>
      </c>
      <c r="B110">
        <v>19.920000000000002</v>
      </c>
      <c r="C110">
        <v>0.87533329999999998</v>
      </c>
      <c r="D110">
        <f t="shared" si="3"/>
        <v>0.30343721768062504</v>
      </c>
      <c r="E110">
        <f t="shared" si="4"/>
        <v>19.920000000000002</v>
      </c>
    </row>
    <row r="111" spans="1:5" x14ac:dyDescent="0.45">
      <c r="A111" t="s">
        <v>244</v>
      </c>
      <c r="B111">
        <v>19.920000000000002</v>
      </c>
      <c r="C111">
        <v>1.0150779999999999</v>
      </c>
      <c r="D111">
        <f t="shared" si="3"/>
        <v>0.15964741658977211</v>
      </c>
      <c r="E111">
        <f t="shared" si="4"/>
        <v>19.920000000000002</v>
      </c>
    </row>
    <row r="112" spans="1:5" x14ac:dyDescent="0.45">
      <c r="A112" t="s">
        <v>245</v>
      </c>
      <c r="B112">
        <v>22.45</v>
      </c>
      <c r="C112">
        <v>1.0395589999999999</v>
      </c>
      <c r="D112">
        <f t="shared" si="3"/>
        <v>2.4117358469004424E-2</v>
      </c>
      <c r="E112">
        <f t="shared" si="4"/>
        <v>22.45</v>
      </c>
    </row>
    <row r="113" spans="1:5" x14ac:dyDescent="0.45">
      <c r="A113" t="s">
        <v>246</v>
      </c>
      <c r="B113">
        <v>27.09</v>
      </c>
      <c r="C113">
        <v>1.481061</v>
      </c>
      <c r="D113">
        <f t="shared" si="3"/>
        <v>0.4247012435080646</v>
      </c>
      <c r="E113">
        <f t="shared" si="4"/>
        <v>27.09</v>
      </c>
    </row>
    <row r="114" spans="1:5" x14ac:dyDescent="0.45">
      <c r="A114" t="s">
        <v>247</v>
      </c>
      <c r="B114">
        <v>21.32</v>
      </c>
      <c r="C114">
        <v>0.83549490000000004</v>
      </c>
      <c r="D114">
        <f t="shared" si="3"/>
        <v>-0.43588083137696554</v>
      </c>
      <c r="E114">
        <f t="shared" si="4"/>
        <v>21.32</v>
      </c>
    </row>
    <row r="115" spans="1:5" x14ac:dyDescent="0.45">
      <c r="A115" t="s">
        <v>248</v>
      </c>
      <c r="B115">
        <v>21.53</v>
      </c>
      <c r="C115">
        <v>0.85297389999999995</v>
      </c>
      <c r="D115">
        <f t="shared" si="3"/>
        <v>2.0920534643598554E-2</v>
      </c>
      <c r="E115">
        <f t="shared" si="4"/>
        <v>21.53</v>
      </c>
    </row>
    <row r="116" spans="1:5" x14ac:dyDescent="0.45">
      <c r="A116" t="s">
        <v>249</v>
      </c>
      <c r="B116">
        <v>29.75</v>
      </c>
      <c r="C116">
        <v>1.813977</v>
      </c>
      <c r="D116">
        <f t="shared" si="3"/>
        <v>1.1266500651426732</v>
      </c>
      <c r="E116">
        <f t="shared" si="4"/>
        <v>29.75</v>
      </c>
    </row>
    <row r="117" spans="1:5" x14ac:dyDescent="0.45">
      <c r="A117" t="s">
        <v>250</v>
      </c>
      <c r="B117">
        <v>29.54</v>
      </c>
      <c r="C117">
        <v>1.229266</v>
      </c>
      <c r="D117">
        <f t="shared" si="3"/>
        <v>-0.32233650151021764</v>
      </c>
      <c r="E117">
        <f t="shared" si="4"/>
        <v>29.54</v>
      </c>
    </row>
    <row r="118" spans="1:5" x14ac:dyDescent="0.45">
      <c r="A118" t="s">
        <v>251</v>
      </c>
      <c r="B118">
        <v>27.25</v>
      </c>
      <c r="C118">
        <v>1.259352</v>
      </c>
      <c r="D118">
        <f t="shared" si="3"/>
        <v>2.4474767869606895E-2</v>
      </c>
      <c r="E118">
        <f t="shared" si="4"/>
        <v>27.25</v>
      </c>
    </row>
    <row r="119" spans="1:5" x14ac:dyDescent="0.45">
      <c r="A119" t="s">
        <v>252</v>
      </c>
      <c r="B119">
        <v>24.4</v>
      </c>
      <c r="C119">
        <v>1.1283380000000001</v>
      </c>
      <c r="D119">
        <f t="shared" si="3"/>
        <v>-0.10403286769703779</v>
      </c>
      <c r="E119">
        <f t="shared" si="4"/>
        <v>24.4</v>
      </c>
    </row>
    <row r="120" spans="1:5" x14ac:dyDescent="0.45">
      <c r="A120" t="s">
        <v>253</v>
      </c>
      <c r="B120">
        <v>23.32</v>
      </c>
      <c r="C120">
        <v>1.0365139999999999</v>
      </c>
      <c r="D120">
        <f t="shared" si="3"/>
        <v>-8.1379870216194194E-2</v>
      </c>
      <c r="E120">
        <f t="shared" si="4"/>
        <v>23.32</v>
      </c>
    </row>
    <row r="121" spans="1:5" x14ac:dyDescent="0.45">
      <c r="A121" t="s">
        <v>254</v>
      </c>
      <c r="B121">
        <v>22.66</v>
      </c>
      <c r="C121">
        <v>1.0439849999999999</v>
      </c>
      <c r="D121">
        <f t="shared" si="3"/>
        <v>7.2078138838451711E-3</v>
      </c>
      <c r="E121">
        <f t="shared" si="4"/>
        <v>22.66</v>
      </c>
    </row>
    <row r="122" spans="1:5" x14ac:dyDescent="0.45">
      <c r="A122" t="s">
        <v>255</v>
      </c>
      <c r="B122">
        <v>23.15</v>
      </c>
      <c r="C122">
        <v>1.524472</v>
      </c>
      <c r="D122">
        <f t="shared" si="3"/>
        <v>0.46024320272800878</v>
      </c>
      <c r="E122">
        <f t="shared" si="4"/>
        <v>23.15</v>
      </c>
    </row>
    <row r="123" spans="1:5" x14ac:dyDescent="0.45">
      <c r="A123" t="s">
        <v>256</v>
      </c>
      <c r="B123">
        <v>24.92</v>
      </c>
      <c r="C123">
        <v>1.555207</v>
      </c>
      <c r="D123">
        <f t="shared" si="3"/>
        <v>2.0161078721026016E-2</v>
      </c>
      <c r="E123">
        <f t="shared" si="4"/>
        <v>24.92</v>
      </c>
    </row>
    <row r="124" spans="1:5" x14ac:dyDescent="0.45">
      <c r="A124" t="s">
        <v>257</v>
      </c>
      <c r="B124">
        <v>19.170000000000002</v>
      </c>
      <c r="C124">
        <v>0.85723879999999997</v>
      </c>
      <c r="D124">
        <f t="shared" si="3"/>
        <v>-0.44879440486057487</v>
      </c>
      <c r="E124">
        <f t="shared" si="4"/>
        <v>19.170000000000002</v>
      </c>
    </row>
    <row r="125" spans="1:5" x14ac:dyDescent="0.45">
      <c r="A125" t="s">
        <v>258</v>
      </c>
      <c r="B125">
        <v>26.02</v>
      </c>
      <c r="C125">
        <v>1.4815100000000001</v>
      </c>
      <c r="D125">
        <f t="shared" si="3"/>
        <v>0.7282348862417336</v>
      </c>
      <c r="E125">
        <f t="shared" si="4"/>
        <v>26.02</v>
      </c>
    </row>
    <row r="126" spans="1:5" x14ac:dyDescent="0.45">
      <c r="A126" t="s">
        <v>259</v>
      </c>
      <c r="B126">
        <v>25.73</v>
      </c>
      <c r="C126">
        <v>1.498996</v>
      </c>
      <c r="D126">
        <f t="shared" si="3"/>
        <v>1.1802822795661028E-2</v>
      </c>
      <c r="E126">
        <f t="shared" si="4"/>
        <v>25.73</v>
      </c>
    </row>
    <row r="127" spans="1:5" x14ac:dyDescent="0.45">
      <c r="A127" t="s">
        <v>260</v>
      </c>
      <c r="B127">
        <v>23.92</v>
      </c>
      <c r="C127">
        <v>1.335599</v>
      </c>
      <c r="D127">
        <f t="shared" si="3"/>
        <v>-0.10900429354047647</v>
      </c>
      <c r="E127">
        <f t="shared" si="4"/>
        <v>23.92</v>
      </c>
    </row>
    <row r="128" spans="1:5" x14ac:dyDescent="0.45">
      <c r="A128" t="s">
        <v>261</v>
      </c>
      <c r="B128">
        <v>25.38</v>
      </c>
      <c r="C128">
        <v>1.3643670000000001</v>
      </c>
      <c r="D128">
        <f t="shared" si="3"/>
        <v>2.1539399175950269E-2</v>
      </c>
      <c r="E128">
        <f t="shared" si="4"/>
        <v>25.38</v>
      </c>
    </row>
    <row r="129" spans="1:5" x14ac:dyDescent="0.45">
      <c r="A129" t="s">
        <v>262</v>
      </c>
      <c r="B129">
        <v>27.91</v>
      </c>
      <c r="C129">
        <v>1.0437179999999999</v>
      </c>
      <c r="D129">
        <f t="shared" si="3"/>
        <v>-0.23501667806389348</v>
      </c>
      <c r="E129">
        <f t="shared" si="4"/>
        <v>27.91</v>
      </c>
    </row>
    <row r="130" spans="1:5" x14ac:dyDescent="0.45">
      <c r="A130" t="s">
        <v>263</v>
      </c>
      <c r="B130">
        <v>21.36</v>
      </c>
      <c r="C130">
        <v>1.036422</v>
      </c>
      <c r="D130">
        <f t="shared" si="3"/>
        <v>-6.9903939569883056E-3</v>
      </c>
      <c r="E130">
        <f t="shared" si="4"/>
        <v>21.36</v>
      </c>
    </row>
    <row r="131" spans="1:5" x14ac:dyDescent="0.45">
      <c r="A131" t="s">
        <v>264</v>
      </c>
      <c r="B131">
        <v>21.64</v>
      </c>
      <c r="C131">
        <v>1.238364</v>
      </c>
      <c r="D131">
        <f t="shared" si="3"/>
        <v>0.19484534292016198</v>
      </c>
      <c r="E131">
        <f t="shared" si="4"/>
        <v>21.64</v>
      </c>
    </row>
    <row r="132" spans="1:5" x14ac:dyDescent="0.45">
      <c r="A132" t="s">
        <v>265</v>
      </c>
      <c r="B132">
        <v>35.07</v>
      </c>
      <c r="C132">
        <v>2.2062689999999998</v>
      </c>
      <c r="D132">
        <f t="shared" si="3"/>
        <v>0.78159975580685459</v>
      </c>
      <c r="E132">
        <f t="shared" si="4"/>
        <v>35.07</v>
      </c>
    </row>
    <row r="133" spans="1:5" x14ac:dyDescent="0.45">
      <c r="A133" t="s">
        <v>266</v>
      </c>
      <c r="B133">
        <v>30.73</v>
      </c>
      <c r="C133">
        <v>1.6901820000000001</v>
      </c>
      <c r="D133">
        <f t="shared" ref="D133:D196" si="5">C133/C132-1</f>
        <v>-0.23391843877605123</v>
      </c>
      <c r="E133">
        <f t="shared" si="4"/>
        <v>30.73</v>
      </c>
    </row>
    <row r="134" spans="1:5" x14ac:dyDescent="0.45">
      <c r="A134" t="s">
        <v>267</v>
      </c>
      <c r="B134">
        <v>30.02</v>
      </c>
      <c r="C134">
        <v>1.48292</v>
      </c>
      <c r="D134">
        <f t="shared" si="5"/>
        <v>-0.12262703069846914</v>
      </c>
      <c r="E134">
        <f t="shared" si="4"/>
        <v>30.02</v>
      </c>
    </row>
    <row r="135" spans="1:5" x14ac:dyDescent="0.45">
      <c r="A135" t="s">
        <v>268</v>
      </c>
      <c r="B135">
        <v>21.53</v>
      </c>
      <c r="C135">
        <v>1.044211</v>
      </c>
      <c r="D135">
        <f t="shared" si="5"/>
        <v>-0.29584131308499451</v>
      </c>
      <c r="E135">
        <f t="shared" si="4"/>
        <v>21.53</v>
      </c>
    </row>
    <row r="136" spans="1:5" x14ac:dyDescent="0.45">
      <c r="A136" t="s">
        <v>269</v>
      </c>
      <c r="B136">
        <v>19.32</v>
      </c>
      <c r="C136">
        <v>0.86577000000000004</v>
      </c>
      <c r="D136">
        <f t="shared" si="5"/>
        <v>-0.17088596078761853</v>
      </c>
      <c r="E136">
        <f t="shared" si="4"/>
        <v>19.32</v>
      </c>
    </row>
    <row r="137" spans="1:5" x14ac:dyDescent="0.45">
      <c r="A137" t="s">
        <v>270</v>
      </c>
      <c r="B137">
        <v>17.43</v>
      </c>
      <c r="C137">
        <v>0.68296100000000004</v>
      </c>
      <c r="D137">
        <f t="shared" si="5"/>
        <v>-0.21115192256603943</v>
      </c>
      <c r="E137">
        <f t="shared" si="4"/>
        <v>17.43</v>
      </c>
    </row>
    <row r="138" spans="1:5" x14ac:dyDescent="0.45">
      <c r="A138" t="s">
        <v>271</v>
      </c>
      <c r="B138">
        <v>16.66</v>
      </c>
      <c r="C138">
        <v>0.74660579999999999</v>
      </c>
      <c r="D138">
        <f t="shared" si="5"/>
        <v>9.3189508624943462E-2</v>
      </c>
      <c r="E138">
        <f t="shared" si="4"/>
        <v>16.66</v>
      </c>
    </row>
    <row r="139" spans="1:5" x14ac:dyDescent="0.45">
      <c r="A139" t="s">
        <v>272</v>
      </c>
      <c r="B139">
        <v>16.21</v>
      </c>
      <c r="C139">
        <v>0.68188669999999996</v>
      </c>
      <c r="D139">
        <f t="shared" si="5"/>
        <v>-8.6684432400605527E-2</v>
      </c>
      <c r="E139">
        <f t="shared" si="4"/>
        <v>16.21</v>
      </c>
    </row>
    <row r="140" spans="1:5" x14ac:dyDescent="0.45">
      <c r="A140" t="s">
        <v>273</v>
      </c>
      <c r="B140">
        <v>15.44</v>
      </c>
      <c r="C140">
        <v>0.67005870000000001</v>
      </c>
      <c r="D140">
        <f t="shared" si="5"/>
        <v>-1.7345990176960369E-2</v>
      </c>
      <c r="E140">
        <f t="shared" si="4"/>
        <v>15.44</v>
      </c>
    </row>
    <row r="141" spans="1:5" x14ac:dyDescent="0.45">
      <c r="A141" t="s">
        <v>274</v>
      </c>
      <c r="B141">
        <v>13.65</v>
      </c>
      <c r="C141">
        <v>0.64519950000000004</v>
      </c>
      <c r="D141">
        <f t="shared" si="5"/>
        <v>-3.7100033176197811E-2</v>
      </c>
      <c r="E141">
        <f t="shared" si="4"/>
        <v>13.65</v>
      </c>
    </row>
    <row r="142" spans="1:5" x14ac:dyDescent="0.45">
      <c r="A142" t="s">
        <v>275</v>
      </c>
      <c r="B142">
        <v>12.79</v>
      </c>
      <c r="C142">
        <v>0.63071219999999995</v>
      </c>
      <c r="D142">
        <f t="shared" si="5"/>
        <v>-2.2453985162728896E-2</v>
      </c>
      <c r="E142">
        <f t="shared" si="4"/>
        <v>12.79</v>
      </c>
    </row>
    <row r="143" spans="1:5" x14ac:dyDescent="0.45">
      <c r="A143" t="s">
        <v>276</v>
      </c>
      <c r="B143">
        <v>13.41</v>
      </c>
      <c r="C143">
        <v>0.70994809999999997</v>
      </c>
      <c r="D143">
        <f t="shared" si="5"/>
        <v>0.12562924896648586</v>
      </c>
      <c r="E143">
        <f t="shared" si="4"/>
        <v>13.41</v>
      </c>
    </row>
    <row r="144" spans="1:5" x14ac:dyDescent="0.45">
      <c r="A144" t="s">
        <v>277</v>
      </c>
      <c r="B144">
        <v>12.25</v>
      </c>
      <c r="C144">
        <v>0.55349590000000004</v>
      </c>
      <c r="D144">
        <f t="shared" si="5"/>
        <v>-0.2203713201007228</v>
      </c>
      <c r="E144">
        <f t="shared" si="4"/>
        <v>12.25</v>
      </c>
    </row>
    <row r="145" spans="1:5" x14ac:dyDescent="0.45">
      <c r="A145" t="s">
        <v>278</v>
      </c>
      <c r="B145">
        <v>12.78</v>
      </c>
      <c r="C145">
        <v>0.6598157</v>
      </c>
      <c r="D145">
        <f t="shared" si="5"/>
        <v>0.19208778240272406</v>
      </c>
      <c r="E145">
        <f t="shared" si="4"/>
        <v>12.78</v>
      </c>
    </row>
    <row r="146" spans="1:5" x14ac:dyDescent="0.45">
      <c r="A146" t="s">
        <v>279</v>
      </c>
      <c r="B146">
        <v>12.04</v>
      </c>
      <c r="C146">
        <v>0.57930309999999996</v>
      </c>
      <c r="D146">
        <f t="shared" si="5"/>
        <v>-0.12202286183854072</v>
      </c>
      <c r="E146">
        <f t="shared" si="4"/>
        <v>12.04</v>
      </c>
    </row>
    <row r="147" spans="1:5" x14ac:dyDescent="0.45">
      <c r="A147" t="s">
        <v>280</v>
      </c>
      <c r="B147">
        <v>14.53</v>
      </c>
      <c r="C147">
        <v>0.79584060000000001</v>
      </c>
      <c r="D147">
        <f t="shared" si="5"/>
        <v>0.37378964483359423</v>
      </c>
      <c r="E147">
        <f t="shared" ref="E147:E210" si="6">B147</f>
        <v>14.53</v>
      </c>
    </row>
    <row r="148" spans="1:5" x14ac:dyDescent="0.45">
      <c r="A148" t="s">
        <v>281</v>
      </c>
      <c r="B148">
        <v>13.61</v>
      </c>
      <c r="C148">
        <v>0.61152830000000002</v>
      </c>
      <c r="D148">
        <f t="shared" si="5"/>
        <v>-0.23159449266599363</v>
      </c>
      <c r="E148">
        <f t="shared" si="6"/>
        <v>13.61</v>
      </c>
    </row>
    <row r="149" spans="1:5" x14ac:dyDescent="0.45">
      <c r="A149" t="s">
        <v>282</v>
      </c>
      <c r="B149">
        <v>11.03</v>
      </c>
      <c r="C149">
        <v>0.45825050000000001</v>
      </c>
      <c r="D149">
        <f t="shared" si="5"/>
        <v>-0.2506471082368551</v>
      </c>
      <c r="E149">
        <f t="shared" si="6"/>
        <v>11.03</v>
      </c>
    </row>
    <row r="150" spans="1:5" x14ac:dyDescent="0.45">
      <c r="A150" t="s">
        <v>283</v>
      </c>
      <c r="B150">
        <v>12.56</v>
      </c>
      <c r="C150">
        <v>0.74109409999999998</v>
      </c>
      <c r="D150">
        <f t="shared" si="5"/>
        <v>0.6172248584562372</v>
      </c>
      <c r="E150">
        <f t="shared" si="6"/>
        <v>12.56</v>
      </c>
    </row>
    <row r="151" spans="1:5" x14ac:dyDescent="0.45">
      <c r="A151" t="s">
        <v>284</v>
      </c>
      <c r="B151">
        <v>13.73</v>
      </c>
      <c r="C151">
        <v>0.64952670000000001</v>
      </c>
      <c r="D151">
        <f t="shared" si="5"/>
        <v>-0.12355704896314779</v>
      </c>
      <c r="E151">
        <f t="shared" si="6"/>
        <v>13.73</v>
      </c>
    </row>
    <row r="152" spans="1:5" x14ac:dyDescent="0.45">
      <c r="A152" t="s">
        <v>285</v>
      </c>
      <c r="B152">
        <v>21.59</v>
      </c>
      <c r="C152">
        <v>1.213333</v>
      </c>
      <c r="D152">
        <f t="shared" si="5"/>
        <v>0.86802636442812897</v>
      </c>
      <c r="E152">
        <f t="shared" si="6"/>
        <v>21.59</v>
      </c>
    </row>
    <row r="153" spans="1:5" x14ac:dyDescent="0.45">
      <c r="A153" t="s">
        <v>286</v>
      </c>
      <c r="B153">
        <v>22.03</v>
      </c>
      <c r="C153">
        <v>1.2182789999999999</v>
      </c>
      <c r="D153">
        <f t="shared" si="5"/>
        <v>4.0763747462566613E-3</v>
      </c>
      <c r="E153">
        <f t="shared" si="6"/>
        <v>22.03</v>
      </c>
    </row>
    <row r="154" spans="1:5" x14ac:dyDescent="0.45">
      <c r="A154" t="s">
        <v>287</v>
      </c>
      <c r="B154">
        <v>26.12</v>
      </c>
      <c r="C154">
        <v>1.4921439999999999</v>
      </c>
      <c r="D154">
        <f t="shared" si="5"/>
        <v>0.22479661883690039</v>
      </c>
      <c r="E154">
        <f t="shared" si="6"/>
        <v>26.12</v>
      </c>
    </row>
    <row r="155" spans="1:5" x14ac:dyDescent="0.45">
      <c r="A155" t="s">
        <v>288</v>
      </c>
      <c r="B155">
        <v>20.67</v>
      </c>
      <c r="C155">
        <v>1.1150139999999999</v>
      </c>
      <c r="D155">
        <f t="shared" si="5"/>
        <v>-0.25274370302061999</v>
      </c>
      <c r="E155">
        <f t="shared" si="6"/>
        <v>20.67</v>
      </c>
    </row>
    <row r="156" spans="1:5" x14ac:dyDescent="0.45">
      <c r="A156" t="s">
        <v>289</v>
      </c>
      <c r="B156">
        <v>25.07</v>
      </c>
      <c r="C156">
        <v>2.204828</v>
      </c>
      <c r="D156">
        <f t="shared" si="5"/>
        <v>0.97739938691352757</v>
      </c>
      <c r="E156">
        <f t="shared" si="6"/>
        <v>25.07</v>
      </c>
    </row>
    <row r="157" spans="1:5" x14ac:dyDescent="0.45">
      <c r="A157" t="s">
        <v>290</v>
      </c>
      <c r="B157">
        <v>58.6</v>
      </c>
      <c r="C157">
        <v>4.1849379999999998</v>
      </c>
      <c r="D157">
        <f t="shared" si="5"/>
        <v>0.89807912453941974</v>
      </c>
      <c r="E157">
        <f t="shared" si="6"/>
        <v>58.6</v>
      </c>
    </row>
    <row r="158" spans="1:5" x14ac:dyDescent="0.45">
      <c r="A158" t="s">
        <v>291</v>
      </c>
      <c r="B158">
        <v>45</v>
      </c>
      <c r="C158">
        <v>2.5860150000000002</v>
      </c>
      <c r="D158">
        <f t="shared" si="5"/>
        <v>-0.38206611424111891</v>
      </c>
      <c r="E158">
        <f t="shared" si="6"/>
        <v>45</v>
      </c>
    </row>
    <row r="159" spans="1:5" x14ac:dyDescent="0.45">
      <c r="A159" t="s">
        <v>292</v>
      </c>
      <c r="B159">
        <v>33.020000000000003</v>
      </c>
      <c r="C159">
        <v>1.6325229999999999</v>
      </c>
      <c r="D159">
        <f t="shared" si="5"/>
        <v>-0.36871093168446434</v>
      </c>
      <c r="E159">
        <f t="shared" si="6"/>
        <v>33.020000000000003</v>
      </c>
    </row>
    <row r="160" spans="1:5" x14ac:dyDescent="0.45">
      <c r="A160" t="s">
        <v>293</v>
      </c>
      <c r="B160">
        <v>25.49</v>
      </c>
      <c r="C160">
        <v>1.0777140000000001</v>
      </c>
      <c r="D160">
        <f t="shared" si="5"/>
        <v>-0.33984758560828843</v>
      </c>
      <c r="E160">
        <f t="shared" si="6"/>
        <v>25.49</v>
      </c>
    </row>
    <row r="161" spans="1:5" x14ac:dyDescent="0.45">
      <c r="A161" t="s">
        <v>294</v>
      </c>
      <c r="B161">
        <v>23.07</v>
      </c>
      <c r="C161">
        <v>1.0215479999999999</v>
      </c>
      <c r="D161">
        <f t="shared" si="5"/>
        <v>-5.2115867475044597E-2</v>
      </c>
      <c r="E161">
        <f t="shared" si="6"/>
        <v>23.07</v>
      </c>
    </row>
    <row r="162" spans="1:5" x14ac:dyDescent="0.45">
      <c r="A162" t="s">
        <v>295</v>
      </c>
      <c r="B162">
        <v>20.149999999999999</v>
      </c>
      <c r="C162">
        <v>0.88721559999999999</v>
      </c>
      <c r="D162">
        <f t="shared" si="5"/>
        <v>-0.13149886251062104</v>
      </c>
      <c r="E162">
        <f t="shared" si="6"/>
        <v>20.149999999999999</v>
      </c>
    </row>
    <row r="163" spans="1:5" x14ac:dyDescent="0.45">
      <c r="A163" t="s">
        <v>296</v>
      </c>
      <c r="B163">
        <v>26.39</v>
      </c>
      <c r="C163">
        <v>1.544975</v>
      </c>
      <c r="D163">
        <f t="shared" si="5"/>
        <v>0.74137492622988144</v>
      </c>
      <c r="E163">
        <f t="shared" si="6"/>
        <v>26.39</v>
      </c>
    </row>
    <row r="164" spans="1:5" x14ac:dyDescent="0.45">
      <c r="A164" t="s">
        <v>297</v>
      </c>
      <c r="B164">
        <v>24.28</v>
      </c>
      <c r="C164">
        <v>1.124571</v>
      </c>
      <c r="D164">
        <f t="shared" si="5"/>
        <v>-0.27211055195067879</v>
      </c>
      <c r="E164">
        <f t="shared" si="6"/>
        <v>24.28</v>
      </c>
    </row>
    <row r="165" spans="1:5" x14ac:dyDescent="0.45">
      <c r="A165" t="s">
        <v>298</v>
      </c>
      <c r="B165">
        <v>19.32</v>
      </c>
      <c r="C165">
        <v>0.73396830000000002</v>
      </c>
      <c r="D165">
        <f t="shared" si="5"/>
        <v>-0.34733485035626921</v>
      </c>
      <c r="E165">
        <f t="shared" si="6"/>
        <v>19.32</v>
      </c>
    </row>
    <row r="166" spans="1:5" x14ac:dyDescent="0.45">
      <c r="A166" t="s">
        <v>299</v>
      </c>
      <c r="B166">
        <v>18.61</v>
      </c>
      <c r="C166">
        <v>0.81927079999999997</v>
      </c>
      <c r="D166">
        <f t="shared" si="5"/>
        <v>0.1162209594065573</v>
      </c>
      <c r="E166">
        <f t="shared" si="6"/>
        <v>18.61</v>
      </c>
    </row>
    <row r="167" spans="1:5" x14ac:dyDescent="0.45">
      <c r="A167" t="s">
        <v>300</v>
      </c>
      <c r="B167">
        <v>17.48</v>
      </c>
      <c r="C167">
        <v>0.7771614</v>
      </c>
      <c r="D167">
        <f t="shared" si="5"/>
        <v>-5.1398634004775956E-2</v>
      </c>
      <c r="E167">
        <f t="shared" si="6"/>
        <v>17.48</v>
      </c>
    </row>
    <row r="168" spans="1:5" x14ac:dyDescent="0.45">
      <c r="A168" t="s">
        <v>301</v>
      </c>
      <c r="B168">
        <v>30.58</v>
      </c>
      <c r="C168">
        <v>2.0632299999999999</v>
      </c>
      <c r="D168">
        <f t="shared" si="5"/>
        <v>1.6548281991359839</v>
      </c>
      <c r="E168">
        <f t="shared" si="6"/>
        <v>30.58</v>
      </c>
    </row>
    <row r="169" spans="1:5" x14ac:dyDescent="0.45">
      <c r="A169" t="s">
        <v>302</v>
      </c>
      <c r="B169">
        <v>29.94</v>
      </c>
      <c r="C169">
        <v>1.660393</v>
      </c>
      <c r="D169">
        <f t="shared" si="5"/>
        <v>-0.19524580390940416</v>
      </c>
      <c r="E169">
        <f t="shared" si="6"/>
        <v>29.94</v>
      </c>
    </row>
    <row r="170" spans="1:5" x14ac:dyDescent="0.45">
      <c r="A170" t="s">
        <v>303</v>
      </c>
      <c r="B170">
        <v>18.2</v>
      </c>
      <c r="C170">
        <v>0.58963810000000005</v>
      </c>
      <c r="D170">
        <f t="shared" si="5"/>
        <v>-0.6448803987971522</v>
      </c>
      <c r="E170">
        <f t="shared" si="6"/>
        <v>18.2</v>
      </c>
    </row>
    <row r="171" spans="1:5" x14ac:dyDescent="0.45">
      <c r="A171" t="s">
        <v>304</v>
      </c>
      <c r="B171">
        <v>20.04</v>
      </c>
      <c r="C171">
        <v>1.0113810000000001</v>
      </c>
      <c r="D171">
        <f t="shared" si="5"/>
        <v>0.71525720607267407</v>
      </c>
      <c r="E171">
        <f t="shared" si="6"/>
        <v>20.04</v>
      </c>
    </row>
    <row r="172" spans="1:5" x14ac:dyDescent="0.45">
      <c r="A172" t="s">
        <v>305</v>
      </c>
      <c r="B172">
        <v>16.190000000000001</v>
      </c>
      <c r="C172">
        <v>0.71521460000000003</v>
      </c>
      <c r="D172">
        <f t="shared" si="5"/>
        <v>-0.29283366011423984</v>
      </c>
      <c r="E172">
        <f t="shared" si="6"/>
        <v>16.190000000000001</v>
      </c>
    </row>
    <row r="173" spans="1:5" x14ac:dyDescent="0.45">
      <c r="A173" t="s">
        <v>306</v>
      </c>
      <c r="B173">
        <v>16.75</v>
      </c>
      <c r="C173">
        <v>0.77090139999999996</v>
      </c>
      <c r="D173">
        <f t="shared" si="5"/>
        <v>7.7860267393870197E-2</v>
      </c>
      <c r="E173">
        <f t="shared" si="6"/>
        <v>16.75</v>
      </c>
    </row>
    <row r="174" spans="1:5" x14ac:dyDescent="0.45">
      <c r="A174" t="s">
        <v>307</v>
      </c>
      <c r="B174">
        <v>13.53</v>
      </c>
      <c r="C174">
        <v>0.62835850000000004</v>
      </c>
      <c r="D174">
        <f t="shared" si="5"/>
        <v>-0.18490419137907899</v>
      </c>
      <c r="E174">
        <f t="shared" si="6"/>
        <v>13.53</v>
      </c>
    </row>
    <row r="175" spans="1:5" x14ac:dyDescent="0.45">
      <c r="A175" t="s">
        <v>308</v>
      </c>
      <c r="B175">
        <v>14.84</v>
      </c>
      <c r="C175">
        <v>0.87818189999999996</v>
      </c>
      <c r="D175">
        <f t="shared" si="5"/>
        <v>0.39758099874514286</v>
      </c>
      <c r="E175">
        <f t="shared" si="6"/>
        <v>14.84</v>
      </c>
    </row>
    <row r="176" spans="1:5" x14ac:dyDescent="0.45">
      <c r="A176" t="s">
        <v>309</v>
      </c>
      <c r="B176">
        <v>14.28</v>
      </c>
      <c r="C176">
        <v>0.56042320000000001</v>
      </c>
      <c r="D176">
        <f t="shared" si="5"/>
        <v>-0.36183699527398594</v>
      </c>
      <c r="E176">
        <f t="shared" si="6"/>
        <v>14.28</v>
      </c>
    </row>
    <row r="177" spans="1:5" x14ac:dyDescent="0.45">
      <c r="A177" t="s">
        <v>310</v>
      </c>
      <c r="B177">
        <v>14.23</v>
      </c>
      <c r="C177">
        <v>0.64315020000000001</v>
      </c>
      <c r="D177">
        <f t="shared" si="5"/>
        <v>0.14761523077559957</v>
      </c>
      <c r="E177">
        <f t="shared" si="6"/>
        <v>14.23</v>
      </c>
    </row>
    <row r="178" spans="1:5" x14ac:dyDescent="0.45">
      <c r="A178" t="s">
        <v>311</v>
      </c>
      <c r="B178">
        <v>14.83</v>
      </c>
      <c r="C178">
        <v>0.73709550000000001</v>
      </c>
      <c r="D178">
        <f t="shared" si="5"/>
        <v>0.14607054464104974</v>
      </c>
      <c r="E178">
        <f t="shared" si="6"/>
        <v>14.83</v>
      </c>
    </row>
    <row r="179" spans="1:5" x14ac:dyDescent="0.45">
      <c r="A179" t="s">
        <v>312</v>
      </c>
      <c r="B179">
        <v>12.74</v>
      </c>
      <c r="C179">
        <v>0.58174669999999995</v>
      </c>
      <c r="D179">
        <f t="shared" si="5"/>
        <v>-0.21075803610251331</v>
      </c>
      <c r="E179">
        <f t="shared" si="6"/>
        <v>12.74</v>
      </c>
    </row>
    <row r="180" spans="1:5" x14ac:dyDescent="0.45">
      <c r="A180" t="s">
        <v>313</v>
      </c>
      <c r="B180">
        <v>13.07</v>
      </c>
      <c r="C180">
        <v>0.58382710000000004</v>
      </c>
      <c r="D180">
        <f t="shared" si="5"/>
        <v>3.5761268607112928E-3</v>
      </c>
      <c r="E180">
        <f t="shared" si="6"/>
        <v>13.07</v>
      </c>
    </row>
    <row r="181" spans="1:5" x14ac:dyDescent="0.45">
      <c r="A181" t="s">
        <v>314</v>
      </c>
      <c r="B181">
        <v>16.07</v>
      </c>
      <c r="C181">
        <v>0.88192990000000004</v>
      </c>
      <c r="D181">
        <f t="shared" si="5"/>
        <v>0.51060116942156331</v>
      </c>
      <c r="E181">
        <f t="shared" si="6"/>
        <v>16.07</v>
      </c>
    </row>
    <row r="182" spans="1:5" x14ac:dyDescent="0.45">
      <c r="A182" t="s">
        <v>315</v>
      </c>
      <c r="B182">
        <v>16.559999999999999</v>
      </c>
      <c r="C182">
        <v>0.86921190000000004</v>
      </c>
      <c r="D182">
        <f t="shared" si="5"/>
        <v>-1.4420647264595576E-2</v>
      </c>
      <c r="E182">
        <f t="shared" si="6"/>
        <v>16.559999999999999</v>
      </c>
    </row>
    <row r="183" spans="1:5" x14ac:dyDescent="0.45">
      <c r="A183" t="s">
        <v>316</v>
      </c>
      <c r="B183">
        <v>13.74</v>
      </c>
      <c r="C183">
        <v>0.62668250000000003</v>
      </c>
      <c r="D183">
        <f t="shared" si="5"/>
        <v>-0.27902218089743136</v>
      </c>
      <c r="E183">
        <f t="shared" si="6"/>
        <v>13.74</v>
      </c>
    </row>
    <row r="184" spans="1:5" x14ac:dyDescent="0.45">
      <c r="A184" t="s">
        <v>317</v>
      </c>
      <c r="B184">
        <v>19.309999999999999</v>
      </c>
      <c r="C184">
        <v>1.3005070000000001</v>
      </c>
      <c r="D184">
        <f t="shared" si="5"/>
        <v>1.0752246951207352</v>
      </c>
      <c r="E184">
        <f t="shared" si="6"/>
        <v>19.309999999999999</v>
      </c>
    </row>
    <row r="185" spans="1:5" x14ac:dyDescent="0.45">
      <c r="A185" t="s">
        <v>318</v>
      </c>
      <c r="B185">
        <v>17.03</v>
      </c>
      <c r="C185">
        <v>0.92082770000000003</v>
      </c>
      <c r="D185">
        <f t="shared" si="5"/>
        <v>-0.29194714061516014</v>
      </c>
      <c r="E185">
        <f t="shared" si="6"/>
        <v>17.03</v>
      </c>
    </row>
    <row r="186" spans="1:5" x14ac:dyDescent="0.45">
      <c r="A186" t="s">
        <v>319</v>
      </c>
      <c r="B186">
        <v>20.49</v>
      </c>
      <c r="C186">
        <v>1.130188</v>
      </c>
      <c r="D186">
        <f t="shared" si="5"/>
        <v>0.22736099272426302</v>
      </c>
      <c r="E186">
        <f t="shared" si="6"/>
        <v>20.49</v>
      </c>
    </row>
    <row r="187" spans="1:5" x14ac:dyDescent="0.45">
      <c r="A187" t="s">
        <v>320</v>
      </c>
      <c r="B187">
        <v>15.68</v>
      </c>
      <c r="C187">
        <v>0.85429509999999997</v>
      </c>
      <c r="D187">
        <f t="shared" si="5"/>
        <v>-0.2441123954598704</v>
      </c>
      <c r="E187">
        <f t="shared" si="6"/>
        <v>15.68</v>
      </c>
    </row>
    <row r="188" spans="1:5" x14ac:dyDescent="0.45">
      <c r="A188" t="s">
        <v>321</v>
      </c>
      <c r="B188">
        <v>13.23</v>
      </c>
      <c r="C188">
        <v>0.60924639999999997</v>
      </c>
      <c r="D188">
        <f t="shared" si="5"/>
        <v>-0.28684315291051066</v>
      </c>
      <c r="E188">
        <f t="shared" si="6"/>
        <v>13.23</v>
      </c>
    </row>
    <row r="189" spans="1:5" x14ac:dyDescent="0.45">
      <c r="A189" t="s">
        <v>322</v>
      </c>
      <c r="B189">
        <v>14.1</v>
      </c>
      <c r="C189">
        <v>0.53293939999999995</v>
      </c>
      <c r="D189">
        <f t="shared" si="5"/>
        <v>-0.1252481754508521</v>
      </c>
      <c r="E189">
        <f t="shared" si="6"/>
        <v>14.1</v>
      </c>
    </row>
    <row r="190" spans="1:5" x14ac:dyDescent="0.45">
      <c r="A190" t="s">
        <v>323</v>
      </c>
      <c r="B190">
        <v>11.69</v>
      </c>
      <c r="C190">
        <v>0.41254079999999999</v>
      </c>
      <c r="D190">
        <f t="shared" si="5"/>
        <v>-0.22591424090618928</v>
      </c>
      <c r="E190">
        <f t="shared" si="6"/>
        <v>11.69</v>
      </c>
    </row>
    <row r="191" spans="1:5" x14ac:dyDescent="0.45">
      <c r="A191" t="s">
        <v>324</v>
      </c>
      <c r="B191">
        <v>11.43</v>
      </c>
      <c r="C191">
        <v>0.45599790000000001</v>
      </c>
      <c r="D191">
        <f t="shared" si="5"/>
        <v>0.10534012635841106</v>
      </c>
      <c r="E191">
        <f t="shared" si="6"/>
        <v>11.43</v>
      </c>
    </row>
    <row r="192" spans="1:5" x14ac:dyDescent="0.45">
      <c r="A192" t="s">
        <v>325</v>
      </c>
      <c r="B192">
        <v>10.94</v>
      </c>
      <c r="C192">
        <v>0.44114639999999999</v>
      </c>
      <c r="D192">
        <f t="shared" si="5"/>
        <v>-3.256922893723857E-2</v>
      </c>
      <c r="E192">
        <f t="shared" si="6"/>
        <v>10.94</v>
      </c>
    </row>
    <row r="193" spans="1:5" x14ac:dyDescent="0.45">
      <c r="A193" t="s">
        <v>326</v>
      </c>
      <c r="B193">
        <v>10.31</v>
      </c>
      <c r="C193">
        <v>0.34517379999999998</v>
      </c>
      <c r="D193">
        <f t="shared" si="5"/>
        <v>-0.21755272172684625</v>
      </c>
      <c r="E193">
        <f t="shared" si="6"/>
        <v>10.31</v>
      </c>
    </row>
    <row r="194" spans="1:5" x14ac:dyDescent="0.45">
      <c r="A194" t="s">
        <v>327</v>
      </c>
      <c r="B194">
        <v>17.350000000000001</v>
      </c>
      <c r="C194">
        <v>1.210745</v>
      </c>
      <c r="D194">
        <f t="shared" si="5"/>
        <v>2.507638760531651</v>
      </c>
      <c r="E194">
        <f t="shared" si="6"/>
        <v>17.350000000000001</v>
      </c>
    </row>
    <row r="195" spans="1:5" x14ac:dyDescent="0.45">
      <c r="A195" t="s">
        <v>328</v>
      </c>
      <c r="B195">
        <v>15.34</v>
      </c>
      <c r="C195">
        <v>0.77998129999999999</v>
      </c>
      <c r="D195">
        <f t="shared" si="5"/>
        <v>-0.35578400075986272</v>
      </c>
      <c r="E195">
        <f t="shared" si="6"/>
        <v>15.34</v>
      </c>
    </row>
    <row r="196" spans="1:5" x14ac:dyDescent="0.45">
      <c r="A196" t="s">
        <v>329</v>
      </c>
      <c r="B196">
        <v>12.86</v>
      </c>
      <c r="C196">
        <v>0.44722030000000002</v>
      </c>
      <c r="D196">
        <f t="shared" si="5"/>
        <v>-0.4266268947729901</v>
      </c>
      <c r="E196">
        <f t="shared" si="6"/>
        <v>12.86</v>
      </c>
    </row>
    <row r="197" spans="1:5" x14ac:dyDescent="0.45">
      <c r="A197" t="s">
        <v>330</v>
      </c>
      <c r="B197">
        <v>21.05</v>
      </c>
      <c r="C197">
        <v>1.462183</v>
      </c>
      <c r="D197">
        <f t="shared" ref="D197:D222" si="7">C197/C196-1</f>
        <v>2.2694915682494732</v>
      </c>
      <c r="E197">
        <f t="shared" si="6"/>
        <v>21.05</v>
      </c>
    </row>
    <row r="198" spans="1:5" x14ac:dyDescent="0.45">
      <c r="A198" t="s">
        <v>331</v>
      </c>
      <c r="B198">
        <v>16.47</v>
      </c>
      <c r="C198">
        <v>0.83630559999999998</v>
      </c>
      <c r="D198">
        <f t="shared" si="7"/>
        <v>-0.42804313823919438</v>
      </c>
      <c r="E198">
        <f t="shared" si="6"/>
        <v>16.47</v>
      </c>
    </row>
    <row r="199" spans="1:5" x14ac:dyDescent="0.45">
      <c r="A199" t="s">
        <v>332</v>
      </c>
      <c r="B199">
        <v>15.18</v>
      </c>
      <c r="C199">
        <v>0.7123583</v>
      </c>
      <c r="D199">
        <f t="shared" si="7"/>
        <v>-0.14820814305201346</v>
      </c>
      <c r="E199">
        <f t="shared" si="6"/>
        <v>15.18</v>
      </c>
    </row>
    <row r="200" spans="1:5" x14ac:dyDescent="0.45">
      <c r="A200" t="s">
        <v>333</v>
      </c>
      <c r="B200">
        <v>15.96</v>
      </c>
      <c r="C200">
        <v>0.91997050000000002</v>
      </c>
      <c r="D200">
        <f t="shared" si="7"/>
        <v>0.29144350532590124</v>
      </c>
      <c r="E200">
        <f t="shared" si="6"/>
        <v>15.96</v>
      </c>
    </row>
    <row r="201" spans="1:5" x14ac:dyDescent="0.45">
      <c r="A201" t="s">
        <v>334</v>
      </c>
      <c r="B201">
        <v>13.99</v>
      </c>
      <c r="C201">
        <v>0.58369210000000005</v>
      </c>
      <c r="D201">
        <f t="shared" si="7"/>
        <v>-0.36553172085409258</v>
      </c>
      <c r="E201">
        <f t="shared" si="6"/>
        <v>13.99</v>
      </c>
    </row>
    <row r="202" spans="1:5" x14ac:dyDescent="0.45">
      <c r="A202" t="s">
        <v>335</v>
      </c>
      <c r="B202">
        <v>31.22</v>
      </c>
      <c r="C202">
        <v>3.5029699999999999</v>
      </c>
      <c r="D202">
        <f t="shared" si="7"/>
        <v>5.0014003958593918</v>
      </c>
      <c r="E202">
        <f t="shared" si="6"/>
        <v>31.22</v>
      </c>
    </row>
    <row r="203" spans="1:5" x14ac:dyDescent="0.45">
      <c r="A203" t="s">
        <v>336</v>
      </c>
      <c r="B203">
        <v>34.49</v>
      </c>
      <c r="C203">
        <v>1.976623</v>
      </c>
      <c r="D203">
        <f t="shared" si="7"/>
        <v>-0.43572939534166721</v>
      </c>
      <c r="E203">
        <f t="shared" si="6"/>
        <v>34.49</v>
      </c>
    </row>
    <row r="204" spans="1:5" x14ac:dyDescent="0.45">
      <c r="A204" t="s">
        <v>337</v>
      </c>
      <c r="B204">
        <v>25.81</v>
      </c>
      <c r="C204">
        <v>1.0487610000000001</v>
      </c>
      <c r="D204">
        <f t="shared" si="7"/>
        <v>-0.46941778983650395</v>
      </c>
      <c r="E204">
        <f t="shared" si="6"/>
        <v>25.81</v>
      </c>
    </row>
    <row r="205" spans="1:5" x14ac:dyDescent="0.45">
      <c r="A205" t="s">
        <v>338</v>
      </c>
      <c r="B205">
        <v>25.62</v>
      </c>
      <c r="C205">
        <v>1.010297</v>
      </c>
      <c r="D205">
        <f t="shared" si="7"/>
        <v>-3.6675658229091357E-2</v>
      </c>
      <c r="E205">
        <f t="shared" si="6"/>
        <v>25.62</v>
      </c>
    </row>
    <row r="206" spans="1:5" x14ac:dyDescent="0.45">
      <c r="A206" t="s">
        <v>339</v>
      </c>
      <c r="B206">
        <v>23.2</v>
      </c>
      <c r="C206">
        <v>0.97568719999999998</v>
      </c>
      <c r="D206">
        <f t="shared" si="7"/>
        <v>-3.4257055103598222E-2</v>
      </c>
      <c r="E206">
        <f t="shared" si="6"/>
        <v>23.2</v>
      </c>
    </row>
    <row r="207" spans="1:5" x14ac:dyDescent="0.45">
      <c r="A207" t="s">
        <v>340</v>
      </c>
      <c r="B207">
        <v>18</v>
      </c>
      <c r="C207">
        <v>0.69196120000000005</v>
      </c>
      <c r="D207">
        <f t="shared" si="7"/>
        <v>-0.29079606660823254</v>
      </c>
      <c r="E207">
        <f t="shared" si="6"/>
        <v>18</v>
      </c>
    </row>
    <row r="208" spans="1:5" x14ac:dyDescent="0.45">
      <c r="A208" t="s">
        <v>341</v>
      </c>
      <c r="B208">
        <v>18.29</v>
      </c>
      <c r="C208">
        <v>0.69274210000000003</v>
      </c>
      <c r="D208">
        <f t="shared" si="7"/>
        <v>1.1285314841351646E-3</v>
      </c>
      <c r="E208">
        <f t="shared" si="6"/>
        <v>18.29</v>
      </c>
    </row>
    <row r="209" spans="1:5" x14ac:dyDescent="0.45">
      <c r="A209" t="s">
        <v>342</v>
      </c>
      <c r="B209">
        <v>19.28</v>
      </c>
      <c r="C209">
        <v>0.86231840000000004</v>
      </c>
      <c r="D209">
        <f t="shared" si="7"/>
        <v>0.24478994419423916</v>
      </c>
      <c r="E209">
        <f t="shared" si="6"/>
        <v>19.28</v>
      </c>
    </row>
    <row r="210" spans="1:5" x14ac:dyDescent="0.45">
      <c r="A210" t="s">
        <v>343</v>
      </c>
      <c r="B210">
        <v>25.37</v>
      </c>
      <c r="C210">
        <v>1.331629</v>
      </c>
      <c r="D210">
        <f t="shared" si="7"/>
        <v>0.54424282260473622</v>
      </c>
      <c r="E210">
        <f t="shared" si="6"/>
        <v>25.37</v>
      </c>
    </row>
    <row r="211" spans="1:5" x14ac:dyDescent="0.45">
      <c r="A211" t="s">
        <v>344</v>
      </c>
      <c r="B211">
        <v>27.4</v>
      </c>
      <c r="C211">
        <v>1.743169</v>
      </c>
      <c r="D211">
        <f t="shared" si="7"/>
        <v>0.30905004321774321</v>
      </c>
      <c r="E211">
        <f t="shared" ref="E211:E224" si="8">B211</f>
        <v>27.4</v>
      </c>
    </row>
    <row r="212" spans="1:5" x14ac:dyDescent="0.45">
      <c r="A212" t="s">
        <v>345</v>
      </c>
      <c r="B212">
        <v>24.79</v>
      </c>
      <c r="C212">
        <v>1.3263469999999999</v>
      </c>
      <c r="D212">
        <f t="shared" si="7"/>
        <v>-0.23911737760366325</v>
      </c>
      <c r="E212">
        <f t="shared" si="8"/>
        <v>24.79</v>
      </c>
    </row>
    <row r="213" spans="1:5" x14ac:dyDescent="0.45">
      <c r="A213" t="s">
        <v>346</v>
      </c>
      <c r="B213">
        <v>25</v>
      </c>
      <c r="C213">
        <v>1.5541769999999999</v>
      </c>
      <c r="D213">
        <f t="shared" si="7"/>
        <v>0.17177254519367846</v>
      </c>
      <c r="E213">
        <f t="shared" si="8"/>
        <v>25</v>
      </c>
    </row>
    <row r="214" spans="1:5" x14ac:dyDescent="0.45">
      <c r="A214" t="s">
        <v>347</v>
      </c>
      <c r="B214">
        <v>20.68</v>
      </c>
      <c r="C214">
        <v>1.0336479999999999</v>
      </c>
      <c r="D214">
        <f t="shared" si="7"/>
        <v>-0.33492259890604481</v>
      </c>
      <c r="E214">
        <f t="shared" si="8"/>
        <v>20.68</v>
      </c>
    </row>
    <row r="215" spans="1:5" x14ac:dyDescent="0.45">
      <c r="A215" t="s">
        <v>348</v>
      </c>
      <c r="B215">
        <v>16.440000000000001</v>
      </c>
      <c r="C215">
        <v>0.72994119999999996</v>
      </c>
      <c r="D215">
        <f t="shared" si="7"/>
        <v>-0.29382033342104852</v>
      </c>
      <c r="E215">
        <f t="shared" si="8"/>
        <v>16.440000000000001</v>
      </c>
    </row>
    <row r="216" spans="1:5" x14ac:dyDescent="0.45">
      <c r="A216" t="s">
        <v>349</v>
      </c>
      <c r="B216">
        <v>15.01</v>
      </c>
      <c r="C216">
        <v>0.67048719999999995</v>
      </c>
      <c r="D216">
        <f t="shared" si="7"/>
        <v>-8.1450396278494819E-2</v>
      </c>
      <c r="E216">
        <f t="shared" si="8"/>
        <v>15.01</v>
      </c>
    </row>
    <row r="217" spans="1:5" x14ac:dyDescent="0.45">
      <c r="A217" t="s">
        <v>350</v>
      </c>
      <c r="B217">
        <v>15.29</v>
      </c>
      <c r="C217">
        <v>0.75371250000000001</v>
      </c>
      <c r="D217">
        <f t="shared" si="7"/>
        <v>0.1241266052506298</v>
      </c>
      <c r="E217">
        <f t="shared" si="8"/>
        <v>15.29</v>
      </c>
    </row>
    <row r="218" spans="1:5" x14ac:dyDescent="0.45">
      <c r="A218" t="s">
        <v>351</v>
      </c>
      <c r="B218">
        <v>13.71</v>
      </c>
      <c r="C218">
        <v>0.66939029999999999</v>
      </c>
      <c r="D218">
        <f t="shared" si="7"/>
        <v>-0.11187581471715013</v>
      </c>
      <c r="E218">
        <f t="shared" si="8"/>
        <v>13.71</v>
      </c>
    </row>
    <row r="219" spans="1:5" x14ac:dyDescent="0.45">
      <c r="A219" t="s">
        <v>352</v>
      </c>
      <c r="B219">
        <v>13.98</v>
      </c>
      <c r="C219">
        <v>0.65165989999999996</v>
      </c>
      <c r="D219">
        <f t="shared" si="7"/>
        <v>-2.6487387104354609E-2</v>
      </c>
      <c r="E219">
        <f t="shared" si="8"/>
        <v>13.98</v>
      </c>
    </row>
    <row r="220" spans="1:5" x14ac:dyDescent="0.45">
      <c r="A220" t="s">
        <v>353</v>
      </c>
      <c r="B220">
        <v>17.07</v>
      </c>
      <c r="C220">
        <v>0.98828170000000004</v>
      </c>
      <c r="D220">
        <f t="shared" si="7"/>
        <v>0.51656055559042402</v>
      </c>
      <c r="E220">
        <f t="shared" si="8"/>
        <v>17.07</v>
      </c>
    </row>
    <row r="221" spans="1:5" x14ac:dyDescent="0.45">
      <c r="A221" t="s">
        <v>354</v>
      </c>
      <c r="B221">
        <v>17.36</v>
      </c>
      <c r="C221">
        <v>0.65860929999999995</v>
      </c>
      <c r="D221">
        <f t="shared" si="7"/>
        <v>-0.33358140700166772</v>
      </c>
      <c r="E221">
        <f t="shared" si="8"/>
        <v>17.36</v>
      </c>
    </row>
    <row r="222" spans="1:5" x14ac:dyDescent="0.45">
      <c r="A222" t="s">
        <v>355</v>
      </c>
      <c r="B222">
        <v>18.52</v>
      </c>
      <c r="C222" s="2">
        <v>123456789</v>
      </c>
      <c r="D222">
        <f t="shared" si="7"/>
        <v>187450721.3022815</v>
      </c>
      <c r="E222">
        <f t="shared" si="8"/>
        <v>18.52</v>
      </c>
    </row>
    <row r="223" spans="1:5" x14ac:dyDescent="0.45">
      <c r="A223" t="s">
        <v>356</v>
      </c>
      <c r="B223">
        <v>23.56</v>
      </c>
      <c r="C223" s="6"/>
      <c r="E223">
        <f t="shared" si="8"/>
        <v>23.56</v>
      </c>
    </row>
    <row r="224" spans="1:5" x14ac:dyDescent="0.45">
      <c r="A224" t="s">
        <v>357</v>
      </c>
      <c r="B224">
        <v>15.98</v>
      </c>
      <c r="E224">
        <f t="shared" si="8"/>
        <v>15.98</v>
      </c>
    </row>
    <row r="225" spans="1:5" x14ac:dyDescent="0.45">
      <c r="A225" t="s">
        <v>438</v>
      </c>
      <c r="B225">
        <v>16.98</v>
      </c>
      <c r="E225">
        <f t="shared" ref="E225" si="9">B225</f>
        <v>16.98</v>
      </c>
    </row>
    <row r="226" spans="1:5" x14ac:dyDescent="0.45">
      <c r="A226" t="s">
        <v>441</v>
      </c>
      <c r="B226">
        <v>17.98</v>
      </c>
      <c r="E226">
        <f t="shared" ref="E226" si="10">B226</f>
        <v>17.98</v>
      </c>
    </row>
  </sheetData>
  <phoneticPr fontId="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D7005-3F07-44D0-B6E1-81436D37B576}">
  <dimension ref="A1:AD226"/>
  <sheetViews>
    <sheetView workbookViewId="0">
      <pane xSplit="1" ySplit="1" topLeftCell="B208" activePane="bottomRight" state="frozen"/>
      <selection pane="topRight" activeCell="B1" sqref="B1"/>
      <selection pane="bottomLeft" activeCell="A2" sqref="A2"/>
      <selection pane="bottomRight" activeCell="G240" sqref="G240"/>
    </sheetView>
  </sheetViews>
  <sheetFormatPr defaultRowHeight="14.25" x14ac:dyDescent="0.45"/>
  <cols>
    <col min="2" max="2" width="9.19921875" style="13"/>
    <col min="4" max="4" width="9.19921875" style="13"/>
    <col min="7" max="8" width="9.19921875" style="13"/>
    <col min="10" max="10" width="9.19921875" style="13"/>
    <col min="14" max="18" width="9.19921875" style="13"/>
  </cols>
  <sheetData>
    <row r="1" spans="1:30" x14ac:dyDescent="0.45">
      <c r="B1" s="47" t="s">
        <v>360</v>
      </c>
      <c r="C1" t="s">
        <v>361</v>
      </c>
      <c r="D1" s="47" t="s">
        <v>362</v>
      </c>
      <c r="E1" t="s">
        <v>363</v>
      </c>
      <c r="F1" t="s">
        <v>364</v>
      </c>
      <c r="G1" s="47" t="s">
        <v>365</v>
      </c>
      <c r="H1" s="47" t="s">
        <v>366</v>
      </c>
      <c r="I1" t="s">
        <v>367</v>
      </c>
      <c r="J1" s="47" t="s">
        <v>368</v>
      </c>
      <c r="K1" t="s">
        <v>369</v>
      </c>
      <c r="L1" t="s">
        <v>370</v>
      </c>
      <c r="M1" t="s">
        <v>371</v>
      </c>
      <c r="N1" s="47" t="s">
        <v>372</v>
      </c>
      <c r="O1" s="47" t="s">
        <v>373</v>
      </c>
      <c r="P1" s="47" t="s">
        <v>374</v>
      </c>
      <c r="Q1" s="47" t="s">
        <v>6</v>
      </c>
      <c r="R1" s="47" t="s">
        <v>375</v>
      </c>
      <c r="S1" t="s">
        <v>376</v>
      </c>
      <c r="T1" t="s">
        <v>377</v>
      </c>
      <c r="U1" t="s">
        <v>134</v>
      </c>
      <c r="V1" t="s">
        <v>378</v>
      </c>
      <c r="W1" t="s">
        <v>379</v>
      </c>
      <c r="X1" t="s">
        <v>380</v>
      </c>
      <c r="Y1" t="s">
        <v>381</v>
      </c>
      <c r="Z1" t="s">
        <v>382</v>
      </c>
      <c r="AA1" t="s">
        <v>383</v>
      </c>
      <c r="AB1" t="s">
        <v>384</v>
      </c>
      <c r="AC1" t="s">
        <v>385</v>
      </c>
      <c r="AD1" t="s">
        <v>386</v>
      </c>
    </row>
    <row r="2" spans="1:30" x14ac:dyDescent="0.45">
      <c r="A2" t="s">
        <v>135</v>
      </c>
      <c r="B2">
        <v>63</v>
      </c>
      <c r="D2">
        <v>85.1</v>
      </c>
      <c r="G2">
        <v>94.3</v>
      </c>
      <c r="H2">
        <v>86.6</v>
      </c>
      <c r="J2">
        <v>78.099999999999994</v>
      </c>
      <c r="N2">
        <v>77.7</v>
      </c>
      <c r="O2">
        <v>119</v>
      </c>
      <c r="P2">
        <v>146.6</v>
      </c>
      <c r="Q2">
        <v>58</v>
      </c>
      <c r="R2">
        <v>89.2</v>
      </c>
    </row>
    <row r="3" spans="1:30" x14ac:dyDescent="0.45">
      <c r="A3" t="s">
        <v>136</v>
      </c>
      <c r="B3">
        <v>62.5</v>
      </c>
      <c r="D3">
        <v>84.9</v>
      </c>
      <c r="G3">
        <v>93.9</v>
      </c>
      <c r="H3">
        <v>86.4</v>
      </c>
      <c r="J3">
        <v>78.2</v>
      </c>
      <c r="N3">
        <v>78</v>
      </c>
      <c r="O3">
        <v>117</v>
      </c>
      <c r="P3">
        <v>146.5</v>
      </c>
      <c r="Q3">
        <v>59.4</v>
      </c>
      <c r="R3">
        <v>90.2</v>
      </c>
    </row>
    <row r="4" spans="1:30" x14ac:dyDescent="0.45">
      <c r="A4" t="s">
        <v>137</v>
      </c>
      <c r="B4">
        <v>62.4</v>
      </c>
      <c r="D4">
        <v>85.5</v>
      </c>
      <c r="G4">
        <v>93.6</v>
      </c>
      <c r="H4">
        <v>85.6</v>
      </c>
      <c r="J4">
        <v>78.099999999999994</v>
      </c>
      <c r="N4">
        <v>78.3</v>
      </c>
      <c r="O4">
        <v>113.7</v>
      </c>
      <c r="P4">
        <v>145.1</v>
      </c>
      <c r="Q4">
        <v>57.5</v>
      </c>
      <c r="R4">
        <v>90.6</v>
      </c>
    </row>
    <row r="5" spans="1:30" x14ac:dyDescent="0.45">
      <c r="A5" t="s">
        <v>138</v>
      </c>
      <c r="B5">
        <v>62.4</v>
      </c>
      <c r="D5">
        <v>86.2</v>
      </c>
      <c r="G5">
        <v>98.8</v>
      </c>
      <c r="H5">
        <v>86.5</v>
      </c>
      <c r="J5">
        <v>77.5</v>
      </c>
      <c r="N5">
        <v>80.8</v>
      </c>
      <c r="O5">
        <v>112.2</v>
      </c>
      <c r="P5">
        <v>146.5</v>
      </c>
      <c r="Q5">
        <v>58.6</v>
      </c>
      <c r="R5">
        <v>91.4</v>
      </c>
    </row>
    <row r="6" spans="1:30" x14ac:dyDescent="0.45">
      <c r="A6" t="s">
        <v>139</v>
      </c>
      <c r="B6">
        <v>62.3</v>
      </c>
      <c r="D6">
        <v>86.6</v>
      </c>
      <c r="G6">
        <v>98.4</v>
      </c>
      <c r="H6">
        <v>85.2</v>
      </c>
      <c r="J6">
        <v>78.099999999999994</v>
      </c>
      <c r="N6">
        <v>81</v>
      </c>
      <c r="O6">
        <v>110.8</v>
      </c>
      <c r="P6">
        <v>144.9</v>
      </c>
      <c r="Q6">
        <v>56.9</v>
      </c>
      <c r="R6">
        <v>90.9</v>
      </c>
    </row>
    <row r="7" spans="1:30" x14ac:dyDescent="0.45">
      <c r="A7" t="s">
        <v>140</v>
      </c>
      <c r="B7">
        <v>62.4</v>
      </c>
      <c r="D7">
        <v>87.8</v>
      </c>
      <c r="G7">
        <v>99.4</v>
      </c>
      <c r="H7">
        <v>85.6</v>
      </c>
      <c r="J7">
        <v>79.3</v>
      </c>
      <c r="N7">
        <v>81.7</v>
      </c>
      <c r="O7">
        <v>111.7</v>
      </c>
      <c r="P7">
        <v>144.30000000000001</v>
      </c>
      <c r="Q7">
        <v>55.2</v>
      </c>
      <c r="R7">
        <v>91.8</v>
      </c>
    </row>
    <row r="8" spans="1:30" x14ac:dyDescent="0.45">
      <c r="A8" t="s">
        <v>141</v>
      </c>
      <c r="B8">
        <v>62</v>
      </c>
      <c r="D8">
        <v>89</v>
      </c>
      <c r="G8">
        <v>99.6</v>
      </c>
      <c r="H8">
        <v>86.5</v>
      </c>
      <c r="J8">
        <v>80.599999999999994</v>
      </c>
      <c r="N8">
        <v>81.400000000000006</v>
      </c>
      <c r="O8">
        <v>110.8</v>
      </c>
      <c r="P8">
        <v>141.1</v>
      </c>
      <c r="Q8">
        <v>56.2</v>
      </c>
      <c r="R8">
        <v>92.1</v>
      </c>
    </row>
    <row r="9" spans="1:30" x14ac:dyDescent="0.45">
      <c r="A9" t="s">
        <v>142</v>
      </c>
      <c r="B9">
        <v>61.8</v>
      </c>
      <c r="D9">
        <v>89.9</v>
      </c>
      <c r="G9">
        <v>102.9</v>
      </c>
      <c r="H9">
        <v>88.4</v>
      </c>
      <c r="J9">
        <v>81.7</v>
      </c>
      <c r="N9">
        <v>83.1</v>
      </c>
      <c r="O9">
        <v>111.4</v>
      </c>
      <c r="P9">
        <v>141.19999999999999</v>
      </c>
      <c r="Q9">
        <v>57.1</v>
      </c>
      <c r="R9">
        <v>92.5</v>
      </c>
    </row>
    <row r="10" spans="1:30" x14ac:dyDescent="0.45">
      <c r="A10" t="s">
        <v>143</v>
      </c>
      <c r="B10">
        <v>62.2</v>
      </c>
      <c r="D10">
        <v>90.1</v>
      </c>
      <c r="G10">
        <v>103.2</v>
      </c>
      <c r="H10">
        <v>88.2</v>
      </c>
      <c r="J10">
        <v>82.7</v>
      </c>
      <c r="N10">
        <v>82.4</v>
      </c>
      <c r="O10">
        <v>112.5</v>
      </c>
      <c r="P10">
        <v>138.69999999999999</v>
      </c>
      <c r="Q10">
        <v>60.6</v>
      </c>
      <c r="R10">
        <v>92.5</v>
      </c>
    </row>
    <row r="11" spans="1:30" x14ac:dyDescent="0.45">
      <c r="A11" t="s">
        <v>144</v>
      </c>
      <c r="B11">
        <v>62.3</v>
      </c>
      <c r="D11">
        <v>91.1</v>
      </c>
      <c r="G11">
        <v>106</v>
      </c>
      <c r="H11">
        <v>89.7</v>
      </c>
      <c r="J11">
        <v>83.7</v>
      </c>
      <c r="N11">
        <v>83.7</v>
      </c>
      <c r="O11">
        <v>113.7</v>
      </c>
      <c r="P11">
        <v>138.80000000000001</v>
      </c>
      <c r="Q11">
        <v>61.3</v>
      </c>
      <c r="R11">
        <v>93.7</v>
      </c>
    </row>
    <row r="12" spans="1:30" x14ac:dyDescent="0.45">
      <c r="A12" t="s">
        <v>145</v>
      </c>
      <c r="B12">
        <v>62.8</v>
      </c>
      <c r="D12">
        <v>92.2</v>
      </c>
      <c r="G12">
        <v>106.4</v>
      </c>
      <c r="H12">
        <v>89.9</v>
      </c>
      <c r="J12">
        <v>84.8</v>
      </c>
      <c r="N12">
        <v>84.5</v>
      </c>
      <c r="O12">
        <v>113.7</v>
      </c>
      <c r="P12">
        <v>137.4</v>
      </c>
      <c r="Q12">
        <v>64.7</v>
      </c>
      <c r="R12">
        <v>93.9</v>
      </c>
    </row>
    <row r="13" spans="1:30" x14ac:dyDescent="0.45">
      <c r="A13" t="s">
        <v>146</v>
      </c>
      <c r="B13">
        <v>62.7</v>
      </c>
      <c r="D13">
        <v>93.3</v>
      </c>
      <c r="G13">
        <v>109.6</v>
      </c>
      <c r="H13">
        <v>92</v>
      </c>
      <c r="J13">
        <v>85.7</v>
      </c>
      <c r="N13">
        <v>86.8</v>
      </c>
      <c r="O13">
        <v>112.5</v>
      </c>
      <c r="P13">
        <v>138.4</v>
      </c>
      <c r="Q13">
        <v>65</v>
      </c>
      <c r="R13">
        <v>94.6</v>
      </c>
    </row>
    <row r="14" spans="1:30" x14ac:dyDescent="0.45">
      <c r="A14" t="s">
        <v>147</v>
      </c>
      <c r="B14">
        <v>64.7</v>
      </c>
      <c r="D14">
        <v>93.5</v>
      </c>
      <c r="G14">
        <v>108.1</v>
      </c>
      <c r="H14">
        <v>92.2</v>
      </c>
      <c r="J14">
        <v>86.7</v>
      </c>
      <c r="N14">
        <v>87.1</v>
      </c>
      <c r="O14">
        <v>112.9</v>
      </c>
      <c r="P14">
        <v>135.1</v>
      </c>
      <c r="Q14">
        <v>64.2</v>
      </c>
      <c r="R14">
        <v>94.8</v>
      </c>
    </row>
    <row r="15" spans="1:30" x14ac:dyDescent="0.45">
      <c r="A15" t="s">
        <v>148</v>
      </c>
      <c r="B15">
        <v>66.3</v>
      </c>
      <c r="D15">
        <v>94.8</v>
      </c>
      <c r="G15">
        <v>109.8</v>
      </c>
      <c r="H15">
        <v>92.6</v>
      </c>
      <c r="J15">
        <v>86.2</v>
      </c>
      <c r="N15">
        <v>88.7</v>
      </c>
      <c r="O15">
        <v>113.2</v>
      </c>
      <c r="P15">
        <v>133.6</v>
      </c>
      <c r="Q15">
        <v>66.3</v>
      </c>
      <c r="R15">
        <v>95.8</v>
      </c>
    </row>
    <row r="16" spans="1:30" x14ac:dyDescent="0.45">
      <c r="A16" t="s">
        <v>149</v>
      </c>
      <c r="B16">
        <v>67.099999999999994</v>
      </c>
      <c r="D16">
        <v>94.8</v>
      </c>
      <c r="G16">
        <v>109.5</v>
      </c>
      <c r="H16">
        <v>92.5</v>
      </c>
      <c r="J16">
        <v>84.6</v>
      </c>
      <c r="N16">
        <v>89.7</v>
      </c>
      <c r="O16">
        <v>113</v>
      </c>
      <c r="P16">
        <v>133.4</v>
      </c>
      <c r="Q16">
        <v>65.900000000000006</v>
      </c>
      <c r="R16">
        <v>96.2</v>
      </c>
    </row>
    <row r="17" spans="1:18" x14ac:dyDescent="0.45">
      <c r="A17" t="s">
        <v>150</v>
      </c>
      <c r="B17">
        <v>67.2</v>
      </c>
      <c r="D17">
        <v>95.4</v>
      </c>
      <c r="G17">
        <v>110.7</v>
      </c>
      <c r="H17">
        <v>93.2</v>
      </c>
      <c r="J17">
        <v>83</v>
      </c>
      <c r="N17">
        <v>91.2</v>
      </c>
      <c r="O17">
        <v>113</v>
      </c>
      <c r="P17">
        <v>134.80000000000001</v>
      </c>
      <c r="Q17">
        <v>63.9</v>
      </c>
      <c r="R17">
        <v>96.3</v>
      </c>
    </row>
    <row r="18" spans="1:18" x14ac:dyDescent="0.45">
      <c r="A18" t="s">
        <v>151</v>
      </c>
      <c r="B18">
        <v>68.5</v>
      </c>
      <c r="D18">
        <v>95.2</v>
      </c>
      <c r="G18">
        <v>108.2</v>
      </c>
      <c r="H18">
        <v>92.8</v>
      </c>
      <c r="J18">
        <v>81.7</v>
      </c>
      <c r="N18">
        <v>89.5</v>
      </c>
      <c r="O18">
        <v>114.1</v>
      </c>
      <c r="P18">
        <v>133.30000000000001</v>
      </c>
      <c r="Q18">
        <v>65</v>
      </c>
      <c r="R18">
        <v>96.3</v>
      </c>
    </row>
    <row r="19" spans="1:18" x14ac:dyDescent="0.45">
      <c r="A19" t="s">
        <v>152</v>
      </c>
      <c r="B19">
        <v>70</v>
      </c>
      <c r="D19">
        <v>96.3</v>
      </c>
      <c r="G19">
        <v>107.2</v>
      </c>
      <c r="H19">
        <v>93.3</v>
      </c>
      <c r="J19">
        <v>80.400000000000006</v>
      </c>
      <c r="N19">
        <v>89.6</v>
      </c>
      <c r="O19">
        <v>115.6</v>
      </c>
      <c r="P19">
        <v>131.9</v>
      </c>
      <c r="Q19">
        <v>64.8</v>
      </c>
      <c r="R19">
        <v>97.9</v>
      </c>
    </row>
    <row r="20" spans="1:18" x14ac:dyDescent="0.45">
      <c r="A20" t="s">
        <v>153</v>
      </c>
      <c r="B20">
        <v>71.2</v>
      </c>
      <c r="D20">
        <v>96.3</v>
      </c>
      <c r="G20">
        <v>106.2</v>
      </c>
      <c r="H20">
        <v>93.4</v>
      </c>
      <c r="J20">
        <v>79</v>
      </c>
      <c r="N20">
        <v>90.6</v>
      </c>
      <c r="O20">
        <v>113.7</v>
      </c>
      <c r="P20">
        <v>131.4</v>
      </c>
      <c r="Q20">
        <v>64.099999999999994</v>
      </c>
      <c r="R20">
        <v>98.4</v>
      </c>
    </row>
    <row r="21" spans="1:18" x14ac:dyDescent="0.45">
      <c r="A21" t="s">
        <v>154</v>
      </c>
      <c r="B21">
        <v>72.400000000000006</v>
      </c>
      <c r="D21">
        <v>96.7</v>
      </c>
      <c r="G21">
        <v>108.6</v>
      </c>
      <c r="H21">
        <v>94</v>
      </c>
      <c r="J21">
        <v>77.8</v>
      </c>
      <c r="N21">
        <v>92.9</v>
      </c>
      <c r="O21">
        <v>111.5</v>
      </c>
      <c r="P21">
        <v>113.7</v>
      </c>
      <c r="Q21">
        <v>61.3</v>
      </c>
      <c r="R21">
        <v>98.6</v>
      </c>
    </row>
    <row r="22" spans="1:18" x14ac:dyDescent="0.45">
      <c r="A22" t="s">
        <v>155</v>
      </c>
      <c r="B22">
        <v>72.400000000000006</v>
      </c>
      <c r="D22">
        <v>97.3</v>
      </c>
      <c r="G22">
        <v>107</v>
      </c>
      <c r="H22">
        <v>93.3</v>
      </c>
      <c r="J22">
        <v>77.599999999999994</v>
      </c>
      <c r="N22">
        <v>93.4</v>
      </c>
      <c r="O22">
        <v>109.9</v>
      </c>
      <c r="P22">
        <v>115.1</v>
      </c>
      <c r="Q22">
        <v>59.5</v>
      </c>
      <c r="R22">
        <v>97.2</v>
      </c>
    </row>
    <row r="23" spans="1:18" x14ac:dyDescent="0.45">
      <c r="A23" t="s">
        <v>156</v>
      </c>
      <c r="B23">
        <v>71.900000000000006</v>
      </c>
      <c r="D23">
        <v>98.6</v>
      </c>
      <c r="G23">
        <v>106.2</v>
      </c>
      <c r="H23">
        <v>93.9</v>
      </c>
      <c r="J23">
        <v>77.900000000000006</v>
      </c>
      <c r="N23">
        <v>94.5</v>
      </c>
      <c r="O23">
        <v>109</v>
      </c>
      <c r="P23">
        <v>118.2</v>
      </c>
      <c r="Q23">
        <v>59.3</v>
      </c>
      <c r="R23">
        <v>96.9</v>
      </c>
    </row>
    <row r="24" spans="1:18" x14ac:dyDescent="0.45">
      <c r="A24" t="s">
        <v>157</v>
      </c>
      <c r="B24">
        <v>71.8</v>
      </c>
      <c r="D24">
        <v>99.1</v>
      </c>
      <c r="G24">
        <v>105.8</v>
      </c>
      <c r="H24">
        <v>94.1</v>
      </c>
      <c r="J24">
        <v>78.5</v>
      </c>
      <c r="N24">
        <v>94.9</v>
      </c>
      <c r="O24">
        <v>106.1</v>
      </c>
      <c r="P24">
        <v>119.8</v>
      </c>
      <c r="Q24">
        <v>56.5</v>
      </c>
      <c r="R24">
        <v>96.2</v>
      </c>
    </row>
    <row r="25" spans="1:18" x14ac:dyDescent="0.45">
      <c r="A25" t="s">
        <v>158</v>
      </c>
      <c r="B25">
        <v>71.7</v>
      </c>
      <c r="D25">
        <v>99.6</v>
      </c>
      <c r="G25">
        <v>109.5</v>
      </c>
      <c r="H25">
        <v>96</v>
      </c>
      <c r="J25">
        <v>78.7</v>
      </c>
      <c r="N25">
        <v>96.7</v>
      </c>
      <c r="O25">
        <v>105.4</v>
      </c>
      <c r="P25">
        <v>125.7</v>
      </c>
      <c r="Q25">
        <v>57.9</v>
      </c>
      <c r="R25">
        <v>95.9</v>
      </c>
    </row>
    <row r="26" spans="1:18" x14ac:dyDescent="0.45">
      <c r="A26" t="s">
        <v>159</v>
      </c>
      <c r="B26">
        <v>71.599999999999994</v>
      </c>
      <c r="D26">
        <v>99.4</v>
      </c>
      <c r="G26">
        <v>108.1</v>
      </c>
      <c r="H26">
        <v>94.7</v>
      </c>
      <c r="J26">
        <v>78.2</v>
      </c>
      <c r="N26">
        <v>96</v>
      </c>
      <c r="O26">
        <v>104.8</v>
      </c>
      <c r="P26">
        <v>125.9</v>
      </c>
      <c r="Q26">
        <v>57.7</v>
      </c>
      <c r="R26">
        <v>94.2</v>
      </c>
    </row>
    <row r="27" spans="1:18" x14ac:dyDescent="0.45">
      <c r="A27" t="s">
        <v>160</v>
      </c>
      <c r="B27">
        <v>71.400000000000006</v>
      </c>
      <c r="D27">
        <v>99.3</v>
      </c>
      <c r="G27">
        <v>107.2</v>
      </c>
      <c r="H27">
        <v>95</v>
      </c>
      <c r="J27">
        <v>74.3</v>
      </c>
      <c r="N27">
        <v>97.5</v>
      </c>
      <c r="O27">
        <v>107</v>
      </c>
      <c r="P27">
        <v>128.1</v>
      </c>
      <c r="Q27">
        <v>57.2</v>
      </c>
      <c r="R27">
        <v>94.2</v>
      </c>
    </row>
    <row r="28" spans="1:18" x14ac:dyDescent="0.45">
      <c r="A28" t="s">
        <v>161</v>
      </c>
      <c r="B28">
        <v>71.099999999999994</v>
      </c>
      <c r="D28">
        <v>99.7</v>
      </c>
      <c r="G28">
        <v>106.4</v>
      </c>
      <c r="H28">
        <v>94.9</v>
      </c>
      <c r="J28">
        <v>72.8</v>
      </c>
      <c r="N28">
        <v>97.5</v>
      </c>
      <c r="O28">
        <v>106.9</v>
      </c>
      <c r="P28">
        <v>128.30000000000001</v>
      </c>
      <c r="Q28">
        <v>57.4</v>
      </c>
      <c r="R28">
        <v>94.1</v>
      </c>
    </row>
    <row r="29" spans="1:18" x14ac:dyDescent="0.45">
      <c r="A29" t="s">
        <v>162</v>
      </c>
      <c r="B29">
        <v>71</v>
      </c>
      <c r="D29">
        <v>100.5</v>
      </c>
      <c r="G29">
        <v>107.6</v>
      </c>
      <c r="H29">
        <v>96</v>
      </c>
      <c r="J29">
        <v>71.7</v>
      </c>
      <c r="N29">
        <v>98.5</v>
      </c>
      <c r="O29">
        <v>103.6</v>
      </c>
      <c r="P29">
        <v>133.19999999999999</v>
      </c>
      <c r="Q29">
        <v>58.3</v>
      </c>
      <c r="R29">
        <v>94.7</v>
      </c>
    </row>
    <row r="30" spans="1:18" x14ac:dyDescent="0.45">
      <c r="A30" t="s">
        <v>163</v>
      </c>
      <c r="B30">
        <v>70.3</v>
      </c>
      <c r="D30">
        <v>102</v>
      </c>
      <c r="G30">
        <v>105.9</v>
      </c>
      <c r="H30">
        <v>94.8</v>
      </c>
      <c r="J30">
        <v>70.2</v>
      </c>
      <c r="N30">
        <v>97.3</v>
      </c>
      <c r="O30">
        <v>103.7</v>
      </c>
      <c r="P30">
        <v>132.1</v>
      </c>
      <c r="Q30">
        <v>56.3</v>
      </c>
      <c r="R30">
        <v>94.8</v>
      </c>
    </row>
    <row r="31" spans="1:18" x14ac:dyDescent="0.45">
      <c r="A31" t="s">
        <v>164</v>
      </c>
      <c r="B31">
        <v>69.8</v>
      </c>
      <c r="D31">
        <v>104</v>
      </c>
      <c r="G31">
        <v>105.6</v>
      </c>
      <c r="H31">
        <v>95.8</v>
      </c>
      <c r="J31">
        <v>68.400000000000006</v>
      </c>
      <c r="N31">
        <v>96</v>
      </c>
      <c r="O31">
        <v>105.9</v>
      </c>
      <c r="P31">
        <v>134.30000000000001</v>
      </c>
      <c r="Q31">
        <v>56.5</v>
      </c>
      <c r="R31">
        <v>95.9</v>
      </c>
    </row>
    <row r="32" spans="1:18" x14ac:dyDescent="0.45">
      <c r="A32" t="s">
        <v>165</v>
      </c>
      <c r="B32">
        <v>69.599999999999994</v>
      </c>
      <c r="D32">
        <v>105.3</v>
      </c>
      <c r="G32">
        <v>105.8</v>
      </c>
      <c r="H32">
        <v>96</v>
      </c>
      <c r="J32">
        <v>67.5</v>
      </c>
      <c r="N32">
        <v>93.7</v>
      </c>
      <c r="O32">
        <v>105.8</v>
      </c>
      <c r="P32">
        <v>134.9</v>
      </c>
      <c r="Q32">
        <v>55.9</v>
      </c>
      <c r="R32">
        <v>96.2</v>
      </c>
    </row>
    <row r="33" spans="1:18" x14ac:dyDescent="0.45">
      <c r="A33" t="s">
        <v>166</v>
      </c>
      <c r="B33">
        <v>69.8</v>
      </c>
      <c r="D33">
        <v>106.1</v>
      </c>
      <c r="G33">
        <v>107.8</v>
      </c>
      <c r="H33">
        <v>97.6</v>
      </c>
      <c r="J33">
        <v>68.2</v>
      </c>
      <c r="N33">
        <v>93.1</v>
      </c>
      <c r="O33">
        <v>105.8</v>
      </c>
      <c r="P33">
        <v>141.30000000000001</v>
      </c>
      <c r="Q33">
        <v>56</v>
      </c>
      <c r="R33">
        <v>97.1</v>
      </c>
    </row>
    <row r="34" spans="1:18" x14ac:dyDescent="0.45">
      <c r="A34" t="s">
        <v>167</v>
      </c>
      <c r="B34">
        <v>70.400000000000006</v>
      </c>
      <c r="D34">
        <v>107.2</v>
      </c>
      <c r="G34">
        <v>109.8</v>
      </c>
      <c r="H34">
        <v>95.9</v>
      </c>
      <c r="J34">
        <v>64</v>
      </c>
      <c r="N34">
        <v>90.6</v>
      </c>
      <c r="O34">
        <v>106</v>
      </c>
      <c r="P34">
        <v>138.80000000000001</v>
      </c>
      <c r="Q34">
        <v>55.9</v>
      </c>
      <c r="R34">
        <v>97.1</v>
      </c>
    </row>
    <row r="35" spans="1:18" x14ac:dyDescent="0.45">
      <c r="A35" t="s">
        <v>168</v>
      </c>
      <c r="B35">
        <v>72.3</v>
      </c>
      <c r="D35">
        <v>108.2</v>
      </c>
      <c r="G35">
        <v>107.5</v>
      </c>
      <c r="H35">
        <v>96.9</v>
      </c>
      <c r="J35">
        <v>61.2</v>
      </c>
      <c r="N35">
        <v>89.5</v>
      </c>
      <c r="O35">
        <v>106.4</v>
      </c>
      <c r="P35">
        <v>140.69999999999999</v>
      </c>
      <c r="Q35">
        <v>56.4</v>
      </c>
      <c r="R35">
        <v>98.1</v>
      </c>
    </row>
    <row r="36" spans="1:18" x14ac:dyDescent="0.45">
      <c r="A36" t="s">
        <v>169</v>
      </c>
      <c r="B36">
        <v>72.3</v>
      </c>
      <c r="D36">
        <v>109.2</v>
      </c>
      <c r="G36">
        <v>104.3</v>
      </c>
      <c r="H36">
        <v>96.9</v>
      </c>
      <c r="J36">
        <v>60.7</v>
      </c>
      <c r="N36">
        <v>87.6</v>
      </c>
      <c r="O36">
        <v>105.4</v>
      </c>
      <c r="P36">
        <v>141.1</v>
      </c>
      <c r="Q36">
        <v>55.6</v>
      </c>
      <c r="R36">
        <v>98.4</v>
      </c>
    </row>
    <row r="37" spans="1:18" x14ac:dyDescent="0.45">
      <c r="A37" t="s">
        <v>170</v>
      </c>
      <c r="B37">
        <v>72.900000000000006</v>
      </c>
      <c r="D37">
        <v>110.5</v>
      </c>
      <c r="G37">
        <v>105</v>
      </c>
      <c r="H37">
        <v>98.8</v>
      </c>
      <c r="J37">
        <v>62.2</v>
      </c>
      <c r="N37">
        <v>87.2</v>
      </c>
      <c r="O37">
        <v>105.6</v>
      </c>
      <c r="P37">
        <v>147.19999999999999</v>
      </c>
      <c r="Q37">
        <v>55.5</v>
      </c>
      <c r="R37">
        <v>98.5</v>
      </c>
    </row>
    <row r="38" spans="1:18" x14ac:dyDescent="0.45">
      <c r="A38" t="s">
        <v>171</v>
      </c>
      <c r="B38">
        <v>72.2</v>
      </c>
      <c r="D38">
        <v>112</v>
      </c>
      <c r="G38">
        <v>102.7</v>
      </c>
      <c r="H38">
        <v>98.4</v>
      </c>
      <c r="J38">
        <v>60.2</v>
      </c>
      <c r="N38">
        <v>86.9</v>
      </c>
      <c r="O38">
        <v>105.7</v>
      </c>
      <c r="P38">
        <v>145.19999999999999</v>
      </c>
      <c r="Q38">
        <v>56.2</v>
      </c>
      <c r="R38">
        <v>97.8</v>
      </c>
    </row>
    <row r="39" spans="1:18" x14ac:dyDescent="0.45">
      <c r="A39" t="s">
        <v>172</v>
      </c>
      <c r="B39">
        <v>74.099999999999994</v>
      </c>
      <c r="D39">
        <v>113.4</v>
      </c>
      <c r="G39">
        <v>102.5</v>
      </c>
      <c r="H39">
        <v>99.4</v>
      </c>
      <c r="J39">
        <v>58.3</v>
      </c>
      <c r="N39">
        <v>86.3</v>
      </c>
      <c r="O39">
        <v>106.7</v>
      </c>
      <c r="P39">
        <v>147.30000000000001</v>
      </c>
      <c r="Q39">
        <v>56.7</v>
      </c>
      <c r="R39">
        <v>99.2</v>
      </c>
    </row>
    <row r="40" spans="1:18" x14ac:dyDescent="0.45">
      <c r="A40" t="s">
        <v>173</v>
      </c>
      <c r="B40">
        <v>74.5</v>
      </c>
      <c r="D40">
        <v>114.4</v>
      </c>
      <c r="G40">
        <v>101</v>
      </c>
      <c r="H40">
        <v>99.2</v>
      </c>
      <c r="J40">
        <v>57.3</v>
      </c>
      <c r="N40">
        <v>86.1</v>
      </c>
      <c r="O40">
        <v>106.1</v>
      </c>
      <c r="P40">
        <v>146.9</v>
      </c>
      <c r="Q40">
        <v>56.2</v>
      </c>
      <c r="R40">
        <v>100</v>
      </c>
    </row>
    <row r="41" spans="1:18" x14ac:dyDescent="0.45">
      <c r="A41" t="s">
        <v>174</v>
      </c>
      <c r="B41">
        <v>74.5</v>
      </c>
      <c r="D41">
        <v>114.7</v>
      </c>
      <c r="G41">
        <v>103</v>
      </c>
      <c r="H41">
        <v>100.7</v>
      </c>
      <c r="J41">
        <v>59.2</v>
      </c>
      <c r="N41">
        <v>86.8</v>
      </c>
      <c r="O41">
        <v>105.2</v>
      </c>
      <c r="P41">
        <v>150.30000000000001</v>
      </c>
      <c r="Q41">
        <v>55.6</v>
      </c>
      <c r="R41">
        <v>100.6</v>
      </c>
    </row>
    <row r="42" spans="1:18" x14ac:dyDescent="0.45">
      <c r="A42" t="s">
        <v>175</v>
      </c>
      <c r="B42">
        <v>75.2</v>
      </c>
      <c r="D42">
        <v>115.1</v>
      </c>
      <c r="G42">
        <v>100.5</v>
      </c>
      <c r="H42">
        <v>99.4</v>
      </c>
      <c r="J42">
        <v>56.9</v>
      </c>
      <c r="N42">
        <v>86.6</v>
      </c>
      <c r="O42">
        <v>104.8</v>
      </c>
      <c r="P42">
        <v>150.6</v>
      </c>
      <c r="Q42">
        <v>56.8</v>
      </c>
      <c r="R42">
        <v>100.8</v>
      </c>
    </row>
    <row r="43" spans="1:18" x14ac:dyDescent="0.45">
      <c r="A43" t="s">
        <v>176</v>
      </c>
      <c r="B43">
        <v>77.099999999999994</v>
      </c>
      <c r="D43">
        <v>116.2</v>
      </c>
      <c r="G43">
        <v>102.3</v>
      </c>
      <c r="H43">
        <v>100.7</v>
      </c>
      <c r="J43">
        <v>57</v>
      </c>
      <c r="N43">
        <v>86.9</v>
      </c>
      <c r="O43">
        <v>104.7</v>
      </c>
      <c r="P43">
        <v>152.30000000000001</v>
      </c>
      <c r="Q43">
        <v>57.1</v>
      </c>
      <c r="R43">
        <v>100.3</v>
      </c>
    </row>
    <row r="44" spans="1:18" x14ac:dyDescent="0.45">
      <c r="A44" t="s">
        <v>177</v>
      </c>
      <c r="B44">
        <v>76.900000000000006</v>
      </c>
      <c r="D44">
        <v>116.5</v>
      </c>
      <c r="G44">
        <v>101.8</v>
      </c>
      <c r="H44">
        <v>101.3</v>
      </c>
      <c r="J44">
        <v>54.6</v>
      </c>
      <c r="N44">
        <v>87.3</v>
      </c>
      <c r="O44">
        <v>103.1</v>
      </c>
      <c r="P44">
        <v>152</v>
      </c>
      <c r="Q44">
        <v>56.8</v>
      </c>
      <c r="R44">
        <v>100.8</v>
      </c>
    </row>
    <row r="45" spans="1:18" x14ac:dyDescent="0.45">
      <c r="A45" t="s">
        <v>178</v>
      </c>
      <c r="B45">
        <v>77.2</v>
      </c>
      <c r="D45">
        <v>117.4</v>
      </c>
      <c r="G45">
        <v>103.7</v>
      </c>
      <c r="H45">
        <v>104.6</v>
      </c>
      <c r="J45">
        <v>58.2</v>
      </c>
      <c r="N45">
        <v>88.9</v>
      </c>
      <c r="O45">
        <v>100.8</v>
      </c>
      <c r="P45">
        <v>155.80000000000001</v>
      </c>
      <c r="Q45">
        <v>56.7</v>
      </c>
      <c r="R45">
        <v>101.4</v>
      </c>
    </row>
    <row r="46" spans="1:18" x14ac:dyDescent="0.45">
      <c r="A46" t="s">
        <v>179</v>
      </c>
      <c r="B46">
        <v>77.599999999999994</v>
      </c>
      <c r="D46">
        <v>118.1</v>
      </c>
      <c r="G46">
        <v>103.2</v>
      </c>
      <c r="H46">
        <v>105.6</v>
      </c>
      <c r="J46">
        <v>57.6</v>
      </c>
      <c r="N46">
        <v>89.2</v>
      </c>
      <c r="O46">
        <v>101.1</v>
      </c>
      <c r="P46">
        <v>155</v>
      </c>
      <c r="Q46">
        <v>56.5</v>
      </c>
      <c r="R46">
        <v>100</v>
      </c>
    </row>
    <row r="47" spans="1:18" x14ac:dyDescent="0.45">
      <c r="A47" t="s">
        <v>180</v>
      </c>
      <c r="B47">
        <v>79.5</v>
      </c>
      <c r="D47">
        <v>119.9</v>
      </c>
      <c r="G47">
        <v>102.6</v>
      </c>
      <c r="H47">
        <v>107</v>
      </c>
      <c r="J47">
        <v>56.9</v>
      </c>
      <c r="N47">
        <v>90.5</v>
      </c>
      <c r="O47">
        <v>101.6</v>
      </c>
      <c r="P47">
        <v>157.69999999999999</v>
      </c>
      <c r="Q47">
        <v>56.5</v>
      </c>
      <c r="R47">
        <v>100.2</v>
      </c>
    </row>
    <row r="48" spans="1:18" x14ac:dyDescent="0.45">
      <c r="A48" t="s">
        <v>181</v>
      </c>
      <c r="B48">
        <v>79.7</v>
      </c>
      <c r="D48">
        <v>121.1</v>
      </c>
      <c r="G48">
        <v>102.3</v>
      </c>
      <c r="H48">
        <v>107.6</v>
      </c>
      <c r="J48">
        <v>55.9</v>
      </c>
      <c r="N48">
        <v>91.6</v>
      </c>
      <c r="O48">
        <v>102.1</v>
      </c>
      <c r="P48">
        <v>156.4</v>
      </c>
      <c r="Q48">
        <v>58</v>
      </c>
      <c r="R48">
        <v>99.5</v>
      </c>
    </row>
    <row r="49" spans="1:18" x14ac:dyDescent="0.45">
      <c r="A49" t="s">
        <v>182</v>
      </c>
      <c r="B49">
        <v>80</v>
      </c>
      <c r="D49">
        <v>120</v>
      </c>
      <c r="G49">
        <v>103.4</v>
      </c>
      <c r="H49">
        <v>108.8</v>
      </c>
      <c r="J49">
        <v>57.8</v>
      </c>
      <c r="N49">
        <v>94.5</v>
      </c>
      <c r="O49">
        <v>102.7</v>
      </c>
      <c r="P49">
        <v>153.4</v>
      </c>
      <c r="Q49">
        <v>60.6</v>
      </c>
      <c r="R49">
        <v>99.4</v>
      </c>
    </row>
    <row r="50" spans="1:18" x14ac:dyDescent="0.45">
      <c r="A50" t="s">
        <v>183</v>
      </c>
      <c r="B50">
        <v>81.099999999999994</v>
      </c>
      <c r="D50">
        <v>120</v>
      </c>
      <c r="G50">
        <v>101.8</v>
      </c>
      <c r="H50">
        <v>107.8</v>
      </c>
      <c r="J50">
        <v>55</v>
      </c>
      <c r="N50">
        <v>93.8</v>
      </c>
      <c r="O50">
        <v>103.7</v>
      </c>
      <c r="P50">
        <v>147.69999999999999</v>
      </c>
      <c r="Q50">
        <v>61</v>
      </c>
      <c r="R50">
        <v>99.7</v>
      </c>
    </row>
    <row r="51" spans="1:18" x14ac:dyDescent="0.45">
      <c r="A51" t="s">
        <v>184</v>
      </c>
      <c r="B51">
        <v>82.3</v>
      </c>
      <c r="D51">
        <v>119.7</v>
      </c>
      <c r="G51">
        <v>101.8</v>
      </c>
      <c r="H51">
        <v>108.8</v>
      </c>
      <c r="J51">
        <v>53.6</v>
      </c>
      <c r="N51">
        <v>94.4</v>
      </c>
      <c r="O51">
        <v>104.5</v>
      </c>
      <c r="P51">
        <v>147.4</v>
      </c>
      <c r="Q51">
        <v>63.1</v>
      </c>
      <c r="R51">
        <v>100.6</v>
      </c>
    </row>
    <row r="52" spans="1:18" x14ac:dyDescent="0.45">
      <c r="A52" t="s">
        <v>185</v>
      </c>
      <c r="B52">
        <v>83.3</v>
      </c>
      <c r="D52">
        <v>118.7</v>
      </c>
      <c r="G52">
        <v>101.5</v>
      </c>
      <c r="H52">
        <v>109.9</v>
      </c>
      <c r="J52">
        <v>53.4</v>
      </c>
      <c r="N52">
        <v>94.5</v>
      </c>
      <c r="O52">
        <v>105.2</v>
      </c>
      <c r="P52">
        <v>151.19999999999999</v>
      </c>
      <c r="Q52">
        <v>63.9</v>
      </c>
      <c r="R52">
        <v>101.2</v>
      </c>
    </row>
    <row r="53" spans="1:18" x14ac:dyDescent="0.45">
      <c r="A53" t="s">
        <v>186</v>
      </c>
      <c r="B53">
        <v>83.8</v>
      </c>
      <c r="D53">
        <v>116.7</v>
      </c>
      <c r="G53">
        <v>104.8</v>
      </c>
      <c r="H53">
        <v>111.8</v>
      </c>
      <c r="J53">
        <v>55.5</v>
      </c>
      <c r="N53">
        <v>95.8</v>
      </c>
      <c r="O53">
        <v>105.6</v>
      </c>
      <c r="P53">
        <v>153.4</v>
      </c>
      <c r="Q53">
        <v>65.5</v>
      </c>
      <c r="R53">
        <v>101.9</v>
      </c>
    </row>
    <row r="54" spans="1:18" x14ac:dyDescent="0.45">
      <c r="A54" t="s">
        <v>187</v>
      </c>
      <c r="B54">
        <v>85.9</v>
      </c>
      <c r="D54">
        <v>115.2</v>
      </c>
      <c r="G54">
        <v>104.4</v>
      </c>
      <c r="H54">
        <v>110.2</v>
      </c>
      <c r="J54">
        <v>53.9</v>
      </c>
      <c r="N54">
        <v>95.3</v>
      </c>
      <c r="O54">
        <v>105.6</v>
      </c>
      <c r="P54">
        <v>153</v>
      </c>
      <c r="Q54">
        <v>66.400000000000006</v>
      </c>
      <c r="R54">
        <v>101.7</v>
      </c>
    </row>
    <row r="55" spans="1:18" x14ac:dyDescent="0.45">
      <c r="A55" t="s">
        <v>188</v>
      </c>
      <c r="B55">
        <v>87.7</v>
      </c>
      <c r="D55">
        <v>113.3</v>
      </c>
      <c r="G55">
        <v>105.2</v>
      </c>
      <c r="H55">
        <v>111.3</v>
      </c>
      <c r="J55">
        <v>52.6</v>
      </c>
      <c r="N55">
        <v>95.2</v>
      </c>
      <c r="O55">
        <v>105.3</v>
      </c>
      <c r="P55">
        <v>155.69999999999999</v>
      </c>
      <c r="Q55">
        <v>67.400000000000006</v>
      </c>
      <c r="R55">
        <v>102.5</v>
      </c>
    </row>
    <row r="56" spans="1:18" x14ac:dyDescent="0.45">
      <c r="A56" t="s">
        <v>189</v>
      </c>
      <c r="B56">
        <v>86.9</v>
      </c>
      <c r="D56">
        <v>111.3</v>
      </c>
      <c r="G56">
        <v>104.4</v>
      </c>
      <c r="H56">
        <v>111.7</v>
      </c>
      <c r="J56">
        <v>51.3</v>
      </c>
      <c r="N56">
        <v>93.9</v>
      </c>
      <c r="O56">
        <v>105</v>
      </c>
      <c r="P56">
        <v>156.6</v>
      </c>
      <c r="Q56">
        <v>67.7</v>
      </c>
      <c r="R56">
        <v>102.9</v>
      </c>
    </row>
    <row r="57" spans="1:18" x14ac:dyDescent="0.45">
      <c r="A57" t="s">
        <v>190</v>
      </c>
      <c r="B57">
        <v>87.3</v>
      </c>
      <c r="D57">
        <v>109.2</v>
      </c>
      <c r="G57">
        <v>107.3</v>
      </c>
      <c r="H57">
        <v>112.8</v>
      </c>
      <c r="J57">
        <v>53.8</v>
      </c>
      <c r="N57">
        <v>95.1</v>
      </c>
      <c r="O57">
        <v>104.5</v>
      </c>
      <c r="P57">
        <v>158.69999999999999</v>
      </c>
      <c r="Q57">
        <v>68.3</v>
      </c>
      <c r="R57">
        <v>103.4</v>
      </c>
    </row>
    <row r="58" spans="1:18" x14ac:dyDescent="0.45">
      <c r="A58" t="s">
        <v>191</v>
      </c>
      <c r="B58">
        <v>86.6</v>
      </c>
      <c r="D58">
        <v>108.6</v>
      </c>
      <c r="G58">
        <v>106</v>
      </c>
      <c r="H58">
        <v>111.3</v>
      </c>
      <c r="J58">
        <v>53.5</v>
      </c>
      <c r="N58">
        <v>92</v>
      </c>
      <c r="O58">
        <v>104.6</v>
      </c>
      <c r="P58">
        <v>156.69999999999999</v>
      </c>
      <c r="Q58">
        <v>70.5</v>
      </c>
      <c r="R58">
        <v>103.2</v>
      </c>
    </row>
    <row r="59" spans="1:18" x14ac:dyDescent="0.45">
      <c r="A59" t="s">
        <v>192</v>
      </c>
      <c r="B59">
        <v>86.4</v>
      </c>
      <c r="D59">
        <v>107.8</v>
      </c>
      <c r="G59">
        <v>107.1</v>
      </c>
      <c r="H59">
        <v>112.2</v>
      </c>
      <c r="J59">
        <v>54</v>
      </c>
      <c r="N59">
        <v>92.3</v>
      </c>
      <c r="O59">
        <v>104.7</v>
      </c>
      <c r="P59">
        <v>158.5</v>
      </c>
      <c r="Q59">
        <v>72.3</v>
      </c>
      <c r="R59">
        <v>104.4</v>
      </c>
    </row>
    <row r="60" spans="1:18" x14ac:dyDescent="0.45">
      <c r="A60" t="s">
        <v>193</v>
      </c>
      <c r="B60">
        <v>86.9</v>
      </c>
      <c r="D60">
        <v>106.9</v>
      </c>
      <c r="G60">
        <v>107.4</v>
      </c>
      <c r="H60">
        <v>112.4</v>
      </c>
      <c r="J60">
        <v>54.9</v>
      </c>
      <c r="N60">
        <v>89.4</v>
      </c>
      <c r="O60">
        <v>104.8</v>
      </c>
      <c r="P60">
        <v>157.9</v>
      </c>
      <c r="Q60">
        <v>73.3</v>
      </c>
      <c r="R60">
        <v>104.9</v>
      </c>
    </row>
    <row r="61" spans="1:18" x14ac:dyDescent="0.45">
      <c r="A61" t="s">
        <v>194</v>
      </c>
      <c r="B61">
        <v>88.2</v>
      </c>
      <c r="D61">
        <v>106.1</v>
      </c>
      <c r="G61">
        <v>108.9</v>
      </c>
      <c r="H61">
        <v>113.6</v>
      </c>
      <c r="J61">
        <v>57.7</v>
      </c>
      <c r="N61">
        <v>91.7</v>
      </c>
      <c r="O61">
        <v>105.1</v>
      </c>
      <c r="P61">
        <v>158.6</v>
      </c>
      <c r="Q61">
        <v>75.8</v>
      </c>
      <c r="R61">
        <v>106.6</v>
      </c>
    </row>
    <row r="62" spans="1:18" x14ac:dyDescent="0.45">
      <c r="A62" t="s">
        <v>195</v>
      </c>
      <c r="B62">
        <v>89.4</v>
      </c>
      <c r="D62">
        <v>106.5</v>
      </c>
      <c r="G62">
        <v>106.8</v>
      </c>
      <c r="H62">
        <v>113.5</v>
      </c>
      <c r="J62">
        <v>56.9</v>
      </c>
      <c r="N62">
        <v>88.3</v>
      </c>
      <c r="O62">
        <v>105.5</v>
      </c>
      <c r="P62">
        <v>159.30000000000001</v>
      </c>
      <c r="Q62">
        <v>77.3</v>
      </c>
      <c r="R62">
        <v>107.6</v>
      </c>
    </row>
    <row r="63" spans="1:18" x14ac:dyDescent="0.45">
      <c r="A63" t="s">
        <v>196</v>
      </c>
      <c r="B63">
        <v>91.9</v>
      </c>
      <c r="D63">
        <v>106.2</v>
      </c>
      <c r="G63">
        <v>107</v>
      </c>
      <c r="H63">
        <v>113.4</v>
      </c>
      <c r="J63">
        <v>55.7</v>
      </c>
      <c r="N63">
        <v>88.5</v>
      </c>
      <c r="O63">
        <v>106</v>
      </c>
      <c r="P63">
        <v>158.19999999999999</v>
      </c>
      <c r="Q63">
        <v>76.3</v>
      </c>
      <c r="R63">
        <v>109.2</v>
      </c>
    </row>
    <row r="64" spans="1:18" x14ac:dyDescent="0.45">
      <c r="A64" t="s">
        <v>197</v>
      </c>
      <c r="B64">
        <v>93.1</v>
      </c>
      <c r="D64">
        <v>107.6</v>
      </c>
      <c r="G64">
        <v>106.7</v>
      </c>
      <c r="H64">
        <v>112.5</v>
      </c>
      <c r="J64">
        <v>54.2</v>
      </c>
      <c r="N64">
        <v>86.5</v>
      </c>
      <c r="O64">
        <v>106.5</v>
      </c>
      <c r="P64">
        <v>157.6</v>
      </c>
      <c r="Q64">
        <v>77.8</v>
      </c>
      <c r="R64">
        <v>110.4</v>
      </c>
    </row>
    <row r="65" spans="1:18" x14ac:dyDescent="0.45">
      <c r="A65" t="s">
        <v>198</v>
      </c>
      <c r="B65">
        <v>94.9</v>
      </c>
      <c r="D65">
        <v>107.8</v>
      </c>
      <c r="G65">
        <v>108.8</v>
      </c>
      <c r="H65">
        <v>113.9</v>
      </c>
      <c r="J65">
        <v>57.8</v>
      </c>
      <c r="N65">
        <v>87.3</v>
      </c>
      <c r="O65">
        <v>107</v>
      </c>
      <c r="P65">
        <v>159.69999999999999</v>
      </c>
      <c r="Q65">
        <v>77.099999999999994</v>
      </c>
      <c r="R65">
        <v>113.1</v>
      </c>
    </row>
    <row r="66" spans="1:18" x14ac:dyDescent="0.45">
      <c r="A66" t="s">
        <v>199</v>
      </c>
      <c r="B66">
        <v>95.6</v>
      </c>
      <c r="D66">
        <v>108.3</v>
      </c>
      <c r="G66">
        <v>107.4</v>
      </c>
      <c r="H66">
        <v>112.5</v>
      </c>
      <c r="J66">
        <v>53.9</v>
      </c>
      <c r="N66">
        <v>83.3</v>
      </c>
      <c r="O66">
        <v>109.5</v>
      </c>
      <c r="P66">
        <v>159.4</v>
      </c>
      <c r="Q66">
        <v>79.8</v>
      </c>
      <c r="R66">
        <v>113.3</v>
      </c>
    </row>
    <row r="67" spans="1:18" x14ac:dyDescent="0.45">
      <c r="A67" t="s">
        <v>200</v>
      </c>
      <c r="B67">
        <v>100.3</v>
      </c>
      <c r="D67">
        <v>109.8</v>
      </c>
      <c r="G67">
        <v>107.1</v>
      </c>
      <c r="H67">
        <v>112.4</v>
      </c>
      <c r="J67">
        <v>54</v>
      </c>
      <c r="N67">
        <v>82.9</v>
      </c>
      <c r="O67">
        <v>111.8</v>
      </c>
      <c r="P67">
        <v>161.69999999999999</v>
      </c>
      <c r="Q67">
        <v>81.099999999999994</v>
      </c>
      <c r="R67">
        <v>115</v>
      </c>
    </row>
    <row r="68" spans="1:18" x14ac:dyDescent="0.45">
      <c r="A68" t="s">
        <v>201</v>
      </c>
      <c r="B68">
        <v>104.6</v>
      </c>
      <c r="D68">
        <v>110.6</v>
      </c>
      <c r="G68">
        <v>105.7</v>
      </c>
      <c r="H68">
        <v>111.5</v>
      </c>
      <c r="J68">
        <v>53.7</v>
      </c>
      <c r="N68">
        <v>80.8</v>
      </c>
      <c r="O68">
        <v>114</v>
      </c>
      <c r="P68">
        <v>163</v>
      </c>
      <c r="Q68">
        <v>81.7</v>
      </c>
      <c r="R68">
        <v>116.9</v>
      </c>
    </row>
    <row r="69" spans="1:18" x14ac:dyDescent="0.45">
      <c r="A69" t="s">
        <v>202</v>
      </c>
      <c r="B69">
        <v>106.3</v>
      </c>
      <c r="D69">
        <v>111.8</v>
      </c>
      <c r="G69">
        <v>105.7</v>
      </c>
      <c r="H69">
        <v>111.4</v>
      </c>
      <c r="J69">
        <v>57.7</v>
      </c>
      <c r="N69">
        <v>81.900000000000006</v>
      </c>
      <c r="O69">
        <v>116.2</v>
      </c>
      <c r="P69">
        <v>164.4</v>
      </c>
      <c r="Q69">
        <v>84.5</v>
      </c>
      <c r="R69">
        <v>119.4</v>
      </c>
    </row>
    <row r="70" spans="1:18" x14ac:dyDescent="0.45">
      <c r="A70" t="s">
        <v>203</v>
      </c>
      <c r="B70">
        <v>106.5</v>
      </c>
      <c r="D70">
        <v>112.1</v>
      </c>
      <c r="G70">
        <v>108</v>
      </c>
      <c r="H70">
        <v>110.2</v>
      </c>
      <c r="J70">
        <v>56.5</v>
      </c>
      <c r="N70">
        <v>79.5</v>
      </c>
      <c r="O70">
        <v>118.6</v>
      </c>
      <c r="P70">
        <v>165.6</v>
      </c>
      <c r="Q70">
        <v>86.3</v>
      </c>
      <c r="R70">
        <v>119.4</v>
      </c>
    </row>
    <row r="71" spans="1:18" x14ac:dyDescent="0.45">
      <c r="A71" t="s">
        <v>204</v>
      </c>
      <c r="B71">
        <v>109.2</v>
      </c>
      <c r="D71">
        <v>114.1</v>
      </c>
      <c r="G71">
        <v>108.8</v>
      </c>
      <c r="H71">
        <v>110.1</v>
      </c>
      <c r="J71">
        <v>57.1</v>
      </c>
      <c r="N71">
        <v>79.900000000000006</v>
      </c>
      <c r="O71">
        <v>121.1</v>
      </c>
      <c r="P71">
        <v>169.3</v>
      </c>
      <c r="Q71">
        <v>87.1</v>
      </c>
      <c r="R71">
        <v>121.1</v>
      </c>
    </row>
    <row r="72" spans="1:18" x14ac:dyDescent="0.45">
      <c r="A72" t="s">
        <v>205</v>
      </c>
      <c r="B72">
        <v>110</v>
      </c>
      <c r="D72">
        <v>114.5</v>
      </c>
      <c r="G72">
        <v>108.7</v>
      </c>
      <c r="H72">
        <v>111</v>
      </c>
      <c r="J72">
        <v>54.8</v>
      </c>
      <c r="N72">
        <v>78.400000000000006</v>
      </c>
      <c r="O72">
        <v>123.4</v>
      </c>
      <c r="P72">
        <v>170.2</v>
      </c>
      <c r="Q72">
        <v>88.4</v>
      </c>
      <c r="R72">
        <v>122</v>
      </c>
    </row>
    <row r="73" spans="1:18" x14ac:dyDescent="0.45">
      <c r="A73" t="s">
        <v>206</v>
      </c>
      <c r="B73">
        <v>112.3</v>
      </c>
      <c r="D73">
        <v>115.3</v>
      </c>
      <c r="G73">
        <v>109.8</v>
      </c>
      <c r="H73">
        <v>111.5</v>
      </c>
      <c r="J73">
        <v>58.9</v>
      </c>
      <c r="N73">
        <v>80.2</v>
      </c>
      <c r="O73">
        <v>125.6</v>
      </c>
      <c r="P73">
        <v>171.6</v>
      </c>
      <c r="Q73">
        <v>88.2</v>
      </c>
      <c r="R73">
        <v>122.7</v>
      </c>
    </row>
    <row r="74" spans="1:18" x14ac:dyDescent="0.45">
      <c r="A74" t="s">
        <v>207</v>
      </c>
      <c r="B74">
        <v>114.8</v>
      </c>
      <c r="D74">
        <v>116.7</v>
      </c>
      <c r="G74">
        <v>110.4</v>
      </c>
      <c r="H74">
        <v>110.2</v>
      </c>
      <c r="J74">
        <v>56.6</v>
      </c>
      <c r="N74">
        <v>78.5</v>
      </c>
      <c r="O74">
        <v>129</v>
      </c>
      <c r="P74">
        <v>175.2</v>
      </c>
      <c r="Q74">
        <v>90.6</v>
      </c>
      <c r="R74">
        <v>122.9</v>
      </c>
    </row>
    <row r="75" spans="1:18" x14ac:dyDescent="0.45">
      <c r="A75" t="s">
        <v>208</v>
      </c>
      <c r="B75">
        <v>118.2</v>
      </c>
      <c r="D75">
        <v>118</v>
      </c>
      <c r="G75">
        <v>111.3</v>
      </c>
      <c r="H75">
        <v>110.6</v>
      </c>
      <c r="J75">
        <v>58.3</v>
      </c>
      <c r="N75">
        <v>79.2</v>
      </c>
      <c r="O75">
        <v>132</v>
      </c>
      <c r="P75">
        <v>178.7</v>
      </c>
      <c r="Q75">
        <v>94.2</v>
      </c>
      <c r="R75">
        <v>123.9</v>
      </c>
    </row>
    <row r="76" spans="1:18" x14ac:dyDescent="0.45">
      <c r="A76" t="s">
        <v>209</v>
      </c>
      <c r="B76">
        <v>118.8</v>
      </c>
      <c r="D76">
        <v>120</v>
      </c>
      <c r="G76">
        <v>112.1</v>
      </c>
      <c r="H76">
        <v>110.2</v>
      </c>
      <c r="J76">
        <v>57.2</v>
      </c>
      <c r="N76">
        <v>79.8</v>
      </c>
      <c r="O76">
        <v>134.80000000000001</v>
      </c>
      <c r="P76">
        <v>180.9</v>
      </c>
      <c r="Q76">
        <v>96.9</v>
      </c>
      <c r="R76">
        <v>124.2</v>
      </c>
    </row>
    <row r="77" spans="1:18" x14ac:dyDescent="0.45">
      <c r="A77" t="s">
        <v>210</v>
      </c>
      <c r="B77">
        <v>118</v>
      </c>
      <c r="D77">
        <v>121.3</v>
      </c>
      <c r="G77">
        <v>115.5</v>
      </c>
      <c r="H77">
        <v>111</v>
      </c>
      <c r="J77">
        <v>61.3</v>
      </c>
      <c r="N77">
        <v>83.5</v>
      </c>
      <c r="O77">
        <v>137.30000000000001</v>
      </c>
      <c r="P77">
        <v>183.1</v>
      </c>
      <c r="Q77">
        <v>98.1</v>
      </c>
      <c r="R77">
        <v>124.9</v>
      </c>
    </row>
    <row r="78" spans="1:18" x14ac:dyDescent="0.45">
      <c r="A78" t="s">
        <v>211</v>
      </c>
      <c r="B78">
        <v>119.4</v>
      </c>
      <c r="D78">
        <v>122.6</v>
      </c>
      <c r="G78">
        <v>114.6</v>
      </c>
      <c r="H78">
        <v>109.9</v>
      </c>
      <c r="J78">
        <v>60.3</v>
      </c>
      <c r="N78">
        <v>82.9</v>
      </c>
      <c r="O78">
        <v>140.6</v>
      </c>
      <c r="P78">
        <v>187.8</v>
      </c>
      <c r="Q78">
        <v>101</v>
      </c>
      <c r="R78">
        <v>124.5</v>
      </c>
    </row>
    <row r="79" spans="1:18" x14ac:dyDescent="0.45">
      <c r="A79" t="s">
        <v>212</v>
      </c>
      <c r="B79">
        <v>122.5</v>
      </c>
      <c r="D79">
        <v>124.3</v>
      </c>
      <c r="G79">
        <v>117.3</v>
      </c>
      <c r="H79">
        <v>110.2</v>
      </c>
      <c r="J79">
        <v>62.1</v>
      </c>
      <c r="N79">
        <v>86</v>
      </c>
      <c r="O79">
        <v>143.69999999999999</v>
      </c>
      <c r="P79">
        <v>192</v>
      </c>
      <c r="Q79">
        <v>103.6</v>
      </c>
      <c r="R79">
        <v>125</v>
      </c>
    </row>
    <row r="80" spans="1:18" x14ac:dyDescent="0.45">
      <c r="A80" t="s">
        <v>213</v>
      </c>
      <c r="B80">
        <v>120.5</v>
      </c>
      <c r="D80">
        <v>126.3</v>
      </c>
      <c r="G80">
        <v>117.5</v>
      </c>
      <c r="H80">
        <v>110.2</v>
      </c>
      <c r="J80">
        <v>60.4</v>
      </c>
      <c r="N80">
        <v>85.4</v>
      </c>
      <c r="O80">
        <v>146.5</v>
      </c>
      <c r="P80">
        <v>192.1</v>
      </c>
      <c r="Q80">
        <v>105.8</v>
      </c>
      <c r="R80">
        <v>124.7</v>
      </c>
    </row>
    <row r="81" spans="1:18" x14ac:dyDescent="0.45">
      <c r="A81" t="s">
        <v>214</v>
      </c>
      <c r="B81">
        <v>119.4</v>
      </c>
      <c r="D81">
        <v>128.69999999999999</v>
      </c>
      <c r="G81">
        <v>120.6</v>
      </c>
      <c r="H81">
        <v>111.5</v>
      </c>
      <c r="J81">
        <v>65</v>
      </c>
      <c r="N81">
        <v>86.9</v>
      </c>
      <c r="O81">
        <v>149</v>
      </c>
      <c r="P81">
        <v>193.8</v>
      </c>
      <c r="Q81">
        <v>106.7</v>
      </c>
      <c r="R81">
        <v>125.2</v>
      </c>
    </row>
    <row r="82" spans="1:18" x14ac:dyDescent="0.45">
      <c r="A82" t="s">
        <v>215</v>
      </c>
      <c r="B82">
        <v>121.3</v>
      </c>
      <c r="D82">
        <v>130.80000000000001</v>
      </c>
      <c r="G82">
        <v>121.6</v>
      </c>
      <c r="H82">
        <v>111.4</v>
      </c>
      <c r="J82">
        <v>62.6</v>
      </c>
      <c r="N82">
        <v>86.7</v>
      </c>
      <c r="O82">
        <v>150.80000000000001</v>
      </c>
      <c r="P82">
        <v>194.5</v>
      </c>
      <c r="Q82">
        <v>112.2</v>
      </c>
      <c r="R82">
        <v>125.5</v>
      </c>
    </row>
    <row r="83" spans="1:18" x14ac:dyDescent="0.45">
      <c r="A83" t="s">
        <v>216</v>
      </c>
      <c r="B83">
        <v>121.2</v>
      </c>
      <c r="D83">
        <v>132.19999999999999</v>
      </c>
      <c r="G83">
        <v>122.4</v>
      </c>
      <c r="H83">
        <v>109.8</v>
      </c>
      <c r="J83">
        <v>63.4</v>
      </c>
      <c r="N83">
        <v>87.9</v>
      </c>
      <c r="O83">
        <v>152.6</v>
      </c>
      <c r="P83">
        <v>195.8</v>
      </c>
      <c r="Q83">
        <v>113.7</v>
      </c>
      <c r="R83">
        <v>125.5</v>
      </c>
    </row>
    <row r="84" spans="1:18" x14ac:dyDescent="0.45">
      <c r="A84" t="s">
        <v>217</v>
      </c>
      <c r="B84">
        <v>120.6</v>
      </c>
      <c r="D84">
        <v>133.69999999999999</v>
      </c>
      <c r="G84">
        <v>122.6</v>
      </c>
      <c r="H84">
        <v>109.4</v>
      </c>
      <c r="J84">
        <v>61.5</v>
      </c>
      <c r="N84">
        <v>88.1</v>
      </c>
      <c r="O84">
        <v>154.4</v>
      </c>
      <c r="P84">
        <v>195</v>
      </c>
      <c r="Q84">
        <v>113.4</v>
      </c>
      <c r="R84">
        <v>125.2</v>
      </c>
    </row>
    <row r="85" spans="1:18" x14ac:dyDescent="0.45">
      <c r="A85" t="s">
        <v>218</v>
      </c>
      <c r="B85">
        <v>121</v>
      </c>
      <c r="D85">
        <v>134.80000000000001</v>
      </c>
      <c r="G85">
        <v>127.9</v>
      </c>
      <c r="H85">
        <v>109.9</v>
      </c>
      <c r="J85">
        <v>67.900000000000006</v>
      </c>
      <c r="N85">
        <v>87.6</v>
      </c>
      <c r="O85">
        <v>156.19999999999999</v>
      </c>
      <c r="P85">
        <v>193.9</v>
      </c>
      <c r="Q85">
        <v>114.3</v>
      </c>
      <c r="R85">
        <v>125.1</v>
      </c>
    </row>
    <row r="86" spans="1:18" x14ac:dyDescent="0.45">
      <c r="A86" t="s">
        <v>219</v>
      </c>
      <c r="B86">
        <v>122.6</v>
      </c>
      <c r="D86">
        <v>136.69999999999999</v>
      </c>
      <c r="G86">
        <v>128.6</v>
      </c>
      <c r="H86">
        <v>108.6</v>
      </c>
      <c r="J86">
        <v>64.599999999999994</v>
      </c>
      <c r="N86">
        <v>88.4</v>
      </c>
      <c r="O86">
        <v>153.19999999999999</v>
      </c>
      <c r="P86">
        <v>193.4</v>
      </c>
      <c r="Q86">
        <v>115</v>
      </c>
      <c r="R86">
        <v>124.4</v>
      </c>
    </row>
    <row r="87" spans="1:18" x14ac:dyDescent="0.45">
      <c r="A87" t="s">
        <v>220</v>
      </c>
      <c r="B87">
        <v>121.6</v>
      </c>
      <c r="D87">
        <v>138.1</v>
      </c>
      <c r="G87">
        <v>129.69999999999999</v>
      </c>
      <c r="H87">
        <v>108.8</v>
      </c>
      <c r="J87">
        <v>66.900000000000006</v>
      </c>
      <c r="N87">
        <v>89.4</v>
      </c>
      <c r="O87">
        <v>150.5</v>
      </c>
      <c r="P87">
        <v>194.6</v>
      </c>
      <c r="Q87">
        <v>116.7</v>
      </c>
      <c r="R87">
        <v>124.7</v>
      </c>
    </row>
    <row r="88" spans="1:18" x14ac:dyDescent="0.45">
      <c r="A88" t="s">
        <v>221</v>
      </c>
      <c r="B88">
        <v>119.6</v>
      </c>
      <c r="D88">
        <v>139.30000000000001</v>
      </c>
      <c r="G88">
        <v>130.19999999999999</v>
      </c>
      <c r="H88">
        <v>110.3</v>
      </c>
      <c r="J88">
        <v>66</v>
      </c>
      <c r="N88">
        <v>89.1</v>
      </c>
      <c r="O88">
        <v>148.4</v>
      </c>
      <c r="P88">
        <v>193.5</v>
      </c>
      <c r="Q88">
        <v>115.9</v>
      </c>
      <c r="R88">
        <v>123.8</v>
      </c>
    </row>
    <row r="89" spans="1:18" x14ac:dyDescent="0.45">
      <c r="A89" t="s">
        <v>222</v>
      </c>
      <c r="B89">
        <v>120.3</v>
      </c>
      <c r="D89">
        <v>141.1</v>
      </c>
      <c r="G89">
        <v>132.19999999999999</v>
      </c>
      <c r="H89">
        <v>111</v>
      </c>
      <c r="J89">
        <v>70.3</v>
      </c>
      <c r="N89">
        <v>89.8</v>
      </c>
      <c r="O89">
        <v>147.1</v>
      </c>
      <c r="P89">
        <v>192.9</v>
      </c>
      <c r="Q89">
        <v>114.4</v>
      </c>
      <c r="R89">
        <v>123.1</v>
      </c>
    </row>
    <row r="90" spans="1:18" x14ac:dyDescent="0.45">
      <c r="A90" t="s">
        <v>223</v>
      </c>
      <c r="B90">
        <v>119.6</v>
      </c>
      <c r="D90">
        <v>141.19999999999999</v>
      </c>
      <c r="G90">
        <v>133.30000000000001</v>
      </c>
      <c r="H90">
        <v>110.9</v>
      </c>
      <c r="J90">
        <v>69.3</v>
      </c>
      <c r="N90">
        <v>87.4</v>
      </c>
      <c r="O90">
        <v>148</v>
      </c>
      <c r="P90">
        <v>192.9</v>
      </c>
      <c r="Q90">
        <v>113.6</v>
      </c>
      <c r="R90">
        <v>122</v>
      </c>
    </row>
    <row r="91" spans="1:18" x14ac:dyDescent="0.45">
      <c r="A91" t="s">
        <v>224</v>
      </c>
      <c r="B91">
        <v>119.4</v>
      </c>
      <c r="D91">
        <v>142.6</v>
      </c>
      <c r="G91">
        <v>133.9</v>
      </c>
      <c r="H91">
        <v>111.6</v>
      </c>
      <c r="J91">
        <v>70.7</v>
      </c>
      <c r="N91">
        <v>88.2</v>
      </c>
      <c r="O91">
        <v>149.6</v>
      </c>
      <c r="P91">
        <v>193.4</v>
      </c>
      <c r="Q91">
        <v>112.6</v>
      </c>
      <c r="R91">
        <v>121</v>
      </c>
    </row>
    <row r="92" spans="1:18" x14ac:dyDescent="0.45">
      <c r="A92" t="s">
        <v>225</v>
      </c>
      <c r="B92">
        <v>120.5</v>
      </c>
      <c r="D92">
        <v>142.9</v>
      </c>
      <c r="G92">
        <v>133.30000000000001</v>
      </c>
      <c r="H92">
        <v>111.7</v>
      </c>
      <c r="J92">
        <v>70.7</v>
      </c>
      <c r="N92">
        <v>88.6</v>
      </c>
      <c r="O92">
        <v>151.6</v>
      </c>
      <c r="P92">
        <v>193.2</v>
      </c>
      <c r="Q92">
        <v>112</v>
      </c>
      <c r="R92">
        <v>120.2</v>
      </c>
    </row>
    <row r="93" spans="1:18" x14ac:dyDescent="0.45">
      <c r="A93" t="s">
        <v>226</v>
      </c>
      <c r="B93">
        <v>117.7</v>
      </c>
      <c r="D93">
        <v>142.69999999999999</v>
      </c>
      <c r="G93">
        <v>136.80000000000001</v>
      </c>
      <c r="H93">
        <v>111.5</v>
      </c>
      <c r="J93">
        <v>74.400000000000006</v>
      </c>
      <c r="N93">
        <v>90.3</v>
      </c>
      <c r="O93">
        <v>153.80000000000001</v>
      </c>
      <c r="P93">
        <v>192.9</v>
      </c>
      <c r="Q93">
        <v>115.4</v>
      </c>
      <c r="R93">
        <v>119.2</v>
      </c>
    </row>
    <row r="94" spans="1:18" x14ac:dyDescent="0.45">
      <c r="A94" t="s">
        <v>227</v>
      </c>
      <c r="B94">
        <v>115.9</v>
      </c>
      <c r="D94">
        <v>144.19999999999999</v>
      </c>
      <c r="G94">
        <v>139.80000000000001</v>
      </c>
      <c r="H94">
        <v>113.3</v>
      </c>
      <c r="J94">
        <v>73.8</v>
      </c>
      <c r="N94">
        <v>89.7</v>
      </c>
      <c r="O94">
        <v>154.69999999999999</v>
      </c>
      <c r="P94">
        <v>193.7</v>
      </c>
      <c r="Q94">
        <v>112.9</v>
      </c>
      <c r="R94">
        <v>118.2</v>
      </c>
    </row>
    <row r="95" spans="1:18" x14ac:dyDescent="0.45">
      <c r="A95" t="s">
        <v>228</v>
      </c>
      <c r="B95">
        <v>113.4</v>
      </c>
      <c r="D95">
        <v>144.1</v>
      </c>
      <c r="G95">
        <v>142</v>
      </c>
      <c r="H95">
        <v>115.1</v>
      </c>
      <c r="J95">
        <v>73.900000000000006</v>
      </c>
      <c r="N95">
        <v>90.8</v>
      </c>
      <c r="O95">
        <v>155</v>
      </c>
      <c r="P95">
        <v>193.6</v>
      </c>
      <c r="Q95">
        <v>112.2</v>
      </c>
      <c r="R95">
        <v>118.3</v>
      </c>
    </row>
    <row r="96" spans="1:18" x14ac:dyDescent="0.45">
      <c r="A96" t="s">
        <v>229</v>
      </c>
      <c r="B96">
        <v>113.5</v>
      </c>
      <c r="D96">
        <v>145.30000000000001</v>
      </c>
      <c r="G96">
        <v>142.6</v>
      </c>
      <c r="H96">
        <v>116.9</v>
      </c>
      <c r="J96">
        <v>72.599999999999994</v>
      </c>
      <c r="N96">
        <v>90.4</v>
      </c>
      <c r="O96">
        <v>154.9</v>
      </c>
      <c r="P96">
        <v>191.8</v>
      </c>
      <c r="Q96">
        <v>112.4</v>
      </c>
      <c r="R96">
        <v>118.5</v>
      </c>
    </row>
    <row r="97" spans="1:18" x14ac:dyDescent="0.45">
      <c r="A97" t="s">
        <v>230</v>
      </c>
      <c r="B97">
        <v>112.2</v>
      </c>
      <c r="D97">
        <v>144.80000000000001</v>
      </c>
      <c r="G97">
        <v>141.30000000000001</v>
      </c>
      <c r="H97">
        <v>119.6</v>
      </c>
      <c r="J97">
        <v>74.8</v>
      </c>
      <c r="N97">
        <v>91.1</v>
      </c>
      <c r="O97">
        <v>154.1</v>
      </c>
      <c r="P97">
        <v>188</v>
      </c>
      <c r="Q97">
        <v>113.9</v>
      </c>
      <c r="R97">
        <v>118.8</v>
      </c>
    </row>
    <row r="98" spans="1:18" x14ac:dyDescent="0.45">
      <c r="A98" t="s">
        <v>231</v>
      </c>
      <c r="B98">
        <v>111.8</v>
      </c>
      <c r="D98">
        <v>144.80000000000001</v>
      </c>
      <c r="G98">
        <v>140</v>
      </c>
      <c r="H98">
        <v>117.4</v>
      </c>
      <c r="J98">
        <v>71.400000000000006</v>
      </c>
      <c r="N98">
        <v>88.9</v>
      </c>
      <c r="O98">
        <v>152</v>
      </c>
      <c r="P98">
        <v>188</v>
      </c>
      <c r="Q98">
        <v>111.8</v>
      </c>
      <c r="R98">
        <v>118.8</v>
      </c>
    </row>
    <row r="99" spans="1:18" x14ac:dyDescent="0.45">
      <c r="A99" t="s">
        <v>232</v>
      </c>
      <c r="B99">
        <v>112.5</v>
      </c>
      <c r="D99">
        <v>144.1</v>
      </c>
      <c r="G99">
        <v>137.69999999999999</v>
      </c>
      <c r="H99">
        <v>118</v>
      </c>
      <c r="J99">
        <v>71.2</v>
      </c>
      <c r="N99">
        <v>88.5</v>
      </c>
      <c r="O99">
        <v>149.69999999999999</v>
      </c>
      <c r="P99">
        <v>188</v>
      </c>
      <c r="Q99">
        <v>109.3</v>
      </c>
      <c r="R99">
        <v>118.9</v>
      </c>
    </row>
    <row r="100" spans="1:18" x14ac:dyDescent="0.45">
      <c r="A100" t="s">
        <v>233</v>
      </c>
      <c r="B100">
        <v>112.9</v>
      </c>
      <c r="D100">
        <v>142.9</v>
      </c>
      <c r="G100">
        <v>135.5</v>
      </c>
      <c r="H100">
        <v>119.1</v>
      </c>
      <c r="J100">
        <v>69.099999999999994</v>
      </c>
      <c r="N100">
        <v>87</v>
      </c>
      <c r="O100">
        <v>147.1</v>
      </c>
      <c r="P100">
        <v>188.1</v>
      </c>
      <c r="Q100">
        <v>109.2</v>
      </c>
      <c r="R100">
        <v>118.8</v>
      </c>
    </row>
    <row r="101" spans="1:18" x14ac:dyDescent="0.45">
      <c r="A101" t="s">
        <v>234</v>
      </c>
      <c r="B101">
        <v>112.9</v>
      </c>
      <c r="D101">
        <v>142.30000000000001</v>
      </c>
      <c r="G101">
        <v>136.30000000000001</v>
      </c>
      <c r="H101">
        <v>120.3</v>
      </c>
      <c r="J101">
        <v>71.400000000000006</v>
      </c>
      <c r="N101">
        <v>86.8</v>
      </c>
      <c r="O101">
        <v>144.30000000000001</v>
      </c>
      <c r="P101">
        <v>188</v>
      </c>
      <c r="Q101">
        <v>110.5</v>
      </c>
      <c r="R101">
        <v>119.4</v>
      </c>
    </row>
    <row r="102" spans="1:18" x14ac:dyDescent="0.45">
      <c r="A102" t="s">
        <v>235</v>
      </c>
      <c r="B102">
        <v>113.2</v>
      </c>
      <c r="D102">
        <v>143</v>
      </c>
      <c r="G102">
        <v>134.5</v>
      </c>
      <c r="H102">
        <v>116.6</v>
      </c>
      <c r="J102">
        <v>70.099999999999994</v>
      </c>
      <c r="N102">
        <v>85.2</v>
      </c>
      <c r="O102">
        <v>140.80000000000001</v>
      </c>
      <c r="P102">
        <v>188.6</v>
      </c>
      <c r="Q102">
        <v>109.5</v>
      </c>
      <c r="R102">
        <v>119.2</v>
      </c>
    </row>
    <row r="103" spans="1:18" x14ac:dyDescent="0.45">
      <c r="A103" t="s">
        <v>236</v>
      </c>
      <c r="B103">
        <v>113.6</v>
      </c>
      <c r="D103">
        <v>141.80000000000001</v>
      </c>
      <c r="G103">
        <v>135.5</v>
      </c>
      <c r="H103">
        <v>117.9</v>
      </c>
      <c r="J103">
        <v>70.599999999999994</v>
      </c>
      <c r="N103">
        <v>84.9</v>
      </c>
      <c r="O103">
        <v>137.30000000000001</v>
      </c>
      <c r="P103">
        <v>189.1</v>
      </c>
      <c r="Q103">
        <v>110.1</v>
      </c>
      <c r="R103">
        <v>120.2</v>
      </c>
    </row>
    <row r="104" spans="1:18" x14ac:dyDescent="0.45">
      <c r="A104" t="s">
        <v>237</v>
      </c>
      <c r="B104">
        <v>113.5</v>
      </c>
      <c r="D104">
        <v>141.9</v>
      </c>
      <c r="G104">
        <v>134.80000000000001</v>
      </c>
      <c r="H104">
        <v>118.3</v>
      </c>
      <c r="J104">
        <v>69.099999999999994</v>
      </c>
      <c r="N104">
        <v>83.7</v>
      </c>
      <c r="O104">
        <v>134.19999999999999</v>
      </c>
      <c r="P104">
        <v>188.5</v>
      </c>
      <c r="Q104">
        <v>109.5</v>
      </c>
      <c r="R104">
        <v>120.7</v>
      </c>
    </row>
    <row r="105" spans="1:18" x14ac:dyDescent="0.45">
      <c r="A105" t="s">
        <v>238</v>
      </c>
      <c r="B105">
        <v>114.1</v>
      </c>
      <c r="D105">
        <v>141.9</v>
      </c>
      <c r="G105">
        <v>133.9</v>
      </c>
      <c r="H105">
        <v>119.3</v>
      </c>
      <c r="J105">
        <v>69.8</v>
      </c>
      <c r="N105">
        <v>83.1</v>
      </c>
      <c r="O105">
        <v>131.6</v>
      </c>
      <c r="P105">
        <v>190.6</v>
      </c>
      <c r="Q105">
        <v>111.6</v>
      </c>
      <c r="R105">
        <v>121.5</v>
      </c>
    </row>
    <row r="106" spans="1:18" x14ac:dyDescent="0.45">
      <c r="A106" t="s">
        <v>239</v>
      </c>
      <c r="B106">
        <v>114.6</v>
      </c>
      <c r="D106">
        <v>142</v>
      </c>
      <c r="G106">
        <v>133.1</v>
      </c>
      <c r="H106">
        <v>120.1</v>
      </c>
      <c r="J106">
        <v>68.400000000000006</v>
      </c>
      <c r="N106">
        <v>81.8</v>
      </c>
      <c r="O106">
        <v>130.69999999999999</v>
      </c>
      <c r="P106">
        <v>192.8</v>
      </c>
      <c r="Q106">
        <v>108.8</v>
      </c>
      <c r="R106">
        <v>121.8</v>
      </c>
    </row>
    <row r="107" spans="1:18" x14ac:dyDescent="0.45">
      <c r="A107" t="s">
        <v>240</v>
      </c>
      <c r="B107">
        <v>115.5</v>
      </c>
      <c r="D107">
        <v>142.1</v>
      </c>
      <c r="G107">
        <v>132.80000000000001</v>
      </c>
      <c r="H107">
        <v>121.6</v>
      </c>
      <c r="J107">
        <v>68.3</v>
      </c>
      <c r="N107">
        <v>82.5</v>
      </c>
      <c r="O107">
        <v>128.80000000000001</v>
      </c>
      <c r="P107">
        <v>193.5</v>
      </c>
      <c r="Q107">
        <v>109.3</v>
      </c>
      <c r="R107">
        <v>122.3</v>
      </c>
    </row>
    <row r="108" spans="1:18" x14ac:dyDescent="0.45">
      <c r="A108" t="s">
        <v>241</v>
      </c>
      <c r="B108">
        <v>114.3</v>
      </c>
      <c r="D108">
        <v>142.19999999999999</v>
      </c>
      <c r="G108">
        <v>131.9</v>
      </c>
      <c r="H108">
        <v>122.7</v>
      </c>
      <c r="J108">
        <v>67.2</v>
      </c>
      <c r="N108">
        <v>81.599999999999994</v>
      </c>
      <c r="O108">
        <v>128.5</v>
      </c>
      <c r="P108">
        <v>192.7</v>
      </c>
      <c r="Q108">
        <v>109</v>
      </c>
      <c r="R108">
        <v>122.5</v>
      </c>
    </row>
    <row r="109" spans="1:18" x14ac:dyDescent="0.45">
      <c r="A109" t="s">
        <v>242</v>
      </c>
      <c r="B109">
        <v>115.9</v>
      </c>
      <c r="D109">
        <v>142</v>
      </c>
      <c r="G109">
        <v>131.4</v>
      </c>
      <c r="H109">
        <v>124.3</v>
      </c>
      <c r="J109">
        <v>68.099999999999994</v>
      </c>
      <c r="N109">
        <v>82.6</v>
      </c>
      <c r="O109">
        <v>130.1</v>
      </c>
      <c r="P109">
        <v>193.7</v>
      </c>
      <c r="Q109">
        <v>108.3</v>
      </c>
      <c r="R109">
        <v>122.3</v>
      </c>
    </row>
    <row r="110" spans="1:18" x14ac:dyDescent="0.45">
      <c r="A110" t="s">
        <v>243</v>
      </c>
      <c r="B110">
        <v>115.8</v>
      </c>
      <c r="D110">
        <v>144.19999999999999</v>
      </c>
      <c r="G110">
        <v>132.1</v>
      </c>
      <c r="H110">
        <v>124.8</v>
      </c>
      <c r="J110">
        <v>67.099999999999994</v>
      </c>
      <c r="N110">
        <v>83</v>
      </c>
      <c r="O110">
        <v>139.80000000000001</v>
      </c>
      <c r="P110">
        <v>195.7</v>
      </c>
      <c r="Q110">
        <v>107.8</v>
      </c>
      <c r="R110">
        <v>122.1</v>
      </c>
    </row>
    <row r="111" spans="1:18" x14ac:dyDescent="0.45">
      <c r="A111" t="s">
        <v>244</v>
      </c>
      <c r="B111">
        <v>117.3</v>
      </c>
      <c r="D111">
        <v>144.69999999999999</v>
      </c>
      <c r="G111">
        <v>132.30000000000001</v>
      </c>
      <c r="H111">
        <v>125.8</v>
      </c>
      <c r="J111">
        <v>67.599999999999994</v>
      </c>
      <c r="N111">
        <v>84.2</v>
      </c>
      <c r="O111">
        <v>139.4</v>
      </c>
      <c r="P111">
        <v>195.8</v>
      </c>
      <c r="Q111">
        <v>109.6</v>
      </c>
      <c r="R111">
        <v>122.7</v>
      </c>
    </row>
    <row r="112" spans="1:18" x14ac:dyDescent="0.45">
      <c r="A112" t="s">
        <v>245</v>
      </c>
      <c r="B112">
        <v>118.2</v>
      </c>
      <c r="D112">
        <v>145.1</v>
      </c>
      <c r="G112">
        <v>131.69999999999999</v>
      </c>
      <c r="H112">
        <v>126.3</v>
      </c>
      <c r="J112">
        <v>66.5</v>
      </c>
      <c r="N112">
        <v>85</v>
      </c>
      <c r="O112">
        <v>138.80000000000001</v>
      </c>
      <c r="P112">
        <v>193.9</v>
      </c>
      <c r="Q112">
        <v>111.6</v>
      </c>
      <c r="R112">
        <v>123.5</v>
      </c>
    </row>
    <row r="113" spans="1:18" x14ac:dyDescent="0.45">
      <c r="A113" t="s">
        <v>246</v>
      </c>
      <c r="B113">
        <v>121.3</v>
      </c>
      <c r="D113">
        <v>145.1</v>
      </c>
      <c r="G113">
        <v>131.4</v>
      </c>
      <c r="H113">
        <v>127.5</v>
      </c>
      <c r="J113">
        <v>67.7</v>
      </c>
      <c r="N113">
        <v>85.9</v>
      </c>
      <c r="O113">
        <v>136.4</v>
      </c>
      <c r="P113">
        <v>192.9</v>
      </c>
      <c r="Q113">
        <v>111.4</v>
      </c>
      <c r="R113">
        <v>124.1</v>
      </c>
    </row>
    <row r="114" spans="1:18" x14ac:dyDescent="0.45">
      <c r="A114" t="s">
        <v>247</v>
      </c>
      <c r="B114">
        <v>121.7</v>
      </c>
      <c r="D114">
        <v>146.5</v>
      </c>
      <c r="G114">
        <v>131.19999999999999</v>
      </c>
      <c r="H114">
        <v>127.5</v>
      </c>
      <c r="J114">
        <v>67.099999999999994</v>
      </c>
      <c r="N114">
        <v>86.7</v>
      </c>
      <c r="O114">
        <v>138.9</v>
      </c>
      <c r="P114">
        <v>192</v>
      </c>
      <c r="Q114">
        <v>112.9</v>
      </c>
      <c r="R114">
        <v>124.9</v>
      </c>
    </row>
    <row r="115" spans="1:18" x14ac:dyDescent="0.45">
      <c r="A115" t="s">
        <v>248</v>
      </c>
      <c r="B115">
        <v>124.5</v>
      </c>
      <c r="D115">
        <v>148.69999999999999</v>
      </c>
      <c r="G115">
        <v>130.80000000000001</v>
      </c>
      <c r="H115">
        <v>128.1</v>
      </c>
      <c r="J115">
        <v>67.400000000000006</v>
      </c>
      <c r="N115">
        <v>89.4</v>
      </c>
      <c r="O115">
        <v>138.80000000000001</v>
      </c>
      <c r="P115">
        <v>192</v>
      </c>
      <c r="Q115">
        <v>114.5</v>
      </c>
      <c r="R115">
        <v>127</v>
      </c>
    </row>
    <row r="116" spans="1:18" x14ac:dyDescent="0.45">
      <c r="A116" t="s">
        <v>249</v>
      </c>
      <c r="B116">
        <v>125.2</v>
      </c>
      <c r="D116">
        <v>150.80000000000001</v>
      </c>
      <c r="G116">
        <v>130.1</v>
      </c>
      <c r="H116">
        <v>129.4</v>
      </c>
      <c r="J116">
        <v>66.599999999999994</v>
      </c>
      <c r="N116">
        <v>89.6</v>
      </c>
      <c r="O116">
        <v>141.4</v>
      </c>
      <c r="P116">
        <v>189.9</v>
      </c>
      <c r="Q116">
        <v>118.4</v>
      </c>
      <c r="R116">
        <v>128.1</v>
      </c>
    </row>
    <row r="117" spans="1:18" x14ac:dyDescent="0.45">
      <c r="A117" t="s">
        <v>250</v>
      </c>
      <c r="B117">
        <v>126.5</v>
      </c>
      <c r="D117">
        <v>151.30000000000001</v>
      </c>
      <c r="G117">
        <v>129.5</v>
      </c>
      <c r="H117">
        <v>131.9</v>
      </c>
      <c r="J117">
        <v>68.2</v>
      </c>
      <c r="N117">
        <v>92.1</v>
      </c>
      <c r="O117">
        <v>141.1</v>
      </c>
      <c r="P117">
        <v>189.6</v>
      </c>
      <c r="Q117">
        <v>119.5</v>
      </c>
      <c r="R117">
        <v>129.4</v>
      </c>
    </row>
    <row r="118" spans="1:18" x14ac:dyDescent="0.45">
      <c r="A118" t="s">
        <v>251</v>
      </c>
      <c r="B118">
        <v>127.7</v>
      </c>
      <c r="D118">
        <v>149.9</v>
      </c>
      <c r="G118">
        <v>130</v>
      </c>
      <c r="H118">
        <v>129.4</v>
      </c>
      <c r="J118">
        <v>67.7</v>
      </c>
      <c r="N118">
        <v>96</v>
      </c>
      <c r="O118">
        <v>143.80000000000001</v>
      </c>
      <c r="P118">
        <v>194.1</v>
      </c>
      <c r="Q118">
        <v>122.6</v>
      </c>
      <c r="R118">
        <v>130.4</v>
      </c>
    </row>
    <row r="119" spans="1:18" x14ac:dyDescent="0.45">
      <c r="A119" t="s">
        <v>252</v>
      </c>
      <c r="B119">
        <v>127.3</v>
      </c>
      <c r="D119">
        <v>148.80000000000001</v>
      </c>
      <c r="G119">
        <v>132.5</v>
      </c>
      <c r="H119">
        <v>131.5</v>
      </c>
      <c r="J119">
        <v>71.099999999999994</v>
      </c>
      <c r="N119">
        <v>103</v>
      </c>
      <c r="O119">
        <v>143.4</v>
      </c>
      <c r="P119">
        <v>197.2</v>
      </c>
      <c r="Q119">
        <v>125.3</v>
      </c>
      <c r="R119">
        <v>131.30000000000001</v>
      </c>
    </row>
    <row r="120" spans="1:18" x14ac:dyDescent="0.45">
      <c r="A120" t="s">
        <v>253</v>
      </c>
      <c r="B120">
        <v>129</v>
      </c>
      <c r="D120">
        <v>147.19999999999999</v>
      </c>
      <c r="G120">
        <v>133.6</v>
      </c>
      <c r="H120">
        <v>132.9</v>
      </c>
      <c r="J120">
        <v>71.8</v>
      </c>
      <c r="N120">
        <v>104.3</v>
      </c>
      <c r="O120">
        <v>143.1</v>
      </c>
      <c r="P120">
        <v>198.9</v>
      </c>
      <c r="Q120">
        <v>126.3</v>
      </c>
      <c r="R120">
        <v>133.1</v>
      </c>
    </row>
    <row r="121" spans="1:18" x14ac:dyDescent="0.45">
      <c r="A121" t="s">
        <v>254</v>
      </c>
      <c r="B121">
        <v>131.80000000000001</v>
      </c>
      <c r="D121">
        <v>144.6</v>
      </c>
      <c r="G121">
        <v>135.30000000000001</v>
      </c>
      <c r="H121">
        <v>136.4</v>
      </c>
      <c r="J121">
        <v>74.8</v>
      </c>
      <c r="N121">
        <v>107.5</v>
      </c>
      <c r="O121">
        <v>146.80000000000001</v>
      </c>
      <c r="P121">
        <v>197.2</v>
      </c>
      <c r="Q121">
        <v>128.30000000000001</v>
      </c>
      <c r="R121">
        <v>133.9</v>
      </c>
    </row>
    <row r="122" spans="1:18" x14ac:dyDescent="0.45">
      <c r="A122" t="s">
        <v>255</v>
      </c>
      <c r="B122">
        <v>132.80000000000001</v>
      </c>
      <c r="D122">
        <v>147.1</v>
      </c>
      <c r="G122">
        <v>135.30000000000001</v>
      </c>
      <c r="H122">
        <v>138.80000000000001</v>
      </c>
      <c r="J122">
        <v>74.3</v>
      </c>
      <c r="N122">
        <v>111.8</v>
      </c>
      <c r="O122">
        <v>145.6</v>
      </c>
      <c r="P122">
        <v>193.2</v>
      </c>
      <c r="Q122">
        <v>129.69999999999999</v>
      </c>
      <c r="R122">
        <v>134.80000000000001</v>
      </c>
    </row>
    <row r="123" spans="1:18" x14ac:dyDescent="0.45">
      <c r="A123" t="s">
        <v>256</v>
      </c>
      <c r="B123">
        <v>135</v>
      </c>
      <c r="D123">
        <v>146.19999999999999</v>
      </c>
      <c r="G123">
        <v>136.80000000000001</v>
      </c>
      <c r="H123">
        <v>141.5</v>
      </c>
      <c r="J123">
        <v>75</v>
      </c>
      <c r="N123">
        <v>115.8</v>
      </c>
      <c r="O123">
        <v>145.9</v>
      </c>
      <c r="P123">
        <v>192.1</v>
      </c>
      <c r="Q123">
        <v>133</v>
      </c>
      <c r="R123">
        <v>135.69999999999999</v>
      </c>
    </row>
    <row r="124" spans="1:18" x14ac:dyDescent="0.45">
      <c r="A124" t="s">
        <v>257</v>
      </c>
      <c r="B124">
        <v>135.80000000000001</v>
      </c>
      <c r="D124">
        <v>145.6</v>
      </c>
      <c r="G124">
        <v>138.80000000000001</v>
      </c>
      <c r="H124">
        <v>141.9</v>
      </c>
      <c r="J124">
        <v>75.599999999999994</v>
      </c>
      <c r="N124">
        <v>120.1</v>
      </c>
      <c r="O124">
        <v>149.5</v>
      </c>
      <c r="P124">
        <v>189.5</v>
      </c>
      <c r="Q124">
        <v>134.69999999999999</v>
      </c>
      <c r="R124">
        <v>136.19999999999999</v>
      </c>
    </row>
    <row r="125" spans="1:18" x14ac:dyDescent="0.45">
      <c r="A125" t="s">
        <v>258</v>
      </c>
      <c r="B125">
        <v>138.9</v>
      </c>
      <c r="D125">
        <v>143.9</v>
      </c>
      <c r="G125">
        <v>139.6</v>
      </c>
      <c r="H125">
        <v>147.69999999999999</v>
      </c>
      <c r="J125">
        <v>78.400000000000006</v>
      </c>
      <c r="N125">
        <v>122.3</v>
      </c>
      <c r="O125">
        <v>153.6</v>
      </c>
      <c r="P125">
        <v>189.4</v>
      </c>
      <c r="Q125">
        <v>135.5</v>
      </c>
      <c r="R125">
        <v>136.69999999999999</v>
      </c>
    </row>
    <row r="126" spans="1:18" x14ac:dyDescent="0.45">
      <c r="A126" t="s">
        <v>259</v>
      </c>
      <c r="B126">
        <v>141.1</v>
      </c>
      <c r="D126">
        <v>146.69999999999999</v>
      </c>
      <c r="G126">
        <v>141.19999999999999</v>
      </c>
      <c r="H126">
        <v>148.19999999999999</v>
      </c>
      <c r="J126">
        <v>78.900000000000006</v>
      </c>
      <c r="N126">
        <v>122.9</v>
      </c>
      <c r="O126">
        <v>152.30000000000001</v>
      </c>
      <c r="P126">
        <v>195.6</v>
      </c>
      <c r="Q126">
        <v>139.1</v>
      </c>
      <c r="R126">
        <v>136.30000000000001</v>
      </c>
    </row>
    <row r="127" spans="1:18" x14ac:dyDescent="0.45">
      <c r="A127" t="s">
        <v>260</v>
      </c>
      <c r="B127">
        <v>139.69999999999999</v>
      </c>
      <c r="D127">
        <v>146.69999999999999</v>
      </c>
      <c r="G127">
        <v>143.19999999999999</v>
      </c>
      <c r="H127">
        <v>148.69999999999999</v>
      </c>
      <c r="J127">
        <v>79.8</v>
      </c>
      <c r="N127">
        <v>126.1</v>
      </c>
      <c r="O127">
        <v>154.4</v>
      </c>
      <c r="P127">
        <v>191.9</v>
      </c>
      <c r="Q127">
        <v>140</v>
      </c>
      <c r="R127">
        <v>138.4</v>
      </c>
    </row>
    <row r="128" spans="1:18" x14ac:dyDescent="0.45">
      <c r="A128" t="s">
        <v>261</v>
      </c>
      <c r="B128">
        <v>140.5</v>
      </c>
      <c r="D128">
        <v>149.6</v>
      </c>
      <c r="G128">
        <v>144.1</v>
      </c>
      <c r="H128">
        <v>149.4</v>
      </c>
      <c r="J128">
        <v>79.900000000000006</v>
      </c>
      <c r="N128">
        <v>129.4</v>
      </c>
      <c r="O128">
        <v>155.9</v>
      </c>
      <c r="P128">
        <v>188.1</v>
      </c>
      <c r="Q128">
        <v>141.30000000000001</v>
      </c>
      <c r="R128">
        <v>140.4</v>
      </c>
    </row>
    <row r="129" spans="1:18" x14ac:dyDescent="0.45">
      <c r="A129" t="s">
        <v>262</v>
      </c>
      <c r="B129">
        <v>139.19999999999999</v>
      </c>
      <c r="D129">
        <v>150.6</v>
      </c>
      <c r="G129">
        <v>145</v>
      </c>
      <c r="H129">
        <v>149.1</v>
      </c>
      <c r="J129">
        <v>81.8</v>
      </c>
      <c r="N129">
        <v>131.4</v>
      </c>
      <c r="O129">
        <v>160.9</v>
      </c>
      <c r="P129">
        <v>185</v>
      </c>
      <c r="Q129">
        <v>143.80000000000001</v>
      </c>
      <c r="R129">
        <v>141.4</v>
      </c>
    </row>
    <row r="130" spans="1:18" x14ac:dyDescent="0.45">
      <c r="A130" t="s">
        <v>263</v>
      </c>
      <c r="B130">
        <v>138.9</v>
      </c>
      <c r="D130">
        <v>153.9</v>
      </c>
      <c r="G130">
        <v>145.6</v>
      </c>
      <c r="H130">
        <v>148.4</v>
      </c>
      <c r="J130">
        <v>81.900000000000006</v>
      </c>
      <c r="N130">
        <v>133.5</v>
      </c>
      <c r="O130">
        <v>159.4</v>
      </c>
      <c r="P130">
        <v>187.1</v>
      </c>
      <c r="Q130">
        <v>145.9</v>
      </c>
      <c r="R130">
        <v>142</v>
      </c>
    </row>
    <row r="131" spans="1:18" x14ac:dyDescent="0.45">
      <c r="A131" t="s">
        <v>264</v>
      </c>
      <c r="B131">
        <v>142.19999999999999</v>
      </c>
      <c r="D131">
        <v>155</v>
      </c>
      <c r="G131">
        <v>145.4</v>
      </c>
      <c r="H131">
        <v>150.4</v>
      </c>
      <c r="J131">
        <v>83</v>
      </c>
      <c r="N131">
        <v>134.9</v>
      </c>
      <c r="O131">
        <v>159</v>
      </c>
      <c r="P131">
        <v>185.5</v>
      </c>
      <c r="Q131">
        <v>148.4</v>
      </c>
      <c r="R131">
        <v>143.19999999999999</v>
      </c>
    </row>
    <row r="132" spans="1:18" x14ac:dyDescent="0.45">
      <c r="A132" t="s">
        <v>265</v>
      </c>
      <c r="B132">
        <v>144.80000000000001</v>
      </c>
      <c r="D132">
        <v>155.80000000000001</v>
      </c>
      <c r="G132">
        <v>145</v>
      </c>
      <c r="H132">
        <v>150.69999999999999</v>
      </c>
      <c r="J132">
        <v>82.8</v>
      </c>
      <c r="N132">
        <v>135.30000000000001</v>
      </c>
      <c r="O132">
        <v>158.69999999999999</v>
      </c>
      <c r="P132">
        <v>184.8</v>
      </c>
      <c r="Q132">
        <v>153.80000000000001</v>
      </c>
      <c r="R132">
        <v>144.19999999999999</v>
      </c>
    </row>
    <row r="133" spans="1:18" x14ac:dyDescent="0.45">
      <c r="A133" t="s">
        <v>266</v>
      </c>
      <c r="B133">
        <v>145.1</v>
      </c>
      <c r="D133">
        <v>154.80000000000001</v>
      </c>
      <c r="G133">
        <v>145.30000000000001</v>
      </c>
      <c r="H133">
        <v>151.6</v>
      </c>
      <c r="J133">
        <v>84.3</v>
      </c>
      <c r="N133">
        <v>138.1</v>
      </c>
      <c r="O133">
        <v>160.6</v>
      </c>
      <c r="P133">
        <v>185.4</v>
      </c>
      <c r="Q133">
        <v>154</v>
      </c>
      <c r="R133">
        <v>145.6</v>
      </c>
    </row>
    <row r="134" spans="1:18" x14ac:dyDescent="0.45">
      <c r="A134" t="s">
        <v>267</v>
      </c>
      <c r="B134">
        <v>145.6</v>
      </c>
      <c r="D134">
        <v>151.9</v>
      </c>
      <c r="G134">
        <v>146.19999999999999</v>
      </c>
      <c r="H134">
        <v>152.1</v>
      </c>
      <c r="J134">
        <v>84.5</v>
      </c>
      <c r="N134">
        <v>139.30000000000001</v>
      </c>
      <c r="O134">
        <v>158.69999999999999</v>
      </c>
      <c r="P134">
        <v>187.4</v>
      </c>
      <c r="Q134">
        <v>151.69999999999999</v>
      </c>
      <c r="R134">
        <v>146.1</v>
      </c>
    </row>
    <row r="135" spans="1:18" x14ac:dyDescent="0.45">
      <c r="A135" t="s">
        <v>268</v>
      </c>
      <c r="B135">
        <v>148.19999999999999</v>
      </c>
      <c r="D135">
        <v>152.1</v>
      </c>
      <c r="G135">
        <v>146.5</v>
      </c>
      <c r="H135">
        <v>153.19999999999999</v>
      </c>
      <c r="J135">
        <v>85.9</v>
      </c>
      <c r="N135">
        <v>141.80000000000001</v>
      </c>
      <c r="O135">
        <v>160.19999999999999</v>
      </c>
      <c r="P135">
        <v>189.5</v>
      </c>
      <c r="Q135">
        <v>154.1</v>
      </c>
      <c r="R135">
        <v>148.5</v>
      </c>
    </row>
    <row r="136" spans="1:18" x14ac:dyDescent="0.45">
      <c r="A136" t="s">
        <v>269</v>
      </c>
      <c r="B136">
        <v>149.30000000000001</v>
      </c>
      <c r="D136">
        <v>151.6</v>
      </c>
      <c r="G136">
        <v>146</v>
      </c>
      <c r="H136">
        <v>153.30000000000001</v>
      </c>
      <c r="J136">
        <v>85.7</v>
      </c>
      <c r="N136">
        <v>143.5</v>
      </c>
      <c r="O136">
        <v>159.1</v>
      </c>
      <c r="P136">
        <v>192.2</v>
      </c>
      <c r="Q136">
        <v>154.5</v>
      </c>
      <c r="R136">
        <v>149.19999999999999</v>
      </c>
    </row>
    <row r="137" spans="1:18" x14ac:dyDescent="0.45">
      <c r="A137" t="s">
        <v>270</v>
      </c>
      <c r="B137">
        <v>152.69999999999999</v>
      </c>
      <c r="D137">
        <v>151.4</v>
      </c>
      <c r="G137">
        <v>144.6</v>
      </c>
      <c r="H137">
        <v>152.5</v>
      </c>
      <c r="J137">
        <v>88</v>
      </c>
      <c r="N137">
        <v>148.30000000000001</v>
      </c>
      <c r="O137">
        <v>157.9</v>
      </c>
      <c r="P137">
        <v>193.3</v>
      </c>
      <c r="Q137">
        <v>154.1</v>
      </c>
      <c r="R137">
        <v>149.30000000000001</v>
      </c>
    </row>
    <row r="138" spans="1:18" x14ac:dyDescent="0.45">
      <c r="A138" t="s">
        <v>271</v>
      </c>
      <c r="B138">
        <v>153.1</v>
      </c>
      <c r="D138">
        <v>154.80000000000001</v>
      </c>
      <c r="G138">
        <v>144.9</v>
      </c>
      <c r="H138">
        <v>149.30000000000001</v>
      </c>
      <c r="J138">
        <v>87.7</v>
      </c>
      <c r="N138">
        <v>150.80000000000001</v>
      </c>
      <c r="O138">
        <v>157.1</v>
      </c>
      <c r="P138">
        <v>197.8</v>
      </c>
      <c r="Q138">
        <v>153.69999999999999</v>
      </c>
      <c r="R138">
        <v>149.69999999999999</v>
      </c>
    </row>
    <row r="139" spans="1:18" x14ac:dyDescent="0.45">
      <c r="A139" t="s">
        <v>272</v>
      </c>
      <c r="B139">
        <v>155.19999999999999</v>
      </c>
      <c r="D139">
        <v>154.5</v>
      </c>
      <c r="G139">
        <v>146.5</v>
      </c>
      <c r="H139">
        <v>147.69999999999999</v>
      </c>
      <c r="J139">
        <v>89.7</v>
      </c>
      <c r="N139">
        <v>155.69999999999999</v>
      </c>
      <c r="O139">
        <v>157.80000000000001</v>
      </c>
      <c r="P139">
        <v>192.6</v>
      </c>
      <c r="Q139">
        <v>154.1</v>
      </c>
      <c r="R139">
        <v>150.6</v>
      </c>
    </row>
    <row r="140" spans="1:18" x14ac:dyDescent="0.45">
      <c r="A140" t="s">
        <v>273</v>
      </c>
      <c r="B140">
        <v>156.19999999999999</v>
      </c>
      <c r="D140">
        <v>153.69999999999999</v>
      </c>
      <c r="G140">
        <v>147.30000000000001</v>
      </c>
      <c r="H140">
        <v>146.19999999999999</v>
      </c>
      <c r="J140">
        <v>89.9</v>
      </c>
      <c r="N140">
        <v>157.6</v>
      </c>
      <c r="O140">
        <v>156.9</v>
      </c>
      <c r="P140">
        <v>192</v>
      </c>
      <c r="Q140">
        <v>156.6</v>
      </c>
      <c r="R140">
        <v>151.4</v>
      </c>
    </row>
    <row r="141" spans="1:18" x14ac:dyDescent="0.45">
      <c r="A141" t="s">
        <v>274</v>
      </c>
      <c r="B141">
        <v>158.69999999999999</v>
      </c>
      <c r="D141">
        <v>153.69999999999999</v>
      </c>
      <c r="G141">
        <v>147.6</v>
      </c>
      <c r="H141">
        <v>144.80000000000001</v>
      </c>
      <c r="J141">
        <v>92</v>
      </c>
      <c r="N141">
        <v>162</v>
      </c>
      <c r="O141">
        <v>159.19999999999999</v>
      </c>
      <c r="P141">
        <v>191.3</v>
      </c>
      <c r="Q141">
        <v>157.6</v>
      </c>
      <c r="R141">
        <v>153.19999999999999</v>
      </c>
    </row>
    <row r="142" spans="1:18" x14ac:dyDescent="0.45">
      <c r="A142" t="s">
        <v>275</v>
      </c>
      <c r="B142">
        <v>160</v>
      </c>
      <c r="D142">
        <v>151.1</v>
      </c>
      <c r="G142">
        <v>147.6</v>
      </c>
      <c r="H142">
        <v>143.80000000000001</v>
      </c>
      <c r="J142">
        <v>92.9</v>
      </c>
      <c r="N142">
        <v>165.5</v>
      </c>
      <c r="O142">
        <v>159.5</v>
      </c>
      <c r="P142">
        <v>191.4</v>
      </c>
      <c r="Q142">
        <v>158.30000000000001</v>
      </c>
      <c r="R142">
        <v>153.30000000000001</v>
      </c>
    </row>
    <row r="143" spans="1:18" x14ac:dyDescent="0.45">
      <c r="A143" t="s">
        <v>276</v>
      </c>
      <c r="B143">
        <v>164</v>
      </c>
      <c r="D143">
        <v>152.80000000000001</v>
      </c>
      <c r="G143">
        <v>149.80000000000001</v>
      </c>
      <c r="H143">
        <v>145</v>
      </c>
      <c r="J143">
        <v>94.4</v>
      </c>
      <c r="N143">
        <v>171.5</v>
      </c>
      <c r="O143">
        <v>164.3</v>
      </c>
      <c r="P143">
        <v>191.1</v>
      </c>
      <c r="Q143">
        <v>162</v>
      </c>
      <c r="R143">
        <v>154.80000000000001</v>
      </c>
    </row>
    <row r="144" spans="1:18" x14ac:dyDescent="0.45">
      <c r="A144" t="s">
        <v>277</v>
      </c>
      <c r="B144">
        <v>166</v>
      </c>
      <c r="D144">
        <v>151.9</v>
      </c>
      <c r="G144">
        <v>149.9</v>
      </c>
      <c r="H144">
        <v>145.5</v>
      </c>
      <c r="J144">
        <v>95</v>
      </c>
      <c r="N144">
        <v>173.8</v>
      </c>
      <c r="O144">
        <v>165.2</v>
      </c>
      <c r="P144">
        <v>189.5</v>
      </c>
      <c r="Q144">
        <v>163.80000000000001</v>
      </c>
      <c r="R144">
        <v>156</v>
      </c>
    </row>
    <row r="145" spans="1:18" x14ac:dyDescent="0.45">
      <c r="A145" t="s">
        <v>278</v>
      </c>
      <c r="B145">
        <v>169.1</v>
      </c>
      <c r="D145">
        <v>149.69999999999999</v>
      </c>
      <c r="G145">
        <v>151.30000000000001</v>
      </c>
      <c r="H145">
        <v>145.69999999999999</v>
      </c>
      <c r="J145">
        <v>97.3</v>
      </c>
      <c r="N145">
        <v>179.5</v>
      </c>
      <c r="O145">
        <v>167.8</v>
      </c>
      <c r="P145">
        <v>191.8</v>
      </c>
      <c r="Q145">
        <v>165.1</v>
      </c>
      <c r="R145">
        <v>157.30000000000001</v>
      </c>
    </row>
    <row r="146" spans="1:18" x14ac:dyDescent="0.45">
      <c r="A146" t="s">
        <v>279</v>
      </c>
      <c r="B146">
        <v>169.9</v>
      </c>
      <c r="D146">
        <v>149.9</v>
      </c>
      <c r="G146">
        <v>152</v>
      </c>
      <c r="H146">
        <v>146.69999999999999</v>
      </c>
      <c r="J146">
        <v>98.4</v>
      </c>
      <c r="N146">
        <v>185.6</v>
      </c>
      <c r="O146">
        <v>167.7</v>
      </c>
      <c r="P146">
        <v>186.3</v>
      </c>
      <c r="Q146">
        <v>165.9</v>
      </c>
      <c r="R146">
        <v>159</v>
      </c>
    </row>
    <row r="147" spans="1:18" x14ac:dyDescent="0.45">
      <c r="A147" t="s">
        <v>280</v>
      </c>
      <c r="B147">
        <v>173.9</v>
      </c>
      <c r="D147">
        <v>149.80000000000001</v>
      </c>
      <c r="G147">
        <v>153.69999999999999</v>
      </c>
      <c r="H147">
        <v>147.4</v>
      </c>
      <c r="J147">
        <v>100.2</v>
      </c>
      <c r="N147">
        <v>190.8</v>
      </c>
      <c r="O147">
        <v>169.7</v>
      </c>
      <c r="P147">
        <v>184.6</v>
      </c>
      <c r="Q147">
        <v>168.2</v>
      </c>
      <c r="R147">
        <v>160.9</v>
      </c>
    </row>
    <row r="148" spans="1:18" x14ac:dyDescent="0.45">
      <c r="A148" t="s">
        <v>281</v>
      </c>
      <c r="B148">
        <v>176.4</v>
      </c>
      <c r="D148">
        <v>152</v>
      </c>
      <c r="G148">
        <v>154.19999999999999</v>
      </c>
      <c r="H148">
        <v>147.30000000000001</v>
      </c>
      <c r="J148">
        <v>100.9</v>
      </c>
      <c r="N148">
        <v>194.8</v>
      </c>
      <c r="O148">
        <v>169.7</v>
      </c>
      <c r="P148">
        <v>185.3</v>
      </c>
      <c r="Q148">
        <v>171.5</v>
      </c>
      <c r="R148">
        <v>162.30000000000001</v>
      </c>
    </row>
    <row r="149" spans="1:18" x14ac:dyDescent="0.45">
      <c r="A149" t="s">
        <v>282</v>
      </c>
      <c r="B149">
        <v>178.5</v>
      </c>
      <c r="D149">
        <v>154.19999999999999</v>
      </c>
      <c r="G149">
        <v>155.4</v>
      </c>
      <c r="H149">
        <v>146</v>
      </c>
      <c r="J149">
        <v>103.3</v>
      </c>
      <c r="N149">
        <v>201.5</v>
      </c>
      <c r="O149">
        <v>171.8</v>
      </c>
      <c r="P149">
        <v>189</v>
      </c>
      <c r="Q149">
        <v>171.5</v>
      </c>
      <c r="R149">
        <v>163.9</v>
      </c>
    </row>
    <row r="150" spans="1:18" x14ac:dyDescent="0.45">
      <c r="A150" t="s">
        <v>283</v>
      </c>
      <c r="B150">
        <v>179.2</v>
      </c>
      <c r="D150">
        <v>159.5</v>
      </c>
      <c r="G150">
        <v>156.1</v>
      </c>
      <c r="H150">
        <v>143.6</v>
      </c>
      <c r="J150">
        <v>104.1</v>
      </c>
      <c r="N150">
        <v>204.7</v>
      </c>
      <c r="O150">
        <v>175.8</v>
      </c>
      <c r="P150">
        <v>195.7</v>
      </c>
      <c r="Q150">
        <v>170</v>
      </c>
      <c r="R150">
        <v>164.9</v>
      </c>
    </row>
    <row r="151" spans="1:18" x14ac:dyDescent="0.45">
      <c r="A151" t="s">
        <v>284</v>
      </c>
      <c r="B151">
        <v>181.8</v>
      </c>
      <c r="D151">
        <v>159.69999999999999</v>
      </c>
      <c r="G151">
        <v>158.4</v>
      </c>
      <c r="H151">
        <v>143</v>
      </c>
      <c r="J151">
        <v>106.7</v>
      </c>
      <c r="N151">
        <v>212.6</v>
      </c>
      <c r="O151">
        <v>180.9</v>
      </c>
      <c r="P151">
        <v>196.8</v>
      </c>
      <c r="Q151">
        <v>170.6</v>
      </c>
      <c r="R151">
        <v>167.5</v>
      </c>
    </row>
    <row r="152" spans="1:18" x14ac:dyDescent="0.45">
      <c r="A152" t="s">
        <v>285</v>
      </c>
      <c r="B152">
        <v>185.4</v>
      </c>
      <c r="D152">
        <v>161.30000000000001</v>
      </c>
      <c r="G152">
        <v>159.4</v>
      </c>
      <c r="H152">
        <v>141.69999999999999</v>
      </c>
      <c r="J152">
        <v>107.6</v>
      </c>
      <c r="N152">
        <v>214.4</v>
      </c>
      <c r="O152">
        <v>184.6</v>
      </c>
      <c r="P152">
        <v>195.8</v>
      </c>
      <c r="Q152">
        <v>173.9</v>
      </c>
      <c r="R152">
        <v>169.2</v>
      </c>
    </row>
    <row r="153" spans="1:18" x14ac:dyDescent="0.45">
      <c r="A153" t="s">
        <v>286</v>
      </c>
      <c r="B153">
        <v>187.4</v>
      </c>
      <c r="D153">
        <v>161.9</v>
      </c>
      <c r="G153">
        <v>159.4</v>
      </c>
      <c r="H153">
        <v>141.9</v>
      </c>
      <c r="J153">
        <v>111.3</v>
      </c>
      <c r="N153">
        <v>216.4</v>
      </c>
      <c r="O153">
        <v>190.4</v>
      </c>
      <c r="P153">
        <v>195.8</v>
      </c>
      <c r="Q153">
        <v>175.2</v>
      </c>
      <c r="R153">
        <v>170.6</v>
      </c>
    </row>
    <row r="154" spans="1:18" x14ac:dyDescent="0.45">
      <c r="A154" t="s">
        <v>287</v>
      </c>
      <c r="B154">
        <v>188.5</v>
      </c>
      <c r="D154">
        <v>165</v>
      </c>
      <c r="G154">
        <v>160.19999999999999</v>
      </c>
      <c r="H154">
        <v>141.1</v>
      </c>
      <c r="J154">
        <v>114.9</v>
      </c>
      <c r="N154">
        <v>215.4</v>
      </c>
      <c r="O154">
        <v>195.5</v>
      </c>
      <c r="P154">
        <v>194.3</v>
      </c>
      <c r="Q154">
        <v>178.1</v>
      </c>
      <c r="R154">
        <v>171.4</v>
      </c>
    </row>
    <row r="155" spans="1:18" x14ac:dyDescent="0.45">
      <c r="A155" t="s">
        <v>288</v>
      </c>
      <c r="B155">
        <v>188.6</v>
      </c>
      <c r="D155">
        <v>163.9</v>
      </c>
      <c r="G155">
        <v>163</v>
      </c>
      <c r="H155">
        <v>141.1</v>
      </c>
      <c r="J155">
        <v>115.3</v>
      </c>
      <c r="N155">
        <v>218.6</v>
      </c>
      <c r="O155">
        <v>202.5</v>
      </c>
      <c r="P155">
        <v>197.2</v>
      </c>
      <c r="Q155">
        <v>177.6</v>
      </c>
      <c r="R155">
        <v>171.2</v>
      </c>
    </row>
    <row r="156" spans="1:18" x14ac:dyDescent="0.45">
      <c r="A156" t="s">
        <v>289</v>
      </c>
      <c r="B156">
        <v>187.9</v>
      </c>
      <c r="D156">
        <v>164.2</v>
      </c>
      <c r="G156">
        <v>165.4</v>
      </c>
      <c r="H156">
        <v>141.5</v>
      </c>
      <c r="J156">
        <v>115.3</v>
      </c>
      <c r="N156">
        <v>219.7</v>
      </c>
      <c r="O156">
        <v>207.8</v>
      </c>
      <c r="P156">
        <v>197.6</v>
      </c>
      <c r="Q156">
        <v>178.3</v>
      </c>
      <c r="R156">
        <v>172</v>
      </c>
    </row>
    <row r="157" spans="1:18" x14ac:dyDescent="0.45">
      <c r="A157" t="s">
        <v>290</v>
      </c>
      <c r="B157">
        <v>188</v>
      </c>
      <c r="D157">
        <v>167.4</v>
      </c>
      <c r="G157">
        <v>166.5</v>
      </c>
      <c r="H157">
        <v>143.30000000000001</v>
      </c>
      <c r="J157">
        <v>114.9</v>
      </c>
      <c r="N157">
        <v>221.4</v>
      </c>
      <c r="O157">
        <v>218.6</v>
      </c>
      <c r="P157">
        <v>194</v>
      </c>
      <c r="Q157">
        <v>184.3</v>
      </c>
      <c r="R157">
        <v>170.7</v>
      </c>
    </row>
    <row r="158" spans="1:18" x14ac:dyDescent="0.45">
      <c r="A158" t="s">
        <v>291</v>
      </c>
      <c r="B158">
        <v>185.7</v>
      </c>
      <c r="D158">
        <v>171</v>
      </c>
      <c r="G158">
        <v>169</v>
      </c>
      <c r="H158">
        <v>144.80000000000001</v>
      </c>
      <c r="J158">
        <v>118.3</v>
      </c>
      <c r="N158">
        <v>223.9</v>
      </c>
      <c r="O158">
        <v>222.1</v>
      </c>
      <c r="P158">
        <v>197.1</v>
      </c>
      <c r="Q158">
        <v>183.9</v>
      </c>
      <c r="R158">
        <v>170.3</v>
      </c>
    </row>
    <row r="159" spans="1:18" x14ac:dyDescent="0.45">
      <c r="A159" t="s">
        <v>292</v>
      </c>
      <c r="B159">
        <v>184.4</v>
      </c>
      <c r="D159">
        <v>176.7</v>
      </c>
      <c r="G159">
        <v>171.1</v>
      </c>
      <c r="H159">
        <v>146.19999999999999</v>
      </c>
      <c r="J159">
        <v>122.1</v>
      </c>
      <c r="N159">
        <v>226.4</v>
      </c>
      <c r="O159">
        <v>226.4</v>
      </c>
      <c r="P159">
        <v>202.1</v>
      </c>
      <c r="Q159">
        <v>180.5</v>
      </c>
      <c r="R159">
        <v>170.9</v>
      </c>
    </row>
    <row r="160" spans="1:18" x14ac:dyDescent="0.45">
      <c r="A160" t="s">
        <v>293</v>
      </c>
      <c r="B160">
        <v>185.5</v>
      </c>
      <c r="D160">
        <v>181.8</v>
      </c>
      <c r="G160">
        <v>172.6</v>
      </c>
      <c r="H160">
        <v>146.19999999999999</v>
      </c>
      <c r="J160">
        <v>122.5</v>
      </c>
      <c r="N160">
        <v>228.4</v>
      </c>
      <c r="O160">
        <v>230.8</v>
      </c>
      <c r="P160">
        <v>204.1</v>
      </c>
      <c r="Q160">
        <v>184.1</v>
      </c>
      <c r="R160">
        <v>171.1</v>
      </c>
    </row>
    <row r="161" spans="1:18" x14ac:dyDescent="0.45">
      <c r="A161" t="s">
        <v>294</v>
      </c>
      <c r="B161">
        <v>186.4</v>
      </c>
      <c r="D161">
        <v>183.2</v>
      </c>
      <c r="G161">
        <v>173.7</v>
      </c>
      <c r="H161">
        <v>146.6</v>
      </c>
      <c r="J161">
        <v>123.4</v>
      </c>
      <c r="N161">
        <v>229.9</v>
      </c>
      <c r="O161">
        <v>233.5</v>
      </c>
      <c r="P161">
        <v>208.6</v>
      </c>
      <c r="Q161">
        <v>184</v>
      </c>
      <c r="R161">
        <v>169.5</v>
      </c>
    </row>
    <row r="162" spans="1:18" x14ac:dyDescent="0.45">
      <c r="A162" t="s">
        <v>295</v>
      </c>
      <c r="B162">
        <v>185.9</v>
      </c>
      <c r="D162">
        <v>182</v>
      </c>
      <c r="G162">
        <v>173.4</v>
      </c>
      <c r="H162">
        <v>145</v>
      </c>
      <c r="J162">
        <v>123.6</v>
      </c>
      <c r="N162">
        <v>230.9</v>
      </c>
      <c r="O162">
        <v>231.4</v>
      </c>
      <c r="P162">
        <v>209.1</v>
      </c>
      <c r="Q162">
        <v>185.2</v>
      </c>
      <c r="R162">
        <v>167.5</v>
      </c>
    </row>
    <row r="163" spans="1:18" x14ac:dyDescent="0.45">
      <c r="A163" t="s">
        <v>296</v>
      </c>
      <c r="B163">
        <v>184.3</v>
      </c>
      <c r="D163">
        <v>182.2</v>
      </c>
      <c r="G163">
        <v>172.8</v>
      </c>
      <c r="H163">
        <v>144.69999999999999</v>
      </c>
      <c r="J163">
        <v>123.9</v>
      </c>
      <c r="N163">
        <v>233.8</v>
      </c>
      <c r="O163">
        <v>229.7</v>
      </c>
      <c r="P163">
        <v>211.2</v>
      </c>
      <c r="Q163">
        <v>181.4</v>
      </c>
      <c r="R163">
        <v>165</v>
      </c>
    </row>
    <row r="164" spans="1:18" x14ac:dyDescent="0.45">
      <c r="A164" t="s">
        <v>297</v>
      </c>
      <c r="B164">
        <v>181.5</v>
      </c>
      <c r="D164">
        <v>180.9</v>
      </c>
      <c r="G164">
        <v>172.5</v>
      </c>
      <c r="H164">
        <v>143.69999999999999</v>
      </c>
      <c r="J164">
        <v>124.1</v>
      </c>
      <c r="N164">
        <v>232.2</v>
      </c>
      <c r="O164">
        <v>227</v>
      </c>
      <c r="P164">
        <v>209.7</v>
      </c>
      <c r="Q164">
        <v>180.9</v>
      </c>
      <c r="R164">
        <v>162.9</v>
      </c>
    </row>
    <row r="165" spans="1:18" x14ac:dyDescent="0.45">
      <c r="A165" t="s">
        <v>298</v>
      </c>
      <c r="B165">
        <v>177.9</v>
      </c>
      <c r="D165">
        <v>180</v>
      </c>
      <c r="G165">
        <v>174</v>
      </c>
      <c r="H165">
        <v>141.69999999999999</v>
      </c>
      <c r="J165">
        <v>124.1</v>
      </c>
      <c r="N165">
        <v>231</v>
      </c>
      <c r="O165">
        <v>221.7</v>
      </c>
      <c r="P165">
        <v>208.1</v>
      </c>
      <c r="Q165">
        <v>176.2</v>
      </c>
      <c r="R165">
        <v>160.69999999999999</v>
      </c>
    </row>
    <row r="166" spans="1:18" x14ac:dyDescent="0.45">
      <c r="A166" t="s">
        <v>299</v>
      </c>
      <c r="B166">
        <v>176.5</v>
      </c>
      <c r="D166">
        <v>180.3</v>
      </c>
      <c r="G166">
        <v>174.4</v>
      </c>
      <c r="H166">
        <v>138</v>
      </c>
      <c r="J166">
        <v>123.9</v>
      </c>
      <c r="N166">
        <v>228.6</v>
      </c>
      <c r="O166">
        <v>221.9</v>
      </c>
      <c r="P166">
        <v>214.4</v>
      </c>
      <c r="Q166">
        <v>174.9</v>
      </c>
      <c r="R166">
        <v>159</v>
      </c>
    </row>
    <row r="167" spans="1:18" x14ac:dyDescent="0.45">
      <c r="A167" t="s">
        <v>300</v>
      </c>
      <c r="B167">
        <v>174.6</v>
      </c>
      <c r="D167">
        <v>180.3</v>
      </c>
      <c r="G167">
        <v>177.1</v>
      </c>
      <c r="H167">
        <v>137.1</v>
      </c>
      <c r="J167">
        <v>124.1</v>
      </c>
      <c r="N167">
        <v>228.6</v>
      </c>
      <c r="O167">
        <v>222.4</v>
      </c>
      <c r="P167">
        <v>211.9</v>
      </c>
      <c r="Q167">
        <v>174.3</v>
      </c>
      <c r="R167">
        <v>157.69999999999999</v>
      </c>
    </row>
    <row r="168" spans="1:18" x14ac:dyDescent="0.45">
      <c r="A168" t="s">
        <v>301</v>
      </c>
      <c r="B168">
        <v>174.6</v>
      </c>
      <c r="D168">
        <v>181.6</v>
      </c>
      <c r="G168">
        <v>179.4</v>
      </c>
      <c r="H168">
        <v>137.9</v>
      </c>
      <c r="J168">
        <v>123.6</v>
      </c>
      <c r="N168">
        <v>227.2</v>
      </c>
      <c r="O168">
        <v>223.8</v>
      </c>
      <c r="P168">
        <v>214.4</v>
      </c>
      <c r="Q168">
        <v>173.3</v>
      </c>
      <c r="R168">
        <v>156.80000000000001</v>
      </c>
    </row>
    <row r="169" spans="1:18" x14ac:dyDescent="0.45">
      <c r="A169" t="s">
        <v>302</v>
      </c>
      <c r="B169">
        <v>173.4</v>
      </c>
      <c r="D169">
        <v>179.4</v>
      </c>
      <c r="G169">
        <v>180.6</v>
      </c>
      <c r="H169">
        <v>138</v>
      </c>
      <c r="J169">
        <v>122.9</v>
      </c>
      <c r="N169">
        <v>226.4</v>
      </c>
      <c r="O169">
        <v>225.1</v>
      </c>
      <c r="P169">
        <v>215.7</v>
      </c>
      <c r="Q169">
        <v>171.4</v>
      </c>
      <c r="R169">
        <v>156.1</v>
      </c>
    </row>
    <row r="170" spans="1:18" x14ac:dyDescent="0.45">
      <c r="A170" t="s">
        <v>303</v>
      </c>
      <c r="B170">
        <v>173.4</v>
      </c>
      <c r="D170">
        <v>179.9</v>
      </c>
      <c r="G170">
        <v>182.6</v>
      </c>
      <c r="H170">
        <v>137.4</v>
      </c>
      <c r="J170">
        <v>123.5</v>
      </c>
      <c r="N170">
        <v>226.8</v>
      </c>
      <c r="O170">
        <v>232.1</v>
      </c>
      <c r="P170">
        <v>216.9</v>
      </c>
      <c r="Q170">
        <v>173.5</v>
      </c>
      <c r="R170">
        <v>154.5</v>
      </c>
    </row>
    <row r="171" spans="1:18" x14ac:dyDescent="0.45">
      <c r="A171" t="s">
        <v>304</v>
      </c>
      <c r="B171">
        <v>174.4</v>
      </c>
      <c r="D171">
        <v>181.7</v>
      </c>
      <c r="G171">
        <v>184.7</v>
      </c>
      <c r="H171">
        <v>137.6</v>
      </c>
      <c r="J171">
        <v>124.1</v>
      </c>
      <c r="N171">
        <v>227.1</v>
      </c>
      <c r="O171">
        <v>231.1</v>
      </c>
      <c r="P171">
        <v>218</v>
      </c>
      <c r="Q171">
        <v>174.3</v>
      </c>
      <c r="R171">
        <v>153.4</v>
      </c>
    </row>
    <row r="172" spans="1:18" x14ac:dyDescent="0.45">
      <c r="A172" t="s">
        <v>305</v>
      </c>
      <c r="B172">
        <v>174.7</v>
      </c>
      <c r="D172">
        <v>183.7</v>
      </c>
      <c r="G172">
        <v>184.7</v>
      </c>
      <c r="H172">
        <v>137.19999999999999</v>
      </c>
      <c r="J172">
        <v>124.2</v>
      </c>
      <c r="N172">
        <v>225.8</v>
      </c>
      <c r="O172">
        <v>235.2</v>
      </c>
      <c r="P172">
        <v>220.6</v>
      </c>
      <c r="Q172">
        <v>174.4</v>
      </c>
      <c r="R172">
        <v>153</v>
      </c>
    </row>
    <row r="173" spans="1:18" x14ac:dyDescent="0.45">
      <c r="A173" t="s">
        <v>306</v>
      </c>
      <c r="B173">
        <v>175.5</v>
      </c>
      <c r="D173">
        <v>184.8</v>
      </c>
      <c r="G173">
        <v>185.1</v>
      </c>
      <c r="H173">
        <v>137</v>
      </c>
      <c r="J173">
        <v>125.1</v>
      </c>
      <c r="N173">
        <v>217.9</v>
      </c>
      <c r="O173">
        <v>228.2</v>
      </c>
      <c r="P173">
        <v>223.1</v>
      </c>
      <c r="Q173">
        <v>172</v>
      </c>
      <c r="R173">
        <v>152.69999999999999</v>
      </c>
    </row>
    <row r="174" spans="1:18" x14ac:dyDescent="0.45">
      <c r="A174" t="s">
        <v>307</v>
      </c>
      <c r="B174">
        <v>175.8</v>
      </c>
      <c r="D174">
        <v>187.1</v>
      </c>
      <c r="G174">
        <v>184.9</v>
      </c>
      <c r="H174">
        <v>138</v>
      </c>
      <c r="J174">
        <v>124.5</v>
      </c>
      <c r="N174">
        <v>214.8</v>
      </c>
      <c r="O174">
        <v>232.2</v>
      </c>
      <c r="P174">
        <v>223.6</v>
      </c>
      <c r="Q174">
        <v>169.9</v>
      </c>
      <c r="R174">
        <v>151.5</v>
      </c>
    </row>
    <row r="175" spans="1:18" x14ac:dyDescent="0.45">
      <c r="A175" t="s">
        <v>308</v>
      </c>
      <c r="B175">
        <v>179.2</v>
      </c>
      <c r="D175">
        <v>189.3</v>
      </c>
      <c r="G175">
        <v>183.1</v>
      </c>
      <c r="H175">
        <v>138.5</v>
      </c>
      <c r="J175">
        <v>124.1</v>
      </c>
      <c r="N175">
        <v>212.7</v>
      </c>
      <c r="O175">
        <v>234.7</v>
      </c>
      <c r="P175">
        <v>223.3</v>
      </c>
      <c r="Q175">
        <v>171.1</v>
      </c>
      <c r="R175">
        <v>151.6</v>
      </c>
    </row>
    <row r="176" spans="1:18" x14ac:dyDescent="0.45">
      <c r="A176" t="s">
        <v>309</v>
      </c>
      <c r="B176">
        <v>179.1</v>
      </c>
      <c r="D176">
        <v>190.1</v>
      </c>
      <c r="G176">
        <v>183.4</v>
      </c>
      <c r="H176">
        <v>138.69999999999999</v>
      </c>
      <c r="J176">
        <v>123.7</v>
      </c>
      <c r="N176">
        <v>210.2</v>
      </c>
      <c r="O176">
        <v>232.6</v>
      </c>
      <c r="P176">
        <v>221.7</v>
      </c>
      <c r="Q176">
        <v>168.7</v>
      </c>
      <c r="R176">
        <v>151.6</v>
      </c>
    </row>
    <row r="177" spans="1:18" x14ac:dyDescent="0.45">
      <c r="A177" t="s">
        <v>310</v>
      </c>
      <c r="B177">
        <v>181.4</v>
      </c>
      <c r="D177">
        <v>190.3</v>
      </c>
      <c r="G177">
        <v>182.8</v>
      </c>
      <c r="H177">
        <v>138.6</v>
      </c>
      <c r="J177">
        <v>123</v>
      </c>
      <c r="N177">
        <v>208</v>
      </c>
      <c r="O177">
        <v>232.1</v>
      </c>
      <c r="P177">
        <v>224.2</v>
      </c>
      <c r="Q177">
        <v>166.4</v>
      </c>
      <c r="R177">
        <v>151.6</v>
      </c>
    </row>
    <row r="178" spans="1:18" x14ac:dyDescent="0.45">
      <c r="A178" t="s">
        <v>311</v>
      </c>
      <c r="B178">
        <v>180.3</v>
      </c>
      <c r="D178">
        <v>192</v>
      </c>
      <c r="G178">
        <v>184.7</v>
      </c>
      <c r="H178">
        <v>137.69999999999999</v>
      </c>
      <c r="J178">
        <v>122.6</v>
      </c>
      <c r="N178">
        <v>204.5</v>
      </c>
      <c r="O178">
        <v>237</v>
      </c>
      <c r="P178">
        <v>224.6</v>
      </c>
      <c r="Q178">
        <v>163.5</v>
      </c>
      <c r="R178">
        <v>151.5</v>
      </c>
    </row>
    <row r="179" spans="1:18" x14ac:dyDescent="0.45">
      <c r="A179" t="s">
        <v>312</v>
      </c>
      <c r="B179">
        <v>182.3</v>
      </c>
      <c r="D179">
        <v>192.4</v>
      </c>
      <c r="G179">
        <v>187</v>
      </c>
      <c r="H179">
        <v>137.69999999999999</v>
      </c>
      <c r="J179">
        <v>122.6</v>
      </c>
      <c r="N179">
        <v>202.1</v>
      </c>
      <c r="O179">
        <v>235.3</v>
      </c>
      <c r="P179">
        <v>225.2</v>
      </c>
      <c r="Q179">
        <v>161.19999999999999</v>
      </c>
      <c r="R179">
        <v>151.19999999999999</v>
      </c>
    </row>
    <row r="180" spans="1:18" x14ac:dyDescent="0.45">
      <c r="A180" t="s">
        <v>313</v>
      </c>
      <c r="B180">
        <v>184.3</v>
      </c>
      <c r="D180">
        <v>194.1</v>
      </c>
      <c r="G180">
        <v>188.3</v>
      </c>
      <c r="H180">
        <v>136.4</v>
      </c>
      <c r="J180">
        <v>122.3</v>
      </c>
      <c r="N180">
        <v>199.1</v>
      </c>
      <c r="O180">
        <v>232.5</v>
      </c>
      <c r="P180">
        <v>222.7</v>
      </c>
      <c r="Q180">
        <v>159.80000000000001</v>
      </c>
      <c r="R180">
        <v>150.4</v>
      </c>
    </row>
    <row r="181" spans="1:18" x14ac:dyDescent="0.45">
      <c r="A181" t="s">
        <v>314</v>
      </c>
      <c r="B181">
        <v>186.8</v>
      </c>
      <c r="D181">
        <v>194.1</v>
      </c>
      <c r="G181">
        <v>189.3</v>
      </c>
      <c r="H181">
        <v>132.4</v>
      </c>
      <c r="J181">
        <v>121</v>
      </c>
      <c r="N181">
        <v>193.8</v>
      </c>
      <c r="O181">
        <v>233.9</v>
      </c>
      <c r="P181">
        <v>224.3</v>
      </c>
      <c r="Q181">
        <v>158.19999999999999</v>
      </c>
      <c r="R181">
        <v>150.6</v>
      </c>
    </row>
    <row r="182" spans="1:18" x14ac:dyDescent="0.45">
      <c r="A182" t="s">
        <v>315</v>
      </c>
      <c r="B182">
        <v>191</v>
      </c>
      <c r="D182">
        <v>200.4</v>
      </c>
      <c r="G182">
        <v>191.8</v>
      </c>
      <c r="H182">
        <v>132.9</v>
      </c>
      <c r="J182">
        <v>121</v>
      </c>
      <c r="N182">
        <v>191.2</v>
      </c>
      <c r="O182">
        <v>237.5</v>
      </c>
      <c r="P182">
        <v>224.8</v>
      </c>
      <c r="Q182">
        <v>158.69999999999999</v>
      </c>
      <c r="R182">
        <v>149.9</v>
      </c>
    </row>
    <row r="183" spans="1:18" x14ac:dyDescent="0.45">
      <c r="A183" t="s">
        <v>316</v>
      </c>
      <c r="B183">
        <v>193.6</v>
      </c>
      <c r="D183">
        <v>202.7</v>
      </c>
      <c r="G183">
        <v>192.1</v>
      </c>
      <c r="H183">
        <v>132.9</v>
      </c>
      <c r="J183">
        <v>120.3</v>
      </c>
      <c r="N183">
        <v>187.8</v>
      </c>
      <c r="O183">
        <v>234.8</v>
      </c>
      <c r="P183">
        <v>223.9</v>
      </c>
      <c r="Q183">
        <v>155.30000000000001</v>
      </c>
      <c r="R183">
        <v>150.69999999999999</v>
      </c>
    </row>
    <row r="184" spans="1:18" x14ac:dyDescent="0.45">
      <c r="A184" t="s">
        <v>317</v>
      </c>
      <c r="B184">
        <v>196.1</v>
      </c>
      <c r="D184">
        <v>206.5</v>
      </c>
      <c r="G184">
        <v>192.8</v>
      </c>
      <c r="H184">
        <v>132.9</v>
      </c>
      <c r="J184">
        <v>119.4</v>
      </c>
      <c r="N184">
        <v>183.4</v>
      </c>
      <c r="O184">
        <v>234.4</v>
      </c>
      <c r="P184">
        <v>225.1</v>
      </c>
      <c r="Q184">
        <v>155.80000000000001</v>
      </c>
      <c r="R184">
        <v>151</v>
      </c>
    </row>
    <row r="185" spans="1:18" x14ac:dyDescent="0.45">
      <c r="A185" t="s">
        <v>318</v>
      </c>
      <c r="B185">
        <v>197.1</v>
      </c>
      <c r="D185">
        <v>209.3</v>
      </c>
      <c r="G185">
        <v>194.7</v>
      </c>
      <c r="H185">
        <v>132.69999999999999</v>
      </c>
      <c r="J185">
        <v>117.2</v>
      </c>
      <c r="N185">
        <v>180</v>
      </c>
      <c r="O185">
        <v>237.9</v>
      </c>
      <c r="P185">
        <v>229.3</v>
      </c>
      <c r="Q185">
        <v>156.1</v>
      </c>
      <c r="R185">
        <v>150.80000000000001</v>
      </c>
    </row>
    <row r="186" spans="1:18" x14ac:dyDescent="0.45">
      <c r="A186" t="s">
        <v>319</v>
      </c>
      <c r="B186">
        <v>198.8</v>
      </c>
      <c r="D186">
        <v>208.5</v>
      </c>
      <c r="G186">
        <v>193.7</v>
      </c>
      <c r="H186">
        <v>133.30000000000001</v>
      </c>
      <c r="J186">
        <v>116</v>
      </c>
      <c r="N186">
        <v>177.5</v>
      </c>
      <c r="O186">
        <v>232.9</v>
      </c>
      <c r="P186">
        <v>234.8</v>
      </c>
      <c r="Q186">
        <v>156.80000000000001</v>
      </c>
      <c r="R186">
        <v>151.4</v>
      </c>
    </row>
    <row r="187" spans="1:18" x14ac:dyDescent="0.45">
      <c r="A187" t="s">
        <v>320</v>
      </c>
      <c r="B187">
        <v>200.1</v>
      </c>
      <c r="D187">
        <v>212.1</v>
      </c>
      <c r="G187">
        <v>196.1</v>
      </c>
      <c r="H187">
        <v>133.69999999999999</v>
      </c>
      <c r="J187">
        <v>116.2</v>
      </c>
      <c r="N187">
        <v>176.7</v>
      </c>
      <c r="O187">
        <v>234.4</v>
      </c>
      <c r="P187">
        <v>234.1</v>
      </c>
      <c r="Q187">
        <v>160.19999999999999</v>
      </c>
      <c r="R187">
        <v>152.1</v>
      </c>
    </row>
    <row r="188" spans="1:18" x14ac:dyDescent="0.45">
      <c r="A188" t="s">
        <v>321</v>
      </c>
      <c r="B188">
        <v>200.1</v>
      </c>
      <c r="D188">
        <v>214.4</v>
      </c>
      <c r="G188">
        <v>197.3</v>
      </c>
      <c r="H188">
        <v>134.5</v>
      </c>
      <c r="J188">
        <v>115.3</v>
      </c>
      <c r="N188">
        <v>173.8</v>
      </c>
      <c r="O188">
        <v>236.3</v>
      </c>
      <c r="P188">
        <v>234.8</v>
      </c>
      <c r="Q188">
        <v>162.30000000000001</v>
      </c>
      <c r="R188">
        <v>153</v>
      </c>
    </row>
    <row r="189" spans="1:18" x14ac:dyDescent="0.45">
      <c r="A189" t="s">
        <v>322</v>
      </c>
      <c r="B189">
        <v>198.9</v>
      </c>
      <c r="D189">
        <v>213.8</v>
      </c>
      <c r="G189">
        <v>199</v>
      </c>
      <c r="H189">
        <v>134.69999999999999</v>
      </c>
      <c r="J189">
        <v>113.3</v>
      </c>
      <c r="N189">
        <v>172.2</v>
      </c>
      <c r="O189">
        <v>237.2</v>
      </c>
      <c r="P189">
        <v>236.4</v>
      </c>
      <c r="Q189">
        <v>161.6</v>
      </c>
      <c r="R189">
        <v>152.5</v>
      </c>
    </row>
    <row r="190" spans="1:18" x14ac:dyDescent="0.45">
      <c r="A190" t="s">
        <v>323</v>
      </c>
      <c r="B190">
        <v>195.5</v>
      </c>
      <c r="D190">
        <v>214.5</v>
      </c>
      <c r="G190">
        <v>201.1</v>
      </c>
      <c r="H190">
        <v>135</v>
      </c>
      <c r="J190">
        <v>113</v>
      </c>
      <c r="N190">
        <v>170.1</v>
      </c>
      <c r="O190">
        <v>241.8</v>
      </c>
      <c r="P190">
        <v>238.3</v>
      </c>
      <c r="Q190">
        <v>162</v>
      </c>
      <c r="R190">
        <v>152.69999999999999</v>
      </c>
    </row>
    <row r="191" spans="1:18" x14ac:dyDescent="0.45">
      <c r="A191" t="s">
        <v>324</v>
      </c>
      <c r="B191">
        <v>195.3</v>
      </c>
      <c r="D191">
        <v>214.3</v>
      </c>
      <c r="G191">
        <v>201.4</v>
      </c>
      <c r="H191">
        <v>134.5</v>
      </c>
      <c r="J191">
        <v>112</v>
      </c>
      <c r="N191">
        <v>167.8</v>
      </c>
      <c r="O191">
        <v>241.5</v>
      </c>
      <c r="P191">
        <v>242.2</v>
      </c>
      <c r="Q191">
        <v>160.4</v>
      </c>
      <c r="R191">
        <v>153.4</v>
      </c>
    </row>
    <row r="192" spans="1:18" x14ac:dyDescent="0.45">
      <c r="A192" t="s">
        <v>325</v>
      </c>
      <c r="B192">
        <v>193.7</v>
      </c>
      <c r="D192">
        <v>213.7</v>
      </c>
      <c r="G192">
        <v>201.2</v>
      </c>
      <c r="H192">
        <v>134</v>
      </c>
      <c r="J192">
        <v>110.4</v>
      </c>
      <c r="N192">
        <v>164.4</v>
      </c>
      <c r="O192">
        <v>241.1</v>
      </c>
      <c r="P192">
        <v>243</v>
      </c>
      <c r="Q192">
        <v>161.1</v>
      </c>
      <c r="R192">
        <v>153.5</v>
      </c>
    </row>
    <row r="193" spans="1:18" x14ac:dyDescent="0.45">
      <c r="A193" t="s">
        <v>326</v>
      </c>
      <c r="B193">
        <v>194.1</v>
      </c>
      <c r="D193">
        <v>213.6</v>
      </c>
      <c r="G193">
        <v>201.5</v>
      </c>
      <c r="H193">
        <v>133.9</v>
      </c>
      <c r="J193">
        <v>110.6</v>
      </c>
      <c r="N193">
        <v>161.69999999999999</v>
      </c>
      <c r="O193">
        <v>243.8</v>
      </c>
      <c r="P193">
        <v>247.3</v>
      </c>
      <c r="Q193">
        <v>161.80000000000001</v>
      </c>
      <c r="R193">
        <v>154.1</v>
      </c>
    </row>
    <row r="194" spans="1:18" x14ac:dyDescent="0.45">
      <c r="A194" t="s">
        <v>327</v>
      </c>
      <c r="B194">
        <v>194.9</v>
      </c>
      <c r="D194">
        <v>213.8</v>
      </c>
      <c r="G194">
        <v>202.7</v>
      </c>
      <c r="H194">
        <v>133.30000000000001</v>
      </c>
      <c r="J194">
        <v>109.6</v>
      </c>
      <c r="N194">
        <v>160</v>
      </c>
      <c r="O194">
        <v>245.4</v>
      </c>
      <c r="P194">
        <v>251.6</v>
      </c>
      <c r="Q194">
        <v>159.4</v>
      </c>
      <c r="R194">
        <v>153.30000000000001</v>
      </c>
    </row>
    <row r="195" spans="1:18" x14ac:dyDescent="0.45">
      <c r="A195" t="s">
        <v>328</v>
      </c>
      <c r="B195">
        <v>194.2</v>
      </c>
      <c r="D195">
        <v>215.9</v>
      </c>
      <c r="G195">
        <v>204.7</v>
      </c>
      <c r="H195">
        <v>134.4</v>
      </c>
      <c r="J195">
        <v>109.8</v>
      </c>
      <c r="N195">
        <v>159.80000000000001</v>
      </c>
      <c r="O195">
        <v>245</v>
      </c>
      <c r="P195">
        <v>244.5</v>
      </c>
      <c r="Q195">
        <v>158.6</v>
      </c>
      <c r="R195">
        <v>153.9</v>
      </c>
    </row>
    <row r="196" spans="1:18" x14ac:dyDescent="0.45">
      <c r="A196" t="s">
        <v>329</v>
      </c>
      <c r="B196">
        <v>194.3</v>
      </c>
      <c r="D196">
        <v>215</v>
      </c>
      <c r="G196">
        <v>205.6</v>
      </c>
      <c r="H196">
        <v>135.19999999999999</v>
      </c>
      <c r="J196">
        <v>109.3</v>
      </c>
      <c r="N196">
        <v>157.9</v>
      </c>
      <c r="O196">
        <v>245.3</v>
      </c>
      <c r="P196">
        <v>241.2</v>
      </c>
      <c r="Q196">
        <v>156.9</v>
      </c>
      <c r="R196">
        <v>153.4</v>
      </c>
    </row>
    <row r="197" spans="1:18" x14ac:dyDescent="0.45">
      <c r="A197" t="s">
        <v>330</v>
      </c>
      <c r="B197">
        <v>193.8</v>
      </c>
      <c r="D197">
        <v>216.1</v>
      </c>
      <c r="G197">
        <v>206.2</v>
      </c>
      <c r="H197">
        <v>134.80000000000001</v>
      </c>
      <c r="J197">
        <v>109</v>
      </c>
      <c r="N197">
        <v>156.1</v>
      </c>
      <c r="O197">
        <v>242.5</v>
      </c>
      <c r="P197">
        <v>239.6</v>
      </c>
      <c r="Q197">
        <v>156.19999999999999</v>
      </c>
      <c r="R197">
        <v>153.4</v>
      </c>
    </row>
    <row r="198" spans="1:18" x14ac:dyDescent="0.45">
      <c r="A198" t="s">
        <v>331</v>
      </c>
      <c r="B198">
        <v>193.2</v>
      </c>
      <c r="D198">
        <v>216.9</v>
      </c>
      <c r="G198">
        <v>207.9</v>
      </c>
      <c r="H198">
        <v>135.80000000000001</v>
      </c>
      <c r="J198">
        <v>108.2</v>
      </c>
      <c r="N198">
        <v>155.1</v>
      </c>
      <c r="O198">
        <v>248.9</v>
      </c>
      <c r="P198">
        <v>242.6</v>
      </c>
      <c r="Q198">
        <v>153.69999999999999</v>
      </c>
      <c r="R198">
        <v>153.30000000000001</v>
      </c>
    </row>
    <row r="199" spans="1:18" x14ac:dyDescent="0.45">
      <c r="A199" t="s">
        <v>332</v>
      </c>
      <c r="B199">
        <v>192.1</v>
      </c>
      <c r="D199">
        <v>219.5</v>
      </c>
      <c r="G199">
        <v>209.7</v>
      </c>
      <c r="H199">
        <v>137</v>
      </c>
      <c r="J199">
        <v>108.2</v>
      </c>
      <c r="N199">
        <v>154.9</v>
      </c>
      <c r="O199">
        <v>249.9</v>
      </c>
      <c r="P199">
        <v>246.4</v>
      </c>
      <c r="Q199">
        <v>154.9</v>
      </c>
      <c r="R199">
        <v>153.6</v>
      </c>
    </row>
    <row r="200" spans="1:18" x14ac:dyDescent="0.45">
      <c r="A200" t="s">
        <v>333</v>
      </c>
      <c r="B200">
        <v>190.8</v>
      </c>
      <c r="D200">
        <v>221.2</v>
      </c>
      <c r="G200">
        <v>211.8</v>
      </c>
      <c r="H200">
        <v>137.30000000000001</v>
      </c>
      <c r="J200">
        <v>108.4</v>
      </c>
      <c r="N200">
        <v>153.69999999999999</v>
      </c>
      <c r="O200">
        <v>250.6</v>
      </c>
      <c r="P200">
        <v>252.3</v>
      </c>
      <c r="Q200">
        <v>156.30000000000001</v>
      </c>
      <c r="R200">
        <v>153.69999999999999</v>
      </c>
    </row>
    <row r="201" spans="1:18" x14ac:dyDescent="0.45">
      <c r="A201" t="s">
        <v>334</v>
      </c>
      <c r="B201">
        <v>189.6</v>
      </c>
      <c r="D201">
        <v>221.2</v>
      </c>
      <c r="G201">
        <v>212</v>
      </c>
      <c r="H201">
        <v>137.6</v>
      </c>
      <c r="J201">
        <v>107.9</v>
      </c>
      <c r="N201">
        <v>151.9</v>
      </c>
      <c r="O201">
        <v>250.4</v>
      </c>
      <c r="P201">
        <v>261.10000000000002</v>
      </c>
      <c r="Q201">
        <v>154.6</v>
      </c>
      <c r="R201">
        <v>153.1</v>
      </c>
    </row>
    <row r="202" spans="1:18" x14ac:dyDescent="0.45">
      <c r="A202" t="s">
        <v>335</v>
      </c>
      <c r="B202">
        <v>192.7</v>
      </c>
      <c r="D202">
        <v>225.7</v>
      </c>
      <c r="G202">
        <v>216.2</v>
      </c>
      <c r="H202">
        <v>138.80000000000001</v>
      </c>
      <c r="J202">
        <v>109.6</v>
      </c>
      <c r="N202">
        <v>152.4</v>
      </c>
      <c r="O202">
        <v>256.5</v>
      </c>
      <c r="P202">
        <v>260.5</v>
      </c>
      <c r="Q202">
        <v>158.1</v>
      </c>
      <c r="R202">
        <v>156.19999999999999</v>
      </c>
    </row>
    <row r="203" spans="1:18" x14ac:dyDescent="0.45">
      <c r="A203" t="s">
        <v>336</v>
      </c>
      <c r="B203">
        <v>192.9</v>
      </c>
      <c r="D203">
        <v>237.2</v>
      </c>
      <c r="G203">
        <v>231.1</v>
      </c>
      <c r="H203">
        <v>144.30000000000001</v>
      </c>
      <c r="J203">
        <v>115.4</v>
      </c>
      <c r="N203">
        <v>164.1</v>
      </c>
      <c r="O203">
        <v>261.3</v>
      </c>
      <c r="P203">
        <v>267.60000000000002</v>
      </c>
      <c r="Q203">
        <v>166.9</v>
      </c>
      <c r="R203">
        <v>162</v>
      </c>
    </row>
    <row r="204" spans="1:18" x14ac:dyDescent="0.45">
      <c r="A204" t="s">
        <v>337</v>
      </c>
      <c r="B204">
        <v>193.4</v>
      </c>
      <c r="D204">
        <v>241.4</v>
      </c>
      <c r="G204">
        <v>235.7</v>
      </c>
      <c r="H204">
        <v>146.80000000000001</v>
      </c>
      <c r="J204">
        <v>118.5</v>
      </c>
      <c r="N204">
        <v>166.4</v>
      </c>
      <c r="O204">
        <v>264</v>
      </c>
      <c r="P204">
        <v>272.7</v>
      </c>
      <c r="Q204">
        <v>170.3</v>
      </c>
      <c r="R204">
        <v>163</v>
      </c>
    </row>
    <row r="205" spans="1:18" x14ac:dyDescent="0.45">
      <c r="A205" t="s">
        <v>338</v>
      </c>
      <c r="B205">
        <v>191.8</v>
      </c>
      <c r="D205">
        <v>244.5</v>
      </c>
      <c r="G205">
        <v>239.7</v>
      </c>
      <c r="H205">
        <v>148.69999999999999</v>
      </c>
      <c r="J205">
        <v>120.6</v>
      </c>
      <c r="N205">
        <v>170.8</v>
      </c>
      <c r="O205">
        <v>264.89999999999998</v>
      </c>
      <c r="P205">
        <v>271.8</v>
      </c>
      <c r="Q205">
        <v>173.8</v>
      </c>
      <c r="R205">
        <v>164.3</v>
      </c>
    </row>
    <row r="206" spans="1:18" x14ac:dyDescent="0.45">
      <c r="A206" t="s">
        <v>339</v>
      </c>
      <c r="B206">
        <v>190.9</v>
      </c>
      <c r="D206">
        <v>243.1</v>
      </c>
      <c r="G206">
        <v>237.9</v>
      </c>
      <c r="H206">
        <v>151</v>
      </c>
      <c r="J206">
        <v>120.4</v>
      </c>
      <c r="N206">
        <v>172</v>
      </c>
      <c r="O206">
        <v>271.2</v>
      </c>
      <c r="P206">
        <v>282.60000000000002</v>
      </c>
      <c r="Q206">
        <v>174.8</v>
      </c>
      <c r="R206">
        <v>164.6</v>
      </c>
    </row>
    <row r="207" spans="1:18" x14ac:dyDescent="0.45">
      <c r="A207" t="s">
        <v>340</v>
      </c>
      <c r="B207">
        <v>186.2</v>
      </c>
      <c r="D207">
        <v>237</v>
      </c>
      <c r="G207">
        <v>231.3</v>
      </c>
      <c r="H207">
        <v>148.4</v>
      </c>
      <c r="J207">
        <v>115.9</v>
      </c>
      <c r="N207">
        <v>167.1</v>
      </c>
      <c r="O207">
        <v>267.2</v>
      </c>
      <c r="P207">
        <v>279.3</v>
      </c>
      <c r="Q207">
        <v>170</v>
      </c>
      <c r="R207">
        <v>162.6</v>
      </c>
    </row>
    <row r="208" spans="1:18" x14ac:dyDescent="0.45">
      <c r="A208" t="s">
        <v>341</v>
      </c>
      <c r="B208">
        <v>183.7</v>
      </c>
      <c r="D208">
        <v>233.9</v>
      </c>
      <c r="G208">
        <v>229.1</v>
      </c>
      <c r="H208">
        <v>147.69999999999999</v>
      </c>
      <c r="J208">
        <v>113.5</v>
      </c>
      <c r="N208">
        <v>162.80000000000001</v>
      </c>
      <c r="O208">
        <v>267.7</v>
      </c>
      <c r="P208">
        <v>276.5</v>
      </c>
      <c r="Q208">
        <v>167.3</v>
      </c>
      <c r="R208">
        <v>160.80000000000001</v>
      </c>
    </row>
    <row r="209" spans="1:18" x14ac:dyDescent="0.45">
      <c r="A209" t="s">
        <v>342</v>
      </c>
      <c r="B209">
        <v>181.4</v>
      </c>
      <c r="D209">
        <v>230.7</v>
      </c>
      <c r="G209">
        <v>227.8</v>
      </c>
      <c r="H209">
        <v>147.5</v>
      </c>
      <c r="J209">
        <v>113.1</v>
      </c>
      <c r="N209">
        <v>159.1</v>
      </c>
      <c r="O209">
        <v>273.39999999999998</v>
      </c>
      <c r="P209">
        <v>271.60000000000002</v>
      </c>
      <c r="Q209">
        <v>163.4</v>
      </c>
      <c r="R209">
        <v>159.4</v>
      </c>
    </row>
    <row r="210" spans="1:18" x14ac:dyDescent="0.45">
      <c r="A210" t="s">
        <v>343</v>
      </c>
      <c r="B210">
        <v>178.6</v>
      </c>
      <c r="D210">
        <v>224.2</v>
      </c>
      <c r="G210">
        <v>226.2</v>
      </c>
      <c r="H210">
        <v>146.69999999999999</v>
      </c>
      <c r="J210">
        <v>110.4</v>
      </c>
      <c r="N210">
        <v>153.80000000000001</v>
      </c>
      <c r="O210">
        <v>273.7</v>
      </c>
      <c r="P210">
        <v>272.10000000000002</v>
      </c>
      <c r="Q210">
        <v>157.69999999999999</v>
      </c>
      <c r="R210">
        <v>158.1</v>
      </c>
    </row>
    <row r="211" spans="1:18" x14ac:dyDescent="0.45">
      <c r="A211" t="s">
        <v>344</v>
      </c>
      <c r="B211">
        <v>177.3</v>
      </c>
      <c r="D211">
        <v>218.3</v>
      </c>
      <c r="G211">
        <v>225.3</v>
      </c>
      <c r="H211">
        <v>146.30000000000001</v>
      </c>
      <c r="J211">
        <v>108.6</v>
      </c>
      <c r="N211">
        <v>150.69999999999999</v>
      </c>
      <c r="O211">
        <v>272</v>
      </c>
      <c r="P211">
        <v>270.60000000000002</v>
      </c>
      <c r="Q211">
        <v>154.30000000000001</v>
      </c>
      <c r="R211">
        <v>156.9</v>
      </c>
    </row>
    <row r="212" spans="1:18" x14ac:dyDescent="0.45">
      <c r="A212" t="s">
        <v>345</v>
      </c>
      <c r="B212">
        <v>174.5</v>
      </c>
      <c r="D212">
        <v>216</v>
      </c>
      <c r="G212">
        <v>226</v>
      </c>
      <c r="H212">
        <v>147.6</v>
      </c>
      <c r="J212">
        <v>107.1</v>
      </c>
      <c r="N212">
        <v>147.19999999999999</v>
      </c>
      <c r="O212">
        <v>274</v>
      </c>
      <c r="P212">
        <v>267</v>
      </c>
      <c r="Q212">
        <v>152.4</v>
      </c>
      <c r="R212">
        <v>155.1</v>
      </c>
    </row>
    <row r="213" spans="1:18" x14ac:dyDescent="0.45">
      <c r="A213" t="s">
        <v>346</v>
      </c>
      <c r="B213">
        <v>170.7</v>
      </c>
      <c r="D213">
        <v>214.2</v>
      </c>
      <c r="G213">
        <v>224.9</v>
      </c>
      <c r="H213">
        <v>146.1</v>
      </c>
      <c r="J213">
        <v>105.8</v>
      </c>
      <c r="N213">
        <v>142.69999999999999</v>
      </c>
      <c r="O213">
        <v>275.89999999999998</v>
      </c>
      <c r="P213">
        <v>261.8</v>
      </c>
      <c r="Q213">
        <v>149.30000000000001</v>
      </c>
      <c r="R213">
        <v>153.5</v>
      </c>
    </row>
    <row r="214" spans="1:18" x14ac:dyDescent="0.45">
      <c r="A214" t="s">
        <v>347</v>
      </c>
      <c r="B214">
        <v>168.9</v>
      </c>
      <c r="D214">
        <v>214.3</v>
      </c>
      <c r="G214">
        <v>223.2</v>
      </c>
      <c r="H214">
        <v>143.9</v>
      </c>
      <c r="J214">
        <v>103.1</v>
      </c>
      <c r="N214">
        <v>138.4</v>
      </c>
      <c r="O214">
        <v>251</v>
      </c>
      <c r="P214">
        <v>262.39999999999998</v>
      </c>
      <c r="Q214">
        <v>145.30000000000001</v>
      </c>
      <c r="R214">
        <v>151.69999999999999</v>
      </c>
    </row>
    <row r="215" spans="1:18" x14ac:dyDescent="0.45">
      <c r="A215" t="s">
        <v>348</v>
      </c>
      <c r="B215">
        <v>168.9</v>
      </c>
      <c r="D215">
        <v>215.3</v>
      </c>
      <c r="G215">
        <v>220.4</v>
      </c>
      <c r="H215">
        <v>142.5</v>
      </c>
      <c r="J215">
        <v>101.2</v>
      </c>
      <c r="N215">
        <v>136</v>
      </c>
      <c r="O215">
        <v>252.2</v>
      </c>
      <c r="P215">
        <v>259.5</v>
      </c>
      <c r="Q215">
        <v>141.6</v>
      </c>
      <c r="R215">
        <v>150.1</v>
      </c>
    </row>
    <row r="216" spans="1:18" x14ac:dyDescent="0.45">
      <c r="A216" t="s">
        <v>349</v>
      </c>
      <c r="B216">
        <v>169</v>
      </c>
      <c r="D216">
        <v>215.5</v>
      </c>
      <c r="G216">
        <v>218.1</v>
      </c>
      <c r="H216">
        <v>140.69999999999999</v>
      </c>
      <c r="J216">
        <v>98.4</v>
      </c>
      <c r="N216">
        <v>132.19999999999999</v>
      </c>
      <c r="O216">
        <v>244.4</v>
      </c>
      <c r="P216">
        <v>258.89999999999998</v>
      </c>
      <c r="Q216">
        <v>140.69999999999999</v>
      </c>
      <c r="R216">
        <v>148.5</v>
      </c>
    </row>
    <row r="217" spans="1:18" x14ac:dyDescent="0.45">
      <c r="A217" t="s">
        <v>350</v>
      </c>
      <c r="B217">
        <v>169.2</v>
      </c>
      <c r="D217">
        <v>215.8</v>
      </c>
      <c r="G217">
        <v>216.6</v>
      </c>
      <c r="H217">
        <v>139.6</v>
      </c>
      <c r="J217">
        <v>98</v>
      </c>
      <c r="N217">
        <v>130.1</v>
      </c>
      <c r="O217">
        <v>239.2</v>
      </c>
      <c r="P217">
        <v>253.7</v>
      </c>
      <c r="Q217">
        <v>139.80000000000001</v>
      </c>
      <c r="R217">
        <v>147.1</v>
      </c>
    </row>
    <row r="218" spans="1:18" x14ac:dyDescent="0.45">
      <c r="A218" t="s">
        <v>351</v>
      </c>
      <c r="B218">
        <v>170.3</v>
      </c>
      <c r="D218">
        <v>213.5</v>
      </c>
      <c r="G218">
        <v>214.2</v>
      </c>
      <c r="H218">
        <v>139.1</v>
      </c>
      <c r="J218">
        <v>96.6</v>
      </c>
      <c r="N218">
        <v>129.1</v>
      </c>
      <c r="O218">
        <v>250.4</v>
      </c>
      <c r="P218">
        <v>256</v>
      </c>
      <c r="Q218">
        <v>138</v>
      </c>
      <c r="R218">
        <v>146.1</v>
      </c>
    </row>
    <row r="219" spans="1:18" x14ac:dyDescent="0.45">
      <c r="A219" t="s">
        <v>352</v>
      </c>
      <c r="B219">
        <v>170.8</v>
      </c>
      <c r="D219">
        <v>214</v>
      </c>
      <c r="G219">
        <v>214.3</v>
      </c>
      <c r="H219">
        <v>138.9</v>
      </c>
      <c r="J219">
        <v>95.8</v>
      </c>
      <c r="N219">
        <v>128.4</v>
      </c>
      <c r="O219">
        <v>250.6</v>
      </c>
      <c r="P219">
        <v>259.5</v>
      </c>
      <c r="Q219">
        <v>137</v>
      </c>
      <c r="R219">
        <v>145.19999999999999</v>
      </c>
    </row>
    <row r="220" spans="1:18" x14ac:dyDescent="0.45">
      <c r="A220" t="s">
        <v>353</v>
      </c>
      <c r="B220">
        <v>171.3</v>
      </c>
      <c r="D220">
        <v>214.9</v>
      </c>
      <c r="G220">
        <v>213.4</v>
      </c>
      <c r="H220">
        <v>139.1</v>
      </c>
      <c r="J220">
        <v>94.5</v>
      </c>
      <c r="N220">
        <v>126.6</v>
      </c>
      <c r="O220">
        <v>253.4</v>
      </c>
      <c r="P220">
        <v>256.2</v>
      </c>
      <c r="Q220">
        <v>135.6</v>
      </c>
      <c r="R220">
        <v>144.6</v>
      </c>
    </row>
    <row r="221" spans="1:18" x14ac:dyDescent="0.45">
      <c r="A221" t="s">
        <v>354</v>
      </c>
      <c r="B221">
        <v>173.7</v>
      </c>
      <c r="D221">
        <v>214.3</v>
      </c>
      <c r="G221">
        <v>213.8</v>
      </c>
      <c r="H221">
        <v>138.6</v>
      </c>
      <c r="J221">
        <v>95</v>
      </c>
      <c r="N221">
        <v>123.8</v>
      </c>
      <c r="O221">
        <v>249.9</v>
      </c>
      <c r="P221">
        <v>254.5</v>
      </c>
      <c r="Q221">
        <v>135.19999999999999</v>
      </c>
      <c r="R221">
        <v>142.5</v>
      </c>
    </row>
    <row r="222" spans="1:18" x14ac:dyDescent="0.45">
      <c r="A222" t="s">
        <v>355</v>
      </c>
      <c r="B222">
        <v>174.5</v>
      </c>
      <c r="D222">
        <v>213.4</v>
      </c>
      <c r="G222">
        <v>214.7</v>
      </c>
      <c r="H222">
        <v>139.19999999999999</v>
      </c>
      <c r="J222">
        <v>94.7</v>
      </c>
      <c r="N222">
        <v>122.5</v>
      </c>
      <c r="O222">
        <v>240.9</v>
      </c>
      <c r="P222">
        <v>254.9</v>
      </c>
      <c r="Q222">
        <v>133.80000000000001</v>
      </c>
      <c r="R222">
        <v>141.5</v>
      </c>
    </row>
    <row r="223" spans="1:18" x14ac:dyDescent="0.45">
      <c r="A223" t="s">
        <v>356</v>
      </c>
      <c r="B223">
        <v>175.4</v>
      </c>
      <c r="D223">
        <v>213.2</v>
      </c>
      <c r="G223">
        <v>214.9</v>
      </c>
      <c r="H223">
        <v>138.9</v>
      </c>
      <c r="J223">
        <v>95</v>
      </c>
      <c r="N223">
        <v>122.8</v>
      </c>
      <c r="O223">
        <v>236.7</v>
      </c>
      <c r="P223">
        <v>250.8</v>
      </c>
      <c r="Q223">
        <v>132.80000000000001</v>
      </c>
      <c r="R223">
        <v>140.9</v>
      </c>
    </row>
    <row r="224" spans="1:18" s="4" customFormat="1" x14ac:dyDescent="0.45">
      <c r="A224" s="4" t="s">
        <v>357</v>
      </c>
      <c r="B224" s="4">
        <v>175.2</v>
      </c>
      <c r="D224" s="4">
        <v>218.2</v>
      </c>
      <c r="G224" s="4">
        <v>215.1</v>
      </c>
      <c r="H224" s="4">
        <v>138.6</v>
      </c>
      <c r="J224" s="4">
        <v>94.4</v>
      </c>
      <c r="N224" s="4">
        <v>120</v>
      </c>
      <c r="O224" s="4">
        <v>236.1</v>
      </c>
      <c r="P224" s="4">
        <v>250.2</v>
      </c>
      <c r="Q224" s="4">
        <v>133</v>
      </c>
      <c r="R224" s="4">
        <v>140.4</v>
      </c>
    </row>
    <row r="225" spans="1:18" s="4" customFormat="1" x14ac:dyDescent="0.45">
      <c r="A225" s="4" t="s">
        <v>438</v>
      </c>
      <c r="B225" s="4">
        <v>175.2</v>
      </c>
      <c r="D225" s="4">
        <v>218.2</v>
      </c>
      <c r="G225" s="4">
        <v>215.1</v>
      </c>
      <c r="H225" s="4">
        <v>138.6</v>
      </c>
      <c r="J225" s="4">
        <v>94.4</v>
      </c>
      <c r="N225" s="4">
        <v>120</v>
      </c>
      <c r="O225" s="4">
        <v>236.1</v>
      </c>
      <c r="P225" s="4">
        <v>250.2</v>
      </c>
      <c r="Q225" s="4">
        <v>133</v>
      </c>
      <c r="R225" s="4">
        <v>140.4</v>
      </c>
    </row>
    <row r="226" spans="1:18" x14ac:dyDescent="0.45">
      <c r="A226" s="4" t="s">
        <v>441</v>
      </c>
      <c r="B226" s="4">
        <v>175.2</v>
      </c>
      <c r="C226" s="4"/>
      <c r="D226" s="4">
        <v>218.2</v>
      </c>
      <c r="E226" s="4"/>
      <c r="F226" s="4"/>
      <c r="G226" s="4">
        <v>215.1</v>
      </c>
      <c r="H226" s="4">
        <v>138.6</v>
      </c>
      <c r="I226" s="4"/>
      <c r="J226" s="4">
        <v>94.4</v>
      </c>
      <c r="K226" s="4"/>
      <c r="L226" s="4"/>
      <c r="M226" s="4"/>
      <c r="N226" s="4">
        <v>120</v>
      </c>
      <c r="O226" s="4">
        <v>236.1</v>
      </c>
      <c r="P226" s="4">
        <v>250.2</v>
      </c>
      <c r="Q226" s="4">
        <v>133</v>
      </c>
      <c r="R226" s="4">
        <v>140.4</v>
      </c>
    </row>
  </sheetData>
  <phoneticPr fontId="3"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C8656-B824-40C2-A918-D54799B07909}">
  <dimension ref="A1:AD226"/>
  <sheetViews>
    <sheetView workbookViewId="0">
      <pane xSplit="1" ySplit="1" topLeftCell="B207" activePane="bottomRight" state="frozen"/>
      <selection pane="topRight" activeCell="B1" sqref="B1"/>
      <selection pane="bottomLeft" activeCell="A2" sqref="A2"/>
      <selection pane="bottomRight" activeCell="P222" sqref="P222"/>
    </sheetView>
  </sheetViews>
  <sheetFormatPr defaultRowHeight="14.25" x14ac:dyDescent="0.45"/>
  <cols>
    <col min="2" max="2" width="9.19921875" style="13"/>
    <col min="4" max="4" width="9.19921875" style="13"/>
    <col min="7" max="8" width="9.19921875" style="13"/>
    <col min="10" max="10" width="9.19921875" style="13"/>
    <col min="14" max="18" width="9.19921875" style="13"/>
  </cols>
  <sheetData>
    <row r="1" spans="1:30" x14ac:dyDescent="0.45">
      <c r="B1" s="13" t="s">
        <v>360</v>
      </c>
      <c r="C1" t="s">
        <v>361</v>
      </c>
      <c r="D1" s="13" t="s">
        <v>362</v>
      </c>
      <c r="E1" t="s">
        <v>363</v>
      </c>
      <c r="F1" t="s">
        <v>364</v>
      </c>
      <c r="G1" s="13" t="s">
        <v>365</v>
      </c>
      <c r="H1" s="13" t="s">
        <v>366</v>
      </c>
      <c r="I1" t="s">
        <v>367</v>
      </c>
      <c r="J1" s="13" t="s">
        <v>368</v>
      </c>
      <c r="K1" t="s">
        <v>369</v>
      </c>
      <c r="L1" t="s">
        <v>370</v>
      </c>
      <c r="M1" t="s">
        <v>371</v>
      </c>
      <c r="N1" s="13" t="s">
        <v>372</v>
      </c>
      <c r="O1" s="13" t="s">
        <v>373</v>
      </c>
      <c r="P1" s="13" t="s">
        <v>374</v>
      </c>
      <c r="Q1" s="13" t="s">
        <v>6</v>
      </c>
      <c r="R1" s="13" t="s">
        <v>375</v>
      </c>
      <c r="S1" t="s">
        <v>376</v>
      </c>
      <c r="T1" t="s">
        <v>377</v>
      </c>
      <c r="U1" t="s">
        <v>134</v>
      </c>
      <c r="V1" t="s">
        <v>378</v>
      </c>
      <c r="W1" t="s">
        <v>379</v>
      </c>
      <c r="X1" t="s">
        <v>380</v>
      </c>
      <c r="Y1" t="s">
        <v>381</v>
      </c>
      <c r="Z1" t="s">
        <v>382</v>
      </c>
      <c r="AA1" t="s">
        <v>383</v>
      </c>
      <c r="AB1" t="s">
        <v>384</v>
      </c>
      <c r="AC1" t="s">
        <v>385</v>
      </c>
      <c r="AD1" t="s">
        <v>386</v>
      </c>
    </row>
    <row r="2" spans="1:30" x14ac:dyDescent="0.45">
      <c r="A2" t="s">
        <v>135</v>
      </c>
    </row>
    <row r="3" spans="1:30" x14ac:dyDescent="0.45">
      <c r="A3" t="s">
        <v>136</v>
      </c>
    </row>
    <row r="4" spans="1:30" x14ac:dyDescent="0.45">
      <c r="A4" t="s">
        <v>137</v>
      </c>
    </row>
    <row r="5" spans="1:30" x14ac:dyDescent="0.45">
      <c r="A5" t="s">
        <v>138</v>
      </c>
    </row>
    <row r="6" spans="1:30" x14ac:dyDescent="0.45">
      <c r="A6" t="s">
        <v>139</v>
      </c>
    </row>
    <row r="7" spans="1:30" x14ac:dyDescent="0.45">
      <c r="A7" t="s">
        <v>140</v>
      </c>
    </row>
    <row r="8" spans="1:30" x14ac:dyDescent="0.45">
      <c r="A8" t="s">
        <v>141</v>
      </c>
    </row>
    <row r="9" spans="1:30" x14ac:dyDescent="0.45">
      <c r="A9" t="s">
        <v>142</v>
      </c>
    </row>
    <row r="10" spans="1:30" x14ac:dyDescent="0.45">
      <c r="A10" t="s">
        <v>143</v>
      </c>
    </row>
    <row r="11" spans="1:30" x14ac:dyDescent="0.45">
      <c r="A11" t="s">
        <v>144</v>
      </c>
    </row>
    <row r="12" spans="1:30" x14ac:dyDescent="0.45">
      <c r="A12" t="s">
        <v>145</v>
      </c>
    </row>
    <row r="13" spans="1:30" x14ac:dyDescent="0.45">
      <c r="A13" t="s">
        <v>146</v>
      </c>
    </row>
    <row r="14" spans="1:30" x14ac:dyDescent="0.45">
      <c r="A14" t="s">
        <v>147</v>
      </c>
      <c r="B14" s="13">
        <f>credit_to_gdp_ALL_ctry!B14-credit_to_gdp_ALL_ctry!B2</f>
        <v>1.7000000000000028</v>
      </c>
      <c r="D14" s="13">
        <f>credit_to_gdp_ALL_ctry!D14-credit_to_gdp_ALL_ctry!D2</f>
        <v>8.4000000000000057</v>
      </c>
      <c r="G14" s="13">
        <f>credit_to_gdp_ALL_ctry!G14-credit_to_gdp_ALL_ctry!G2</f>
        <v>13.799999999999997</v>
      </c>
      <c r="H14" s="13">
        <f>credit_to_gdp_ALL_ctry!H14-credit_to_gdp_ALL_ctry!H2</f>
        <v>5.6000000000000085</v>
      </c>
      <c r="I14" s="13"/>
      <c r="J14" s="13">
        <f>credit_to_gdp_ALL_ctry!J14-credit_to_gdp_ALL_ctry!J2</f>
        <v>8.6000000000000085</v>
      </c>
      <c r="N14" s="13">
        <f>credit_to_gdp_ALL_ctry!N14-credit_to_gdp_ALL_ctry!N2</f>
        <v>9.3999999999999915</v>
      </c>
      <c r="O14" s="13">
        <f>credit_to_gdp_ALL_ctry!O14-credit_to_gdp_ALL_ctry!O2</f>
        <v>-6.0999999999999943</v>
      </c>
      <c r="P14" s="13">
        <f>credit_to_gdp_ALL_ctry!P14-credit_to_gdp_ALL_ctry!P2</f>
        <v>-11.5</v>
      </c>
      <c r="Q14" s="13">
        <f>credit_to_gdp_ALL_ctry!Q14-credit_to_gdp_ALL_ctry!Q2</f>
        <v>6.2000000000000028</v>
      </c>
      <c r="R14" s="13">
        <f>credit_to_gdp_ALL_ctry!R14-credit_to_gdp_ALL_ctry!R2</f>
        <v>5.5999999999999943</v>
      </c>
    </row>
    <row r="15" spans="1:30" x14ac:dyDescent="0.45">
      <c r="A15" t="s">
        <v>148</v>
      </c>
      <c r="B15" s="13">
        <f>credit_to_gdp_ALL_ctry!B15-credit_to_gdp_ALL_ctry!B3</f>
        <v>3.7999999999999972</v>
      </c>
      <c r="D15" s="13">
        <f>credit_to_gdp_ALL_ctry!D15-credit_to_gdp_ALL_ctry!D3</f>
        <v>9.8999999999999915</v>
      </c>
      <c r="G15" s="13">
        <f>credit_to_gdp_ALL_ctry!G15-credit_to_gdp_ALL_ctry!G3</f>
        <v>15.899999999999991</v>
      </c>
      <c r="H15" s="13">
        <f>credit_to_gdp_ALL_ctry!H15-credit_to_gdp_ALL_ctry!H3</f>
        <v>6.1999999999999886</v>
      </c>
      <c r="J15" s="13">
        <f>credit_to_gdp_ALL_ctry!J15-credit_to_gdp_ALL_ctry!J3</f>
        <v>8</v>
      </c>
      <c r="N15" s="13">
        <f>credit_to_gdp_ALL_ctry!N15-credit_to_gdp_ALL_ctry!N3</f>
        <v>10.700000000000003</v>
      </c>
      <c r="O15" s="13">
        <f>credit_to_gdp_ALL_ctry!O15-credit_to_gdp_ALL_ctry!O3</f>
        <v>-3.7999999999999972</v>
      </c>
      <c r="P15" s="13">
        <f>credit_to_gdp_ALL_ctry!P15-credit_to_gdp_ALL_ctry!P3</f>
        <v>-12.900000000000006</v>
      </c>
      <c r="Q15" s="13">
        <f>credit_to_gdp_ALL_ctry!Q15-credit_to_gdp_ALL_ctry!Q3</f>
        <v>6.8999999999999986</v>
      </c>
      <c r="R15" s="13">
        <f>credit_to_gdp_ALL_ctry!R15-credit_to_gdp_ALL_ctry!R3</f>
        <v>5.5999999999999943</v>
      </c>
      <c r="U15" s="14"/>
      <c r="V15" s="14"/>
    </row>
    <row r="16" spans="1:30" x14ac:dyDescent="0.45">
      <c r="A16" t="s">
        <v>149</v>
      </c>
      <c r="B16" s="13">
        <f>credit_to_gdp_ALL_ctry!B16-credit_to_gdp_ALL_ctry!B4</f>
        <v>4.6999999999999957</v>
      </c>
      <c r="D16" s="13">
        <f>credit_to_gdp_ALL_ctry!D16-credit_to_gdp_ALL_ctry!D4</f>
        <v>9.2999999999999972</v>
      </c>
      <c r="G16" s="13">
        <f>credit_to_gdp_ALL_ctry!G16-credit_to_gdp_ALL_ctry!G4</f>
        <v>15.900000000000006</v>
      </c>
      <c r="H16" s="13">
        <f>credit_to_gdp_ALL_ctry!H16-credit_to_gdp_ALL_ctry!H4</f>
        <v>6.9000000000000057</v>
      </c>
      <c r="J16" s="13">
        <f>credit_to_gdp_ALL_ctry!J16-credit_to_gdp_ALL_ctry!J4</f>
        <v>6.5</v>
      </c>
      <c r="N16" s="13">
        <f>credit_to_gdp_ALL_ctry!N16-credit_to_gdp_ALL_ctry!N4</f>
        <v>11.400000000000006</v>
      </c>
      <c r="O16" s="13">
        <f>credit_to_gdp_ALL_ctry!O16-credit_to_gdp_ALL_ctry!O4</f>
        <v>-0.70000000000000284</v>
      </c>
      <c r="P16" s="13">
        <f>credit_to_gdp_ALL_ctry!P16-credit_to_gdp_ALL_ctry!P4</f>
        <v>-11.699999999999989</v>
      </c>
      <c r="Q16" s="13">
        <f>credit_to_gdp_ALL_ctry!Q16-credit_to_gdp_ALL_ctry!Q4</f>
        <v>8.4000000000000057</v>
      </c>
      <c r="R16" s="13">
        <f>credit_to_gdp_ALL_ctry!R16-credit_to_gdp_ALL_ctry!R4</f>
        <v>5.6000000000000085</v>
      </c>
      <c r="U16" s="14"/>
      <c r="V16" s="14"/>
    </row>
    <row r="17" spans="1:22" x14ac:dyDescent="0.45">
      <c r="A17" t="s">
        <v>150</v>
      </c>
      <c r="B17" s="13">
        <f>credit_to_gdp_ALL_ctry!B17-credit_to_gdp_ALL_ctry!B5</f>
        <v>4.8000000000000043</v>
      </c>
      <c r="D17" s="13">
        <f>credit_to_gdp_ALL_ctry!D17-credit_to_gdp_ALL_ctry!D5</f>
        <v>9.2000000000000028</v>
      </c>
      <c r="G17" s="13">
        <f>credit_to_gdp_ALL_ctry!G17-credit_to_gdp_ALL_ctry!G5</f>
        <v>11.900000000000006</v>
      </c>
      <c r="H17" s="13">
        <f>credit_to_gdp_ALL_ctry!H17-credit_to_gdp_ALL_ctry!H5</f>
        <v>6.7000000000000028</v>
      </c>
      <c r="J17" s="13">
        <f>credit_to_gdp_ALL_ctry!J17-credit_to_gdp_ALL_ctry!J5</f>
        <v>5.5</v>
      </c>
      <c r="N17" s="13">
        <f>credit_to_gdp_ALL_ctry!N17-credit_to_gdp_ALL_ctry!N5</f>
        <v>10.400000000000006</v>
      </c>
      <c r="O17" s="13">
        <f>credit_to_gdp_ALL_ctry!O17-credit_to_gdp_ALL_ctry!O5</f>
        <v>0.79999999999999716</v>
      </c>
      <c r="P17" s="13">
        <f>credit_to_gdp_ALL_ctry!P17-credit_to_gdp_ALL_ctry!P5</f>
        <v>-11.699999999999989</v>
      </c>
      <c r="Q17" s="13">
        <f>credit_to_gdp_ALL_ctry!Q17-credit_to_gdp_ALL_ctry!Q5</f>
        <v>5.2999999999999972</v>
      </c>
      <c r="R17" s="13">
        <f>credit_to_gdp_ALL_ctry!R17-credit_to_gdp_ALL_ctry!R5</f>
        <v>4.8999999999999915</v>
      </c>
      <c r="U17" s="14"/>
      <c r="V17" s="14"/>
    </row>
    <row r="18" spans="1:22" x14ac:dyDescent="0.45">
      <c r="A18" t="s">
        <v>151</v>
      </c>
      <c r="B18" s="13">
        <f>credit_to_gdp_ALL_ctry!B18-credit_to_gdp_ALL_ctry!B6</f>
        <v>6.2000000000000028</v>
      </c>
      <c r="D18" s="13">
        <f>credit_to_gdp_ALL_ctry!D18-credit_to_gdp_ALL_ctry!D6</f>
        <v>8.6000000000000085</v>
      </c>
      <c r="G18" s="13">
        <f>credit_to_gdp_ALL_ctry!G18-credit_to_gdp_ALL_ctry!G6</f>
        <v>9.7999999999999972</v>
      </c>
      <c r="H18" s="13">
        <f>credit_to_gdp_ALL_ctry!H18-credit_to_gdp_ALL_ctry!H6</f>
        <v>7.5999999999999943</v>
      </c>
      <c r="J18" s="13">
        <f>credit_to_gdp_ALL_ctry!J18-credit_to_gdp_ALL_ctry!J6</f>
        <v>3.6000000000000085</v>
      </c>
      <c r="N18" s="13">
        <f>credit_to_gdp_ALL_ctry!N18-credit_to_gdp_ALL_ctry!N6</f>
        <v>8.5</v>
      </c>
      <c r="O18" s="13">
        <f>credit_to_gdp_ALL_ctry!O18-credit_to_gdp_ALL_ctry!O6</f>
        <v>3.2999999999999972</v>
      </c>
      <c r="P18" s="13">
        <f>credit_to_gdp_ALL_ctry!P18-credit_to_gdp_ALL_ctry!P6</f>
        <v>-11.599999999999994</v>
      </c>
      <c r="Q18" s="13">
        <f>credit_to_gdp_ALL_ctry!Q18-credit_to_gdp_ALL_ctry!Q6</f>
        <v>8.1000000000000014</v>
      </c>
      <c r="R18" s="13">
        <f>credit_to_gdp_ALL_ctry!R18-credit_to_gdp_ALL_ctry!R6</f>
        <v>5.3999999999999915</v>
      </c>
    </row>
    <row r="19" spans="1:22" x14ac:dyDescent="0.45">
      <c r="A19" t="s">
        <v>152</v>
      </c>
      <c r="B19" s="13">
        <f>credit_to_gdp_ALL_ctry!B19-credit_to_gdp_ALL_ctry!B7</f>
        <v>7.6000000000000014</v>
      </c>
      <c r="D19" s="13">
        <f>credit_to_gdp_ALL_ctry!D19-credit_to_gdp_ALL_ctry!D7</f>
        <v>8.5</v>
      </c>
      <c r="G19" s="13">
        <f>credit_to_gdp_ALL_ctry!G19-credit_to_gdp_ALL_ctry!G7</f>
        <v>7.7999999999999972</v>
      </c>
      <c r="H19" s="13">
        <f>credit_to_gdp_ALL_ctry!H19-credit_to_gdp_ALL_ctry!H7</f>
        <v>7.7000000000000028</v>
      </c>
      <c r="J19" s="13">
        <f>credit_to_gdp_ALL_ctry!J19-credit_to_gdp_ALL_ctry!J7</f>
        <v>1.1000000000000085</v>
      </c>
      <c r="N19" s="13">
        <f>credit_to_gdp_ALL_ctry!N19-credit_to_gdp_ALL_ctry!N7</f>
        <v>7.8999999999999915</v>
      </c>
      <c r="O19" s="13">
        <f>credit_to_gdp_ALL_ctry!O19-credit_to_gdp_ALL_ctry!O7</f>
        <v>3.8999999999999915</v>
      </c>
      <c r="P19" s="13">
        <f>credit_to_gdp_ALL_ctry!P19-credit_to_gdp_ALL_ctry!P7</f>
        <v>-12.400000000000006</v>
      </c>
      <c r="Q19" s="13">
        <f>credit_to_gdp_ALL_ctry!Q19-credit_to_gdp_ALL_ctry!Q7</f>
        <v>9.5999999999999943</v>
      </c>
      <c r="R19" s="13">
        <f>credit_to_gdp_ALL_ctry!R19-credit_to_gdp_ALL_ctry!R7</f>
        <v>6.1000000000000085</v>
      </c>
    </row>
    <row r="20" spans="1:22" x14ac:dyDescent="0.45">
      <c r="A20" t="s">
        <v>153</v>
      </c>
      <c r="B20" s="13">
        <f>credit_to_gdp_ALL_ctry!B20-credit_to_gdp_ALL_ctry!B8</f>
        <v>9.2000000000000028</v>
      </c>
      <c r="D20" s="13">
        <f>credit_to_gdp_ALL_ctry!D20-credit_to_gdp_ALL_ctry!D8</f>
        <v>7.2999999999999972</v>
      </c>
      <c r="G20" s="13">
        <f>credit_to_gdp_ALL_ctry!G20-credit_to_gdp_ALL_ctry!G8</f>
        <v>6.6000000000000085</v>
      </c>
      <c r="H20" s="13">
        <f>credit_to_gdp_ALL_ctry!H20-credit_to_gdp_ALL_ctry!H8</f>
        <v>6.9000000000000057</v>
      </c>
      <c r="J20" s="13">
        <f>credit_to_gdp_ALL_ctry!J20-credit_to_gdp_ALL_ctry!J8</f>
        <v>-1.5999999999999943</v>
      </c>
      <c r="N20" s="13">
        <f>credit_to_gdp_ALL_ctry!N20-credit_to_gdp_ALL_ctry!N8</f>
        <v>9.1999999999999886</v>
      </c>
      <c r="O20" s="13">
        <f>credit_to_gdp_ALL_ctry!O20-credit_to_gdp_ALL_ctry!O8</f>
        <v>2.9000000000000057</v>
      </c>
      <c r="P20" s="13">
        <f>credit_to_gdp_ALL_ctry!P20-credit_to_gdp_ALL_ctry!P8</f>
        <v>-9.6999999999999886</v>
      </c>
      <c r="Q20" s="13">
        <f>credit_to_gdp_ALL_ctry!Q20-credit_to_gdp_ALL_ctry!Q8</f>
        <v>7.8999999999999915</v>
      </c>
      <c r="R20" s="13">
        <f>credit_to_gdp_ALL_ctry!R20-credit_to_gdp_ALL_ctry!R8</f>
        <v>6.3000000000000114</v>
      </c>
    </row>
    <row r="21" spans="1:22" x14ac:dyDescent="0.45">
      <c r="A21" t="s">
        <v>154</v>
      </c>
      <c r="B21" s="13">
        <f>credit_to_gdp_ALL_ctry!B21-credit_to_gdp_ALL_ctry!B9</f>
        <v>10.600000000000009</v>
      </c>
      <c r="D21" s="13">
        <f>credit_to_gdp_ALL_ctry!D21-credit_to_gdp_ALL_ctry!D9</f>
        <v>6.7999999999999972</v>
      </c>
      <c r="G21" s="13">
        <f>credit_to_gdp_ALL_ctry!G21-credit_to_gdp_ALL_ctry!G9</f>
        <v>5.6999999999999886</v>
      </c>
      <c r="H21" s="13">
        <f>credit_to_gdp_ALL_ctry!H21-credit_to_gdp_ALL_ctry!H9</f>
        <v>5.5999999999999943</v>
      </c>
      <c r="J21" s="13">
        <f>credit_to_gdp_ALL_ctry!J21-credit_to_gdp_ALL_ctry!J9</f>
        <v>-3.9000000000000057</v>
      </c>
      <c r="N21" s="13">
        <f>credit_to_gdp_ALL_ctry!N21-credit_to_gdp_ALL_ctry!N9</f>
        <v>9.8000000000000114</v>
      </c>
      <c r="O21" s="13">
        <f>credit_to_gdp_ALL_ctry!O21-credit_to_gdp_ALL_ctry!O9</f>
        <v>9.9999999999994316E-2</v>
      </c>
      <c r="P21" s="13">
        <f>credit_to_gdp_ALL_ctry!P21-credit_to_gdp_ALL_ctry!P9</f>
        <v>-27.499999999999986</v>
      </c>
      <c r="Q21" s="13">
        <f>credit_to_gdp_ALL_ctry!Q21-credit_to_gdp_ALL_ctry!Q9</f>
        <v>4.1999999999999957</v>
      </c>
      <c r="R21" s="13">
        <f>credit_to_gdp_ALL_ctry!R21-credit_to_gdp_ALL_ctry!R9</f>
        <v>6.0999999999999943</v>
      </c>
    </row>
    <row r="22" spans="1:22" x14ac:dyDescent="0.45">
      <c r="A22" t="s">
        <v>155</v>
      </c>
      <c r="B22" s="13">
        <f>credit_to_gdp_ALL_ctry!B22-credit_to_gdp_ALL_ctry!B10</f>
        <v>10.200000000000003</v>
      </c>
      <c r="D22" s="13">
        <f>credit_to_gdp_ALL_ctry!D22-credit_to_gdp_ALL_ctry!D10</f>
        <v>7.2000000000000028</v>
      </c>
      <c r="G22" s="13">
        <f>credit_to_gdp_ALL_ctry!G22-credit_to_gdp_ALL_ctry!G10</f>
        <v>3.7999999999999972</v>
      </c>
      <c r="H22" s="13">
        <f>credit_to_gdp_ALL_ctry!H22-credit_to_gdp_ALL_ctry!H10</f>
        <v>5.0999999999999943</v>
      </c>
      <c r="J22" s="13">
        <f>credit_to_gdp_ALL_ctry!J22-credit_to_gdp_ALL_ctry!J10</f>
        <v>-5.1000000000000085</v>
      </c>
      <c r="N22" s="13">
        <f>credit_to_gdp_ALL_ctry!N22-credit_to_gdp_ALL_ctry!N10</f>
        <v>11</v>
      </c>
      <c r="O22" s="13">
        <f>credit_to_gdp_ALL_ctry!O22-credit_to_gdp_ALL_ctry!O10</f>
        <v>-2.5999999999999943</v>
      </c>
      <c r="P22" s="13">
        <f>credit_to_gdp_ALL_ctry!P22-credit_to_gdp_ALL_ctry!P10</f>
        <v>-23.599999999999994</v>
      </c>
      <c r="Q22" s="13">
        <f>credit_to_gdp_ALL_ctry!Q22-credit_to_gdp_ALL_ctry!Q10</f>
        <v>-1.1000000000000014</v>
      </c>
      <c r="R22" s="13">
        <f>credit_to_gdp_ALL_ctry!R22-credit_to_gdp_ALL_ctry!R10</f>
        <v>4.7000000000000028</v>
      </c>
    </row>
    <row r="23" spans="1:22" x14ac:dyDescent="0.45">
      <c r="A23" t="s">
        <v>156</v>
      </c>
      <c r="B23" s="13">
        <f>credit_to_gdp_ALL_ctry!B23-credit_to_gdp_ALL_ctry!B11</f>
        <v>9.6000000000000085</v>
      </c>
      <c r="D23" s="13">
        <f>credit_to_gdp_ALL_ctry!D23-credit_to_gdp_ALL_ctry!D11</f>
        <v>7.5</v>
      </c>
      <c r="G23" s="13">
        <f>credit_to_gdp_ALL_ctry!G23-credit_to_gdp_ALL_ctry!G11</f>
        <v>0.20000000000000284</v>
      </c>
      <c r="H23" s="13">
        <f>credit_to_gdp_ALL_ctry!H23-credit_to_gdp_ALL_ctry!H11</f>
        <v>4.2000000000000028</v>
      </c>
      <c r="J23" s="13">
        <f>credit_to_gdp_ALL_ctry!J23-credit_to_gdp_ALL_ctry!J11</f>
        <v>-5.7999999999999972</v>
      </c>
      <c r="N23" s="13">
        <f>credit_to_gdp_ALL_ctry!N23-credit_to_gdp_ALL_ctry!N11</f>
        <v>10.799999999999997</v>
      </c>
      <c r="O23" s="13">
        <f>credit_to_gdp_ALL_ctry!O23-credit_to_gdp_ALL_ctry!O11</f>
        <v>-4.7000000000000028</v>
      </c>
      <c r="P23" s="13">
        <f>credit_to_gdp_ALL_ctry!P23-credit_to_gdp_ALL_ctry!P11</f>
        <v>-20.600000000000009</v>
      </c>
      <c r="Q23" s="13">
        <f>credit_to_gdp_ALL_ctry!Q23-credit_to_gdp_ALL_ctry!Q11</f>
        <v>-2</v>
      </c>
      <c r="R23" s="13">
        <f>credit_to_gdp_ALL_ctry!R23-credit_to_gdp_ALL_ctry!R11</f>
        <v>3.2000000000000028</v>
      </c>
    </row>
    <row r="24" spans="1:22" x14ac:dyDescent="0.45">
      <c r="A24" t="s">
        <v>157</v>
      </c>
      <c r="B24" s="13">
        <f>credit_to_gdp_ALL_ctry!B24-credit_to_gdp_ALL_ctry!B12</f>
        <v>9</v>
      </c>
      <c r="D24" s="13">
        <f>credit_to_gdp_ALL_ctry!D24-credit_to_gdp_ALL_ctry!D12</f>
        <v>6.8999999999999915</v>
      </c>
      <c r="G24" s="13">
        <f>credit_to_gdp_ALL_ctry!G24-credit_to_gdp_ALL_ctry!G12</f>
        <v>-0.60000000000000853</v>
      </c>
      <c r="H24" s="13">
        <f>credit_to_gdp_ALL_ctry!H24-credit_to_gdp_ALL_ctry!H12</f>
        <v>4.1999999999999886</v>
      </c>
      <c r="J24" s="13">
        <f>credit_to_gdp_ALL_ctry!J24-credit_to_gdp_ALL_ctry!J12</f>
        <v>-6.2999999999999972</v>
      </c>
      <c r="N24" s="13">
        <f>credit_to_gdp_ALL_ctry!N24-credit_to_gdp_ALL_ctry!N12</f>
        <v>10.400000000000006</v>
      </c>
      <c r="O24" s="13">
        <f>credit_to_gdp_ALL_ctry!O24-credit_to_gdp_ALL_ctry!O12</f>
        <v>-7.6000000000000085</v>
      </c>
      <c r="P24" s="13">
        <f>credit_to_gdp_ALL_ctry!P24-credit_to_gdp_ALL_ctry!P12</f>
        <v>-17.600000000000009</v>
      </c>
      <c r="Q24" s="13">
        <f>credit_to_gdp_ALL_ctry!Q24-credit_to_gdp_ALL_ctry!Q12</f>
        <v>-8.2000000000000028</v>
      </c>
      <c r="R24" s="13">
        <f>credit_to_gdp_ALL_ctry!R24-credit_to_gdp_ALL_ctry!R12</f>
        <v>2.2999999999999972</v>
      </c>
    </row>
    <row r="25" spans="1:22" x14ac:dyDescent="0.45">
      <c r="A25" t="s">
        <v>158</v>
      </c>
      <c r="B25" s="13">
        <f>credit_to_gdp_ALL_ctry!B25-credit_to_gdp_ALL_ctry!B13</f>
        <v>9</v>
      </c>
      <c r="D25" s="13">
        <f>credit_to_gdp_ALL_ctry!D25-credit_to_gdp_ALL_ctry!D13</f>
        <v>6.2999999999999972</v>
      </c>
      <c r="G25" s="13">
        <f>credit_to_gdp_ALL_ctry!G25-credit_to_gdp_ALL_ctry!G13</f>
        <v>-9.9999999999994316E-2</v>
      </c>
      <c r="H25" s="13">
        <f>credit_to_gdp_ALL_ctry!H25-credit_to_gdp_ALL_ctry!H13</f>
        <v>4</v>
      </c>
      <c r="J25" s="13">
        <f>credit_to_gdp_ALL_ctry!J25-credit_to_gdp_ALL_ctry!J13</f>
        <v>-7</v>
      </c>
      <c r="N25" s="13">
        <f>credit_to_gdp_ALL_ctry!N25-credit_to_gdp_ALL_ctry!N13</f>
        <v>9.9000000000000057</v>
      </c>
      <c r="O25" s="13">
        <f>credit_to_gdp_ALL_ctry!O25-credit_to_gdp_ALL_ctry!O13</f>
        <v>-7.0999999999999943</v>
      </c>
      <c r="P25" s="13">
        <f>credit_to_gdp_ALL_ctry!P25-credit_to_gdp_ALL_ctry!P13</f>
        <v>-12.700000000000003</v>
      </c>
      <c r="Q25" s="13">
        <f>credit_to_gdp_ALL_ctry!Q25-credit_to_gdp_ALL_ctry!Q13</f>
        <v>-7.1000000000000014</v>
      </c>
      <c r="R25" s="13">
        <f>credit_to_gdp_ALL_ctry!R25-credit_to_gdp_ALL_ctry!R13</f>
        <v>1.3000000000000114</v>
      </c>
    </row>
    <row r="26" spans="1:22" x14ac:dyDescent="0.45">
      <c r="A26" t="s">
        <v>159</v>
      </c>
      <c r="B26" s="13">
        <f>credit_to_gdp_ALL_ctry!B26-credit_to_gdp_ALL_ctry!B14</f>
        <v>6.8999999999999915</v>
      </c>
      <c r="D26" s="13">
        <f>credit_to_gdp_ALL_ctry!D26-credit_to_gdp_ALL_ctry!D14</f>
        <v>5.9000000000000057</v>
      </c>
      <c r="G26" s="13">
        <f>credit_to_gdp_ALL_ctry!G26-credit_to_gdp_ALL_ctry!G14</f>
        <v>0</v>
      </c>
      <c r="H26" s="13">
        <f>credit_to_gdp_ALL_ctry!H26-credit_to_gdp_ALL_ctry!H14</f>
        <v>2.5</v>
      </c>
      <c r="J26" s="13">
        <f>credit_to_gdp_ALL_ctry!J26-credit_to_gdp_ALL_ctry!J14</f>
        <v>-8.5</v>
      </c>
      <c r="N26" s="13">
        <f>credit_to_gdp_ALL_ctry!N26-credit_to_gdp_ALL_ctry!N14</f>
        <v>8.9000000000000057</v>
      </c>
      <c r="O26" s="13">
        <f>credit_to_gdp_ALL_ctry!O26-credit_to_gdp_ALL_ctry!O14</f>
        <v>-8.1000000000000085</v>
      </c>
      <c r="P26" s="13">
        <f>credit_to_gdp_ALL_ctry!P26-credit_to_gdp_ALL_ctry!P14</f>
        <v>-9.1999999999999886</v>
      </c>
      <c r="Q26" s="13">
        <f>credit_to_gdp_ALL_ctry!Q26-credit_to_gdp_ALL_ctry!Q14</f>
        <v>-6.5</v>
      </c>
      <c r="R26" s="13">
        <f>credit_to_gdp_ALL_ctry!R26-credit_to_gdp_ALL_ctry!R14</f>
        <v>-0.59999999999999432</v>
      </c>
    </row>
    <row r="27" spans="1:22" x14ac:dyDescent="0.45">
      <c r="A27" t="s">
        <v>160</v>
      </c>
      <c r="B27" s="13">
        <f>credit_to_gdp_ALL_ctry!B27-credit_to_gdp_ALL_ctry!B15</f>
        <v>5.1000000000000085</v>
      </c>
      <c r="D27" s="13">
        <f>credit_to_gdp_ALL_ctry!D27-credit_to_gdp_ALL_ctry!D15</f>
        <v>4.5</v>
      </c>
      <c r="G27" s="13">
        <f>credit_to_gdp_ALL_ctry!G27-credit_to_gdp_ALL_ctry!G15</f>
        <v>-2.5999999999999943</v>
      </c>
      <c r="H27" s="13">
        <f>credit_to_gdp_ALL_ctry!H27-credit_to_gdp_ALL_ctry!H15</f>
        <v>2.4000000000000057</v>
      </c>
      <c r="J27" s="13">
        <f>credit_to_gdp_ALL_ctry!J27-credit_to_gdp_ALL_ctry!J15</f>
        <v>-11.900000000000006</v>
      </c>
      <c r="N27" s="13">
        <f>credit_to_gdp_ALL_ctry!N27-credit_to_gdp_ALL_ctry!N15</f>
        <v>8.7999999999999972</v>
      </c>
      <c r="O27" s="13">
        <f>credit_to_gdp_ALL_ctry!O27-credit_to_gdp_ALL_ctry!O15</f>
        <v>-6.2000000000000028</v>
      </c>
      <c r="P27" s="13">
        <f>credit_to_gdp_ALL_ctry!P27-credit_to_gdp_ALL_ctry!P15</f>
        <v>-5.5</v>
      </c>
      <c r="Q27" s="13">
        <f>credit_to_gdp_ALL_ctry!Q27-credit_to_gdp_ALL_ctry!Q15</f>
        <v>-9.0999999999999943</v>
      </c>
      <c r="R27" s="13">
        <f>credit_to_gdp_ALL_ctry!R27-credit_to_gdp_ALL_ctry!R15</f>
        <v>-1.5999999999999943</v>
      </c>
    </row>
    <row r="28" spans="1:22" x14ac:dyDescent="0.45">
      <c r="A28" t="s">
        <v>161</v>
      </c>
      <c r="B28" s="13">
        <f>credit_to_gdp_ALL_ctry!B28-credit_to_gdp_ALL_ctry!B16</f>
        <v>4</v>
      </c>
      <c r="D28" s="13">
        <f>credit_to_gdp_ALL_ctry!D28-credit_to_gdp_ALL_ctry!D16</f>
        <v>4.9000000000000057</v>
      </c>
      <c r="G28" s="13">
        <f>credit_to_gdp_ALL_ctry!G28-credit_to_gdp_ALL_ctry!G16</f>
        <v>-3.0999999999999943</v>
      </c>
      <c r="H28" s="13">
        <f>credit_to_gdp_ALL_ctry!H28-credit_to_gdp_ALL_ctry!H16</f>
        <v>2.4000000000000057</v>
      </c>
      <c r="J28" s="13">
        <f>credit_to_gdp_ALL_ctry!J28-credit_to_gdp_ALL_ctry!J16</f>
        <v>-11.799999999999997</v>
      </c>
      <c r="N28" s="13">
        <f>credit_to_gdp_ALL_ctry!N28-credit_to_gdp_ALL_ctry!N16</f>
        <v>7.7999999999999972</v>
      </c>
      <c r="O28" s="13">
        <f>credit_to_gdp_ALL_ctry!O28-credit_to_gdp_ALL_ctry!O16</f>
        <v>-6.0999999999999943</v>
      </c>
      <c r="P28" s="13">
        <f>credit_to_gdp_ALL_ctry!P28-credit_to_gdp_ALL_ctry!P16</f>
        <v>-5.0999999999999943</v>
      </c>
      <c r="Q28" s="13">
        <f>credit_to_gdp_ALL_ctry!Q28-credit_to_gdp_ALL_ctry!Q16</f>
        <v>-8.5000000000000071</v>
      </c>
      <c r="R28" s="13">
        <f>credit_to_gdp_ALL_ctry!R28-credit_to_gdp_ALL_ctry!R16</f>
        <v>-2.1000000000000085</v>
      </c>
    </row>
    <row r="29" spans="1:22" x14ac:dyDescent="0.45">
      <c r="A29" t="s">
        <v>162</v>
      </c>
      <c r="B29" s="13">
        <f>credit_to_gdp_ALL_ctry!B29-credit_to_gdp_ALL_ctry!B17</f>
        <v>3.7999999999999972</v>
      </c>
      <c r="D29" s="13">
        <f>credit_to_gdp_ALL_ctry!D29-credit_to_gdp_ALL_ctry!D17</f>
        <v>5.0999999999999943</v>
      </c>
      <c r="G29" s="13">
        <f>credit_to_gdp_ALL_ctry!G29-credit_to_gdp_ALL_ctry!G17</f>
        <v>-3.1000000000000085</v>
      </c>
      <c r="H29" s="13">
        <f>credit_to_gdp_ALL_ctry!H29-credit_to_gdp_ALL_ctry!H17</f>
        <v>2.7999999999999972</v>
      </c>
      <c r="J29" s="13">
        <f>credit_to_gdp_ALL_ctry!J29-credit_to_gdp_ALL_ctry!J17</f>
        <v>-11.299999999999997</v>
      </c>
      <c r="N29" s="13">
        <f>credit_to_gdp_ALL_ctry!N29-credit_to_gdp_ALL_ctry!N17</f>
        <v>7.2999999999999972</v>
      </c>
      <c r="O29" s="13">
        <f>credit_to_gdp_ALL_ctry!O29-credit_to_gdp_ALL_ctry!O17</f>
        <v>-9.4000000000000057</v>
      </c>
      <c r="P29" s="13">
        <f>credit_to_gdp_ALL_ctry!P29-credit_to_gdp_ALL_ctry!P17</f>
        <v>-1.6000000000000227</v>
      </c>
      <c r="Q29" s="13">
        <f>credit_to_gdp_ALL_ctry!Q29-credit_to_gdp_ALL_ctry!Q17</f>
        <v>-5.6000000000000014</v>
      </c>
      <c r="R29" s="13">
        <f>credit_to_gdp_ALL_ctry!R29-credit_to_gdp_ALL_ctry!R17</f>
        <v>-1.5999999999999943</v>
      </c>
    </row>
    <row r="30" spans="1:22" x14ac:dyDescent="0.45">
      <c r="A30" t="s">
        <v>163</v>
      </c>
      <c r="B30" s="13">
        <f>credit_to_gdp_ALL_ctry!B30-credit_to_gdp_ALL_ctry!B18</f>
        <v>1.7999999999999972</v>
      </c>
      <c r="D30" s="13">
        <f>credit_to_gdp_ALL_ctry!D30-credit_to_gdp_ALL_ctry!D18</f>
        <v>6.7999999999999972</v>
      </c>
      <c r="G30" s="13">
        <f>credit_to_gdp_ALL_ctry!G30-credit_to_gdp_ALL_ctry!G18</f>
        <v>-2.2999999999999972</v>
      </c>
      <c r="H30" s="13">
        <f>credit_to_gdp_ALL_ctry!H30-credit_to_gdp_ALL_ctry!H18</f>
        <v>2</v>
      </c>
      <c r="J30" s="13">
        <f>credit_to_gdp_ALL_ctry!J30-credit_to_gdp_ALL_ctry!J18</f>
        <v>-11.5</v>
      </c>
      <c r="N30" s="13">
        <f>credit_to_gdp_ALL_ctry!N30-credit_to_gdp_ALL_ctry!N18</f>
        <v>7.7999999999999972</v>
      </c>
      <c r="O30" s="13">
        <f>credit_to_gdp_ALL_ctry!O30-credit_to_gdp_ALL_ctry!O18</f>
        <v>-10.399999999999991</v>
      </c>
      <c r="P30" s="13">
        <f>credit_to_gdp_ALL_ctry!P30-credit_to_gdp_ALL_ctry!P18</f>
        <v>-1.2000000000000171</v>
      </c>
      <c r="Q30" s="13">
        <f>credit_to_gdp_ALL_ctry!Q30-credit_to_gdp_ALL_ctry!Q18</f>
        <v>-8.7000000000000028</v>
      </c>
      <c r="R30" s="13">
        <f>credit_to_gdp_ALL_ctry!R30-credit_to_gdp_ALL_ctry!R18</f>
        <v>-1.5</v>
      </c>
    </row>
    <row r="31" spans="1:22" x14ac:dyDescent="0.45">
      <c r="A31" t="s">
        <v>164</v>
      </c>
      <c r="B31" s="13">
        <f>credit_to_gdp_ALL_ctry!B31-credit_to_gdp_ALL_ctry!B19</f>
        <v>-0.20000000000000284</v>
      </c>
      <c r="D31" s="13">
        <f>credit_to_gdp_ALL_ctry!D31-credit_to_gdp_ALL_ctry!D19</f>
        <v>7.7000000000000028</v>
      </c>
      <c r="G31" s="13">
        <f>credit_to_gdp_ALL_ctry!G31-credit_to_gdp_ALL_ctry!G19</f>
        <v>-1.6000000000000085</v>
      </c>
      <c r="H31" s="13">
        <f>credit_to_gdp_ALL_ctry!H31-credit_to_gdp_ALL_ctry!H19</f>
        <v>2.5</v>
      </c>
      <c r="J31" s="13">
        <f>credit_to_gdp_ALL_ctry!J31-credit_to_gdp_ALL_ctry!J19</f>
        <v>-12</v>
      </c>
      <c r="N31" s="13">
        <f>credit_to_gdp_ALL_ctry!N31-credit_to_gdp_ALL_ctry!N19</f>
        <v>6.4000000000000057</v>
      </c>
      <c r="O31" s="13">
        <f>credit_to_gdp_ALL_ctry!O31-credit_to_gdp_ALL_ctry!O19</f>
        <v>-9.6999999999999886</v>
      </c>
      <c r="P31" s="13">
        <f>credit_to_gdp_ALL_ctry!P31-credit_to_gdp_ALL_ctry!P19</f>
        <v>2.4000000000000057</v>
      </c>
      <c r="Q31" s="13">
        <f>credit_to_gdp_ALL_ctry!Q31-credit_to_gdp_ALL_ctry!Q19</f>
        <v>-8.2999999999999972</v>
      </c>
      <c r="R31" s="13">
        <f>credit_to_gdp_ALL_ctry!R31-credit_to_gdp_ALL_ctry!R19</f>
        <v>-2</v>
      </c>
    </row>
    <row r="32" spans="1:22" x14ac:dyDescent="0.45">
      <c r="A32" t="s">
        <v>165</v>
      </c>
      <c r="B32" s="13">
        <f>credit_to_gdp_ALL_ctry!B32-credit_to_gdp_ALL_ctry!B20</f>
        <v>-1.6000000000000085</v>
      </c>
      <c r="D32" s="13">
        <f>credit_to_gdp_ALL_ctry!D32-credit_to_gdp_ALL_ctry!D20</f>
        <v>9</v>
      </c>
      <c r="G32" s="13">
        <f>credit_to_gdp_ALL_ctry!G32-credit_to_gdp_ALL_ctry!G20</f>
        <v>-0.40000000000000568</v>
      </c>
      <c r="H32" s="13">
        <f>credit_to_gdp_ALL_ctry!H32-credit_to_gdp_ALL_ctry!H20</f>
        <v>2.5999999999999943</v>
      </c>
      <c r="J32" s="13">
        <f>credit_to_gdp_ALL_ctry!J32-credit_to_gdp_ALL_ctry!J20</f>
        <v>-11.5</v>
      </c>
      <c r="N32" s="13">
        <f>credit_to_gdp_ALL_ctry!N32-credit_to_gdp_ALL_ctry!N20</f>
        <v>3.1000000000000085</v>
      </c>
      <c r="O32" s="13">
        <f>credit_to_gdp_ALL_ctry!O32-credit_to_gdp_ALL_ctry!O20</f>
        <v>-7.9000000000000057</v>
      </c>
      <c r="P32" s="13">
        <f>credit_to_gdp_ALL_ctry!P32-credit_to_gdp_ALL_ctry!P20</f>
        <v>3.5</v>
      </c>
      <c r="Q32" s="13">
        <f>credit_to_gdp_ALL_ctry!Q32-credit_to_gdp_ALL_ctry!Q20</f>
        <v>-8.1999999999999957</v>
      </c>
      <c r="R32" s="13">
        <f>credit_to_gdp_ALL_ctry!R32-credit_to_gdp_ALL_ctry!R20</f>
        <v>-2.2000000000000028</v>
      </c>
    </row>
    <row r="33" spans="1:18" x14ac:dyDescent="0.45">
      <c r="A33" t="s">
        <v>166</v>
      </c>
      <c r="B33" s="13">
        <f>credit_to_gdp_ALL_ctry!B33-credit_to_gdp_ALL_ctry!B21</f>
        <v>-2.6000000000000085</v>
      </c>
      <c r="D33" s="13">
        <f>credit_to_gdp_ALL_ctry!D33-credit_to_gdp_ALL_ctry!D21</f>
        <v>9.3999999999999915</v>
      </c>
      <c r="G33" s="13">
        <f>credit_to_gdp_ALL_ctry!G33-credit_to_gdp_ALL_ctry!G21</f>
        <v>-0.79999999999999716</v>
      </c>
      <c r="H33" s="13">
        <f>credit_to_gdp_ALL_ctry!H33-credit_to_gdp_ALL_ctry!H21</f>
        <v>3.5999999999999943</v>
      </c>
      <c r="J33" s="13">
        <f>credit_to_gdp_ALL_ctry!J33-credit_to_gdp_ALL_ctry!J21</f>
        <v>-9.5999999999999943</v>
      </c>
      <c r="N33" s="13">
        <f>credit_to_gdp_ALL_ctry!N33-credit_to_gdp_ALL_ctry!N21</f>
        <v>0.19999999999998863</v>
      </c>
      <c r="O33" s="13">
        <f>credit_to_gdp_ALL_ctry!O33-credit_to_gdp_ALL_ctry!O21</f>
        <v>-5.7000000000000028</v>
      </c>
      <c r="P33" s="13">
        <f>credit_to_gdp_ALL_ctry!P33-credit_to_gdp_ALL_ctry!P21</f>
        <v>27.600000000000009</v>
      </c>
      <c r="Q33" s="13">
        <f>credit_to_gdp_ALL_ctry!Q33-credit_to_gdp_ALL_ctry!Q21</f>
        <v>-5.2999999999999972</v>
      </c>
      <c r="R33" s="13">
        <f>credit_to_gdp_ALL_ctry!R33-credit_to_gdp_ALL_ctry!R21</f>
        <v>-1.5</v>
      </c>
    </row>
    <row r="34" spans="1:18" x14ac:dyDescent="0.45">
      <c r="A34" t="s">
        <v>167</v>
      </c>
      <c r="B34" s="13">
        <f>credit_to_gdp_ALL_ctry!B34-credit_to_gdp_ALL_ctry!B22</f>
        <v>-2</v>
      </c>
      <c r="D34" s="13">
        <f>credit_to_gdp_ALL_ctry!D34-credit_to_gdp_ALL_ctry!D22</f>
        <v>9.9000000000000057</v>
      </c>
      <c r="G34" s="13">
        <f>credit_to_gdp_ALL_ctry!G34-credit_to_gdp_ALL_ctry!G22</f>
        <v>2.7999999999999972</v>
      </c>
      <c r="H34" s="13">
        <f>credit_to_gdp_ALL_ctry!H34-credit_to_gdp_ALL_ctry!H22</f>
        <v>2.6000000000000085</v>
      </c>
      <c r="J34" s="13">
        <f>credit_to_gdp_ALL_ctry!J34-credit_to_gdp_ALL_ctry!J22</f>
        <v>-13.599999999999994</v>
      </c>
      <c r="N34" s="13">
        <f>credit_to_gdp_ALL_ctry!N34-credit_to_gdp_ALL_ctry!N22</f>
        <v>-2.8000000000000114</v>
      </c>
      <c r="O34" s="13">
        <f>credit_to_gdp_ALL_ctry!O34-credit_to_gdp_ALL_ctry!O22</f>
        <v>-3.9000000000000057</v>
      </c>
      <c r="P34" s="13">
        <f>credit_to_gdp_ALL_ctry!P34-credit_to_gdp_ALL_ctry!P22</f>
        <v>23.700000000000017</v>
      </c>
      <c r="Q34" s="13">
        <f>credit_to_gdp_ALL_ctry!Q34-credit_to_gdp_ALL_ctry!Q22</f>
        <v>-3.6000000000000014</v>
      </c>
      <c r="R34" s="13">
        <f>credit_to_gdp_ALL_ctry!R34-credit_to_gdp_ALL_ctry!R22</f>
        <v>-0.10000000000000853</v>
      </c>
    </row>
    <row r="35" spans="1:18" x14ac:dyDescent="0.45">
      <c r="A35" t="s">
        <v>168</v>
      </c>
      <c r="B35" s="13">
        <f>credit_to_gdp_ALL_ctry!B35-credit_to_gdp_ALL_ctry!B23</f>
        <v>0.39999999999999147</v>
      </c>
      <c r="D35" s="13">
        <f>credit_to_gdp_ALL_ctry!D35-credit_to_gdp_ALL_ctry!D23</f>
        <v>9.6000000000000085</v>
      </c>
      <c r="G35" s="13">
        <f>credit_to_gdp_ALL_ctry!G35-credit_to_gdp_ALL_ctry!G23</f>
        <v>1.2999999999999972</v>
      </c>
      <c r="H35" s="13">
        <f>credit_to_gdp_ALL_ctry!H35-credit_to_gdp_ALL_ctry!H23</f>
        <v>3</v>
      </c>
      <c r="J35" s="13">
        <f>credit_to_gdp_ALL_ctry!J35-credit_to_gdp_ALL_ctry!J23</f>
        <v>-16.700000000000003</v>
      </c>
      <c r="N35" s="13">
        <f>credit_to_gdp_ALL_ctry!N35-credit_to_gdp_ALL_ctry!N23</f>
        <v>-5</v>
      </c>
      <c r="O35" s="13">
        <f>credit_to_gdp_ALL_ctry!O35-credit_to_gdp_ALL_ctry!O23</f>
        <v>-2.5999999999999943</v>
      </c>
      <c r="P35" s="13">
        <f>credit_to_gdp_ALL_ctry!P35-credit_to_gdp_ALL_ctry!P23</f>
        <v>22.499999999999986</v>
      </c>
      <c r="Q35" s="13">
        <f>credit_to_gdp_ALL_ctry!Q35-credit_to_gdp_ALL_ctry!Q23</f>
        <v>-2.8999999999999986</v>
      </c>
      <c r="R35" s="13">
        <f>credit_to_gdp_ALL_ctry!R35-credit_to_gdp_ALL_ctry!R23</f>
        <v>1.1999999999999886</v>
      </c>
    </row>
    <row r="36" spans="1:18" x14ac:dyDescent="0.45">
      <c r="A36" t="s">
        <v>169</v>
      </c>
      <c r="B36" s="13">
        <f>credit_to_gdp_ALL_ctry!B36-credit_to_gdp_ALL_ctry!B24</f>
        <v>0.5</v>
      </c>
      <c r="D36" s="13">
        <f>credit_to_gdp_ALL_ctry!D36-credit_to_gdp_ALL_ctry!D24</f>
        <v>10.100000000000009</v>
      </c>
      <c r="G36" s="13">
        <f>credit_to_gdp_ALL_ctry!G36-credit_to_gdp_ALL_ctry!G24</f>
        <v>-1.5</v>
      </c>
      <c r="H36" s="13">
        <f>credit_to_gdp_ALL_ctry!H36-credit_to_gdp_ALL_ctry!H24</f>
        <v>2.8000000000000114</v>
      </c>
      <c r="J36" s="13">
        <f>credit_to_gdp_ALL_ctry!J36-credit_to_gdp_ALL_ctry!J24</f>
        <v>-17.799999999999997</v>
      </c>
      <c r="N36" s="13">
        <f>credit_to_gdp_ALL_ctry!N36-credit_to_gdp_ALL_ctry!N24</f>
        <v>-7.3000000000000114</v>
      </c>
      <c r="O36" s="13">
        <f>credit_to_gdp_ALL_ctry!O36-credit_to_gdp_ALL_ctry!O24</f>
        <v>-0.69999999999998863</v>
      </c>
      <c r="P36" s="13">
        <f>credit_to_gdp_ALL_ctry!P36-credit_to_gdp_ALL_ctry!P24</f>
        <v>21.299999999999997</v>
      </c>
      <c r="Q36" s="13">
        <f>credit_to_gdp_ALL_ctry!Q36-credit_to_gdp_ALL_ctry!Q24</f>
        <v>-0.89999999999999858</v>
      </c>
      <c r="R36" s="13">
        <f>credit_to_gdp_ALL_ctry!R36-credit_to_gdp_ALL_ctry!R24</f>
        <v>2.2000000000000028</v>
      </c>
    </row>
    <row r="37" spans="1:18" x14ac:dyDescent="0.45">
      <c r="A37" t="s">
        <v>170</v>
      </c>
      <c r="B37" s="13">
        <f>credit_to_gdp_ALL_ctry!B37-credit_to_gdp_ALL_ctry!B25</f>
        <v>1.2000000000000028</v>
      </c>
      <c r="D37" s="13">
        <f>credit_to_gdp_ALL_ctry!D37-credit_to_gdp_ALL_ctry!D25</f>
        <v>10.900000000000006</v>
      </c>
      <c r="G37" s="13">
        <f>credit_to_gdp_ALL_ctry!G37-credit_to_gdp_ALL_ctry!G25</f>
        <v>-4.5</v>
      </c>
      <c r="H37" s="13">
        <f>credit_to_gdp_ALL_ctry!H37-credit_to_gdp_ALL_ctry!H25</f>
        <v>2.7999999999999972</v>
      </c>
      <c r="J37" s="13">
        <f>credit_to_gdp_ALL_ctry!J37-credit_to_gdp_ALL_ctry!J25</f>
        <v>-16.5</v>
      </c>
      <c r="N37" s="13">
        <f>credit_to_gdp_ALL_ctry!N37-credit_to_gdp_ALL_ctry!N25</f>
        <v>-9.5</v>
      </c>
      <c r="O37" s="13">
        <f>credit_to_gdp_ALL_ctry!O37-credit_to_gdp_ALL_ctry!O25</f>
        <v>0.19999999999998863</v>
      </c>
      <c r="P37" s="13">
        <f>credit_to_gdp_ALL_ctry!P37-credit_to_gdp_ALL_ctry!P25</f>
        <v>21.499999999999986</v>
      </c>
      <c r="Q37" s="13">
        <f>credit_to_gdp_ALL_ctry!Q37-credit_to_gdp_ALL_ctry!Q25</f>
        <v>-2.3999999999999986</v>
      </c>
      <c r="R37" s="13">
        <f>credit_to_gdp_ALL_ctry!R37-credit_to_gdp_ALL_ctry!R25</f>
        <v>2.5999999999999943</v>
      </c>
    </row>
    <row r="38" spans="1:18" x14ac:dyDescent="0.45">
      <c r="A38" t="s">
        <v>171</v>
      </c>
      <c r="B38" s="13">
        <f>credit_to_gdp_ALL_ctry!B38-credit_to_gdp_ALL_ctry!B26</f>
        <v>0.60000000000000853</v>
      </c>
      <c r="D38" s="13">
        <f>credit_to_gdp_ALL_ctry!D38-credit_to_gdp_ALL_ctry!D26</f>
        <v>12.599999999999994</v>
      </c>
      <c r="G38" s="13">
        <f>credit_to_gdp_ALL_ctry!G38-credit_to_gdp_ALL_ctry!G26</f>
        <v>-5.3999999999999915</v>
      </c>
      <c r="H38" s="13">
        <f>credit_to_gdp_ALL_ctry!H38-credit_to_gdp_ALL_ctry!H26</f>
        <v>3.7000000000000028</v>
      </c>
      <c r="J38" s="13">
        <f>credit_to_gdp_ALL_ctry!J38-credit_to_gdp_ALL_ctry!J26</f>
        <v>-18</v>
      </c>
      <c r="N38" s="13">
        <f>credit_to_gdp_ALL_ctry!N38-credit_to_gdp_ALL_ctry!N26</f>
        <v>-9.0999999999999943</v>
      </c>
      <c r="O38" s="13">
        <f>credit_to_gdp_ALL_ctry!O38-credit_to_gdp_ALL_ctry!O26</f>
        <v>0.90000000000000568</v>
      </c>
      <c r="P38" s="13">
        <f>credit_to_gdp_ALL_ctry!P38-credit_to_gdp_ALL_ctry!P26</f>
        <v>19.299999999999983</v>
      </c>
      <c r="Q38" s="13">
        <f>credit_to_gdp_ALL_ctry!Q38-credit_to_gdp_ALL_ctry!Q26</f>
        <v>-1.5</v>
      </c>
      <c r="R38" s="13">
        <f>credit_to_gdp_ALL_ctry!R38-credit_to_gdp_ALL_ctry!R26</f>
        <v>3.5999999999999943</v>
      </c>
    </row>
    <row r="39" spans="1:18" x14ac:dyDescent="0.45">
      <c r="A39" t="s">
        <v>172</v>
      </c>
      <c r="B39" s="13">
        <f>credit_to_gdp_ALL_ctry!B39-credit_to_gdp_ALL_ctry!B27</f>
        <v>2.6999999999999886</v>
      </c>
      <c r="D39" s="13">
        <f>credit_to_gdp_ALL_ctry!D39-credit_to_gdp_ALL_ctry!D27</f>
        <v>14.100000000000009</v>
      </c>
      <c r="G39" s="13">
        <f>credit_to_gdp_ALL_ctry!G39-credit_to_gdp_ALL_ctry!G27</f>
        <v>-4.7000000000000028</v>
      </c>
      <c r="H39" s="13">
        <f>credit_to_gdp_ALL_ctry!H39-credit_to_gdp_ALL_ctry!H27</f>
        <v>4.4000000000000057</v>
      </c>
      <c r="J39" s="13">
        <f>credit_to_gdp_ALL_ctry!J39-credit_to_gdp_ALL_ctry!J27</f>
        <v>-16</v>
      </c>
      <c r="N39" s="13">
        <f>credit_to_gdp_ALL_ctry!N39-credit_to_gdp_ALL_ctry!N27</f>
        <v>-11.200000000000003</v>
      </c>
      <c r="O39" s="13">
        <f>credit_to_gdp_ALL_ctry!O39-credit_to_gdp_ALL_ctry!O27</f>
        <v>-0.29999999999999716</v>
      </c>
      <c r="P39" s="13">
        <f>credit_to_gdp_ALL_ctry!P39-credit_to_gdp_ALL_ctry!P27</f>
        <v>19.200000000000017</v>
      </c>
      <c r="Q39" s="13">
        <f>credit_to_gdp_ALL_ctry!Q39-credit_to_gdp_ALL_ctry!Q27</f>
        <v>-0.5</v>
      </c>
      <c r="R39" s="13">
        <f>credit_to_gdp_ALL_ctry!R39-credit_to_gdp_ALL_ctry!R27</f>
        <v>5</v>
      </c>
    </row>
    <row r="40" spans="1:18" x14ac:dyDescent="0.45">
      <c r="A40" t="s">
        <v>173</v>
      </c>
      <c r="B40" s="13">
        <f>credit_to_gdp_ALL_ctry!B40-credit_to_gdp_ALL_ctry!B28</f>
        <v>3.4000000000000057</v>
      </c>
      <c r="D40" s="13">
        <f>credit_to_gdp_ALL_ctry!D40-credit_to_gdp_ALL_ctry!D28</f>
        <v>14.700000000000003</v>
      </c>
      <c r="G40" s="13">
        <f>credit_to_gdp_ALL_ctry!G40-credit_to_gdp_ALL_ctry!G28</f>
        <v>-5.4000000000000057</v>
      </c>
      <c r="H40" s="13">
        <f>credit_to_gdp_ALL_ctry!H40-credit_to_gdp_ALL_ctry!H28</f>
        <v>4.2999999999999972</v>
      </c>
      <c r="J40" s="13">
        <f>credit_to_gdp_ALL_ctry!J40-credit_to_gdp_ALL_ctry!J28</f>
        <v>-15.5</v>
      </c>
      <c r="N40" s="13">
        <f>credit_to_gdp_ALL_ctry!N40-credit_to_gdp_ALL_ctry!N28</f>
        <v>-11.400000000000006</v>
      </c>
      <c r="O40" s="13">
        <f>credit_to_gdp_ALL_ctry!O40-credit_to_gdp_ALL_ctry!O28</f>
        <v>-0.80000000000001137</v>
      </c>
      <c r="P40" s="13">
        <f>credit_to_gdp_ALL_ctry!P40-credit_to_gdp_ALL_ctry!P28</f>
        <v>18.599999999999994</v>
      </c>
      <c r="Q40" s="13">
        <f>credit_to_gdp_ALL_ctry!Q40-credit_to_gdp_ALL_ctry!Q28</f>
        <v>-1.1999999999999957</v>
      </c>
      <c r="R40" s="13">
        <f>credit_to_gdp_ALL_ctry!R40-credit_to_gdp_ALL_ctry!R28</f>
        <v>5.9000000000000057</v>
      </c>
    </row>
    <row r="41" spans="1:18" x14ac:dyDescent="0.45">
      <c r="A41" t="s">
        <v>174</v>
      </c>
      <c r="B41" s="13">
        <f>credit_to_gdp_ALL_ctry!B41-credit_to_gdp_ALL_ctry!B29</f>
        <v>3.5</v>
      </c>
      <c r="D41" s="13">
        <f>credit_to_gdp_ALL_ctry!D41-credit_to_gdp_ALL_ctry!D29</f>
        <v>14.200000000000003</v>
      </c>
      <c r="G41" s="13">
        <f>credit_to_gdp_ALL_ctry!G41-credit_to_gdp_ALL_ctry!G29</f>
        <v>-4.5999999999999943</v>
      </c>
      <c r="H41" s="13">
        <f>credit_to_gdp_ALL_ctry!H41-credit_to_gdp_ALL_ctry!H29</f>
        <v>4.7000000000000028</v>
      </c>
      <c r="J41" s="13">
        <f>credit_to_gdp_ALL_ctry!J41-credit_to_gdp_ALL_ctry!J29</f>
        <v>-12.5</v>
      </c>
      <c r="N41" s="13">
        <f>credit_to_gdp_ALL_ctry!N41-credit_to_gdp_ALL_ctry!N29</f>
        <v>-11.700000000000003</v>
      </c>
      <c r="O41" s="13">
        <f>credit_to_gdp_ALL_ctry!O41-credit_to_gdp_ALL_ctry!O29</f>
        <v>1.6000000000000085</v>
      </c>
      <c r="P41" s="13">
        <f>credit_to_gdp_ALL_ctry!P41-credit_to_gdp_ALL_ctry!P29</f>
        <v>17.100000000000023</v>
      </c>
      <c r="Q41" s="13">
        <f>credit_to_gdp_ALL_ctry!Q41-credit_to_gdp_ALL_ctry!Q29</f>
        <v>-2.6999999999999957</v>
      </c>
      <c r="R41" s="13">
        <f>credit_to_gdp_ALL_ctry!R41-credit_to_gdp_ALL_ctry!R29</f>
        <v>5.8999999999999915</v>
      </c>
    </row>
    <row r="42" spans="1:18" x14ac:dyDescent="0.45">
      <c r="A42" t="s">
        <v>175</v>
      </c>
      <c r="B42" s="13">
        <f>credit_to_gdp_ALL_ctry!B42-credit_to_gdp_ALL_ctry!B30</f>
        <v>4.9000000000000057</v>
      </c>
      <c r="D42" s="13">
        <f>credit_to_gdp_ALL_ctry!D42-credit_to_gdp_ALL_ctry!D30</f>
        <v>13.099999999999994</v>
      </c>
      <c r="G42" s="13">
        <f>credit_to_gdp_ALL_ctry!G42-credit_to_gdp_ALL_ctry!G30</f>
        <v>-5.4000000000000057</v>
      </c>
      <c r="H42" s="13">
        <f>credit_to_gdp_ALL_ctry!H42-credit_to_gdp_ALL_ctry!H30</f>
        <v>4.6000000000000085</v>
      </c>
      <c r="J42" s="13">
        <f>credit_to_gdp_ALL_ctry!J42-credit_to_gdp_ALL_ctry!J30</f>
        <v>-13.300000000000004</v>
      </c>
      <c r="N42" s="13">
        <f>credit_to_gdp_ALL_ctry!N42-credit_to_gdp_ALL_ctry!N30</f>
        <v>-10.700000000000003</v>
      </c>
      <c r="O42" s="13">
        <f>credit_to_gdp_ALL_ctry!O42-credit_to_gdp_ALL_ctry!O30</f>
        <v>1.0999999999999943</v>
      </c>
      <c r="P42" s="13">
        <f>credit_to_gdp_ALL_ctry!P42-credit_to_gdp_ALL_ctry!P30</f>
        <v>18.5</v>
      </c>
      <c r="Q42" s="13">
        <f>credit_to_gdp_ALL_ctry!Q42-credit_to_gdp_ALL_ctry!Q30</f>
        <v>0.5</v>
      </c>
      <c r="R42" s="13">
        <f>credit_to_gdp_ALL_ctry!R42-credit_to_gdp_ALL_ctry!R30</f>
        <v>6</v>
      </c>
    </row>
    <row r="43" spans="1:18" x14ac:dyDescent="0.45">
      <c r="A43" t="s">
        <v>176</v>
      </c>
      <c r="B43" s="13">
        <f>credit_to_gdp_ALL_ctry!B43-credit_to_gdp_ALL_ctry!B31</f>
        <v>7.2999999999999972</v>
      </c>
      <c r="D43" s="13">
        <f>credit_to_gdp_ALL_ctry!D43-credit_to_gdp_ALL_ctry!D31</f>
        <v>12.200000000000003</v>
      </c>
      <c r="G43" s="13">
        <f>credit_to_gdp_ALL_ctry!G43-credit_to_gdp_ALL_ctry!G31</f>
        <v>-3.2999999999999972</v>
      </c>
      <c r="H43" s="13">
        <f>credit_to_gdp_ALL_ctry!H43-credit_to_gdp_ALL_ctry!H31</f>
        <v>4.9000000000000057</v>
      </c>
      <c r="J43" s="13">
        <f>credit_to_gdp_ALL_ctry!J43-credit_to_gdp_ALL_ctry!J31</f>
        <v>-11.400000000000006</v>
      </c>
      <c r="N43" s="13">
        <f>credit_to_gdp_ALL_ctry!N43-credit_to_gdp_ALL_ctry!N31</f>
        <v>-9.0999999999999943</v>
      </c>
      <c r="O43" s="13">
        <f>credit_to_gdp_ALL_ctry!O43-credit_to_gdp_ALL_ctry!O31</f>
        <v>-1.2000000000000028</v>
      </c>
      <c r="P43" s="13">
        <f>credit_to_gdp_ALL_ctry!P43-credit_to_gdp_ALL_ctry!P31</f>
        <v>18</v>
      </c>
      <c r="Q43" s="13">
        <f>credit_to_gdp_ALL_ctry!Q43-credit_to_gdp_ALL_ctry!Q31</f>
        <v>0.60000000000000142</v>
      </c>
      <c r="R43" s="13">
        <f>credit_to_gdp_ALL_ctry!R43-credit_to_gdp_ALL_ctry!R31</f>
        <v>4.3999999999999915</v>
      </c>
    </row>
    <row r="44" spans="1:18" x14ac:dyDescent="0.45">
      <c r="A44" t="s">
        <v>177</v>
      </c>
      <c r="B44" s="13">
        <f>credit_to_gdp_ALL_ctry!B44-credit_to_gdp_ALL_ctry!B32</f>
        <v>7.3000000000000114</v>
      </c>
      <c r="D44" s="13">
        <f>credit_to_gdp_ALL_ctry!D44-credit_to_gdp_ALL_ctry!D32</f>
        <v>11.200000000000003</v>
      </c>
      <c r="G44" s="13">
        <f>credit_to_gdp_ALL_ctry!G44-credit_to_gdp_ALL_ctry!G32</f>
        <v>-4</v>
      </c>
      <c r="H44" s="13">
        <f>credit_to_gdp_ALL_ctry!H44-credit_to_gdp_ALL_ctry!H32</f>
        <v>5.2999999999999972</v>
      </c>
      <c r="J44" s="13">
        <f>credit_to_gdp_ALL_ctry!J44-credit_to_gdp_ALL_ctry!J32</f>
        <v>-12.899999999999999</v>
      </c>
      <c r="N44" s="13">
        <f>credit_to_gdp_ALL_ctry!N44-credit_to_gdp_ALL_ctry!N32</f>
        <v>-6.4000000000000057</v>
      </c>
      <c r="O44" s="13">
        <f>credit_to_gdp_ALL_ctry!O44-credit_to_gdp_ALL_ctry!O32</f>
        <v>-2.7000000000000028</v>
      </c>
      <c r="P44" s="13">
        <f>credit_to_gdp_ALL_ctry!P44-credit_to_gdp_ALL_ctry!P32</f>
        <v>17.099999999999994</v>
      </c>
      <c r="Q44" s="13">
        <f>credit_to_gdp_ALL_ctry!Q44-credit_to_gdp_ALL_ctry!Q32</f>
        <v>0.89999999999999858</v>
      </c>
      <c r="R44" s="13">
        <f>credit_to_gdp_ALL_ctry!R44-credit_to_gdp_ALL_ctry!R32</f>
        <v>4.5999999999999943</v>
      </c>
    </row>
    <row r="45" spans="1:18" x14ac:dyDescent="0.45">
      <c r="A45" t="s">
        <v>178</v>
      </c>
      <c r="B45" s="13">
        <f>credit_to_gdp_ALL_ctry!B45-credit_to_gdp_ALL_ctry!B33</f>
        <v>7.4000000000000057</v>
      </c>
      <c r="D45" s="13">
        <f>credit_to_gdp_ALL_ctry!D45-credit_to_gdp_ALL_ctry!D33</f>
        <v>11.300000000000011</v>
      </c>
      <c r="G45" s="13">
        <f>credit_to_gdp_ALL_ctry!G45-credit_to_gdp_ALL_ctry!G33</f>
        <v>-4.0999999999999943</v>
      </c>
      <c r="H45" s="13">
        <f>credit_to_gdp_ALL_ctry!H45-credit_to_gdp_ALL_ctry!H33</f>
        <v>7</v>
      </c>
      <c r="J45" s="13">
        <f>credit_to_gdp_ALL_ctry!J45-credit_to_gdp_ALL_ctry!J33</f>
        <v>-10</v>
      </c>
      <c r="N45" s="13">
        <f>credit_to_gdp_ALL_ctry!N45-credit_to_gdp_ALL_ctry!N33</f>
        <v>-4.1999999999999886</v>
      </c>
      <c r="O45" s="13">
        <f>credit_to_gdp_ALL_ctry!O45-credit_to_gdp_ALL_ctry!O33</f>
        <v>-5</v>
      </c>
      <c r="P45" s="13">
        <f>credit_to_gdp_ALL_ctry!P45-credit_to_gdp_ALL_ctry!P33</f>
        <v>14.5</v>
      </c>
      <c r="Q45" s="13">
        <f>credit_to_gdp_ALL_ctry!Q45-credit_to_gdp_ALL_ctry!Q33</f>
        <v>0.70000000000000284</v>
      </c>
      <c r="R45" s="13">
        <f>credit_to_gdp_ALL_ctry!R45-credit_to_gdp_ALL_ctry!R33</f>
        <v>4.3000000000000114</v>
      </c>
    </row>
    <row r="46" spans="1:18" x14ac:dyDescent="0.45">
      <c r="A46" t="s">
        <v>179</v>
      </c>
      <c r="B46" s="13">
        <f>credit_to_gdp_ALL_ctry!B46-credit_to_gdp_ALL_ctry!B34</f>
        <v>7.1999999999999886</v>
      </c>
      <c r="D46" s="13">
        <f>credit_to_gdp_ALL_ctry!D46-credit_to_gdp_ALL_ctry!D34</f>
        <v>10.899999999999991</v>
      </c>
      <c r="G46" s="13">
        <f>credit_to_gdp_ALL_ctry!G46-credit_to_gdp_ALL_ctry!G34</f>
        <v>-6.5999999999999943</v>
      </c>
      <c r="H46" s="13">
        <f>credit_to_gdp_ALL_ctry!H46-credit_to_gdp_ALL_ctry!H34</f>
        <v>9.6999999999999886</v>
      </c>
      <c r="J46" s="13">
        <f>credit_to_gdp_ALL_ctry!J46-credit_to_gdp_ALL_ctry!J34</f>
        <v>-6.3999999999999986</v>
      </c>
      <c r="N46" s="13">
        <f>credit_to_gdp_ALL_ctry!N46-credit_to_gdp_ALL_ctry!N34</f>
        <v>-1.3999999999999915</v>
      </c>
      <c r="O46" s="13">
        <f>credit_to_gdp_ALL_ctry!O46-credit_to_gdp_ALL_ctry!O34</f>
        <v>-4.9000000000000057</v>
      </c>
      <c r="P46" s="13">
        <f>credit_to_gdp_ALL_ctry!P46-credit_to_gdp_ALL_ctry!P34</f>
        <v>16.199999999999989</v>
      </c>
      <c r="Q46" s="13">
        <f>credit_to_gdp_ALL_ctry!Q46-credit_to_gdp_ALL_ctry!Q34</f>
        <v>0.60000000000000142</v>
      </c>
      <c r="R46" s="13">
        <f>credit_to_gdp_ALL_ctry!R46-credit_to_gdp_ALL_ctry!R34</f>
        <v>2.9000000000000057</v>
      </c>
    </row>
    <row r="47" spans="1:18" x14ac:dyDescent="0.45">
      <c r="A47" t="s">
        <v>180</v>
      </c>
      <c r="B47" s="13">
        <f>credit_to_gdp_ALL_ctry!B47-credit_to_gdp_ALL_ctry!B35</f>
        <v>7.2000000000000028</v>
      </c>
      <c r="D47" s="13">
        <f>credit_to_gdp_ALL_ctry!D47-credit_to_gdp_ALL_ctry!D35</f>
        <v>11.700000000000003</v>
      </c>
      <c r="G47" s="13">
        <f>credit_to_gdp_ALL_ctry!G47-credit_to_gdp_ALL_ctry!G35</f>
        <v>-4.9000000000000057</v>
      </c>
      <c r="H47" s="13">
        <f>credit_to_gdp_ALL_ctry!H47-credit_to_gdp_ALL_ctry!H35</f>
        <v>10.099999999999994</v>
      </c>
      <c r="J47" s="13">
        <f>credit_to_gdp_ALL_ctry!J47-credit_to_gdp_ALL_ctry!J35</f>
        <v>-4.3000000000000043</v>
      </c>
      <c r="N47" s="13">
        <f>credit_to_gdp_ALL_ctry!N47-credit_to_gdp_ALL_ctry!N35</f>
        <v>1</v>
      </c>
      <c r="O47" s="13">
        <f>credit_to_gdp_ALL_ctry!O47-credit_to_gdp_ALL_ctry!O35</f>
        <v>-4.8000000000000114</v>
      </c>
      <c r="P47" s="13">
        <f>credit_to_gdp_ALL_ctry!P47-credit_to_gdp_ALL_ctry!P35</f>
        <v>17</v>
      </c>
      <c r="Q47" s="13">
        <f>credit_to_gdp_ALL_ctry!Q47-credit_to_gdp_ALL_ctry!Q35</f>
        <v>0.10000000000000142</v>
      </c>
      <c r="R47" s="13">
        <f>credit_to_gdp_ALL_ctry!R47-credit_to_gdp_ALL_ctry!R35</f>
        <v>2.1000000000000085</v>
      </c>
    </row>
    <row r="48" spans="1:18" x14ac:dyDescent="0.45">
      <c r="A48" t="s">
        <v>181</v>
      </c>
      <c r="B48" s="13">
        <f>credit_to_gdp_ALL_ctry!B48-credit_to_gdp_ALL_ctry!B36</f>
        <v>7.4000000000000057</v>
      </c>
      <c r="D48" s="13">
        <f>credit_to_gdp_ALL_ctry!D48-credit_to_gdp_ALL_ctry!D36</f>
        <v>11.899999999999991</v>
      </c>
      <c r="G48" s="13">
        <f>credit_to_gdp_ALL_ctry!G48-credit_to_gdp_ALL_ctry!G36</f>
        <v>-2</v>
      </c>
      <c r="H48" s="13">
        <f>credit_to_gdp_ALL_ctry!H48-credit_to_gdp_ALL_ctry!H36</f>
        <v>10.699999999999989</v>
      </c>
      <c r="J48" s="13">
        <f>credit_to_gdp_ALL_ctry!J48-credit_to_gdp_ALL_ctry!J36</f>
        <v>-4.8000000000000043</v>
      </c>
      <c r="N48" s="13">
        <f>credit_to_gdp_ALL_ctry!N48-credit_to_gdp_ALL_ctry!N36</f>
        <v>4</v>
      </c>
      <c r="O48" s="13">
        <f>credit_to_gdp_ALL_ctry!O48-credit_to_gdp_ALL_ctry!O36</f>
        <v>-3.3000000000000114</v>
      </c>
      <c r="P48" s="13">
        <f>credit_to_gdp_ALL_ctry!P48-credit_to_gdp_ALL_ctry!P36</f>
        <v>15.300000000000011</v>
      </c>
      <c r="Q48" s="13">
        <f>credit_to_gdp_ALL_ctry!Q48-credit_to_gdp_ALL_ctry!Q36</f>
        <v>2.3999999999999986</v>
      </c>
      <c r="R48" s="13">
        <f>credit_to_gdp_ALL_ctry!R48-credit_to_gdp_ALL_ctry!R36</f>
        <v>1.0999999999999943</v>
      </c>
    </row>
    <row r="49" spans="1:18" x14ac:dyDescent="0.45">
      <c r="A49" t="s">
        <v>182</v>
      </c>
      <c r="B49" s="13">
        <f>credit_to_gdp_ALL_ctry!B49-credit_to_gdp_ALL_ctry!B37</f>
        <v>7.0999999999999943</v>
      </c>
      <c r="D49" s="13">
        <f>credit_to_gdp_ALL_ctry!D49-credit_to_gdp_ALL_ctry!D37</f>
        <v>9.5</v>
      </c>
      <c r="G49" s="13">
        <f>credit_to_gdp_ALL_ctry!G49-credit_to_gdp_ALL_ctry!G37</f>
        <v>-1.5999999999999943</v>
      </c>
      <c r="H49" s="13">
        <f>credit_to_gdp_ALL_ctry!H49-credit_to_gdp_ALL_ctry!H37</f>
        <v>10</v>
      </c>
      <c r="J49" s="13">
        <f>credit_to_gdp_ALL_ctry!J49-credit_to_gdp_ALL_ctry!J37</f>
        <v>-4.4000000000000057</v>
      </c>
      <c r="N49" s="13">
        <f>credit_to_gdp_ALL_ctry!N49-credit_to_gdp_ALL_ctry!N37</f>
        <v>7.2999999999999972</v>
      </c>
      <c r="O49" s="13">
        <f>credit_to_gdp_ALL_ctry!O49-credit_to_gdp_ALL_ctry!O37</f>
        <v>-2.8999999999999915</v>
      </c>
      <c r="P49" s="13">
        <f>credit_to_gdp_ALL_ctry!P49-credit_to_gdp_ALL_ctry!P37</f>
        <v>6.2000000000000171</v>
      </c>
      <c r="Q49" s="13">
        <f>credit_to_gdp_ALL_ctry!Q49-credit_to_gdp_ALL_ctry!Q37</f>
        <v>5.1000000000000014</v>
      </c>
      <c r="R49" s="13">
        <f>credit_to_gdp_ALL_ctry!R49-credit_to_gdp_ALL_ctry!R37</f>
        <v>0.90000000000000568</v>
      </c>
    </row>
    <row r="50" spans="1:18" x14ac:dyDescent="0.45">
      <c r="A50" t="s">
        <v>183</v>
      </c>
      <c r="B50" s="13">
        <f>credit_to_gdp_ALL_ctry!B50-credit_to_gdp_ALL_ctry!B38</f>
        <v>8.8999999999999915</v>
      </c>
      <c r="D50" s="13">
        <f>credit_to_gdp_ALL_ctry!D50-credit_to_gdp_ALL_ctry!D38</f>
        <v>8</v>
      </c>
      <c r="G50" s="13">
        <f>credit_to_gdp_ALL_ctry!G50-credit_to_gdp_ALL_ctry!G38</f>
        <v>-0.90000000000000568</v>
      </c>
      <c r="H50" s="13">
        <f>credit_to_gdp_ALL_ctry!H50-credit_to_gdp_ALL_ctry!H38</f>
        <v>9.3999999999999915</v>
      </c>
      <c r="J50" s="13">
        <f>credit_to_gdp_ALL_ctry!J50-credit_to_gdp_ALL_ctry!J38</f>
        <v>-5.2000000000000028</v>
      </c>
      <c r="N50" s="13">
        <f>credit_to_gdp_ALL_ctry!N50-credit_to_gdp_ALL_ctry!N38</f>
        <v>6.8999999999999915</v>
      </c>
      <c r="O50" s="13">
        <f>credit_to_gdp_ALL_ctry!O50-credit_to_gdp_ALL_ctry!O38</f>
        <v>-2</v>
      </c>
      <c r="P50" s="13">
        <f>credit_to_gdp_ALL_ctry!P50-credit_to_gdp_ALL_ctry!P38</f>
        <v>2.5</v>
      </c>
      <c r="Q50" s="13">
        <f>credit_to_gdp_ALL_ctry!Q50-credit_to_gdp_ALL_ctry!Q38</f>
        <v>4.7999999999999972</v>
      </c>
      <c r="R50" s="13">
        <f>credit_to_gdp_ALL_ctry!R50-credit_to_gdp_ALL_ctry!R38</f>
        <v>1.9000000000000057</v>
      </c>
    </row>
    <row r="51" spans="1:18" x14ac:dyDescent="0.45">
      <c r="A51" t="s">
        <v>184</v>
      </c>
      <c r="B51" s="13">
        <f>credit_to_gdp_ALL_ctry!B51-credit_to_gdp_ALL_ctry!B39</f>
        <v>8.2000000000000028</v>
      </c>
      <c r="D51" s="13">
        <f>credit_to_gdp_ALL_ctry!D51-credit_to_gdp_ALL_ctry!D39</f>
        <v>6.2999999999999972</v>
      </c>
      <c r="G51" s="13">
        <f>credit_to_gdp_ALL_ctry!G51-credit_to_gdp_ALL_ctry!G39</f>
        <v>-0.70000000000000284</v>
      </c>
      <c r="H51" s="13">
        <f>credit_to_gdp_ALL_ctry!H51-credit_to_gdp_ALL_ctry!H39</f>
        <v>9.3999999999999915</v>
      </c>
      <c r="J51" s="13">
        <f>credit_to_gdp_ALL_ctry!J51-credit_to_gdp_ALL_ctry!J39</f>
        <v>-4.6999999999999957</v>
      </c>
      <c r="N51" s="13">
        <f>credit_to_gdp_ALL_ctry!N51-credit_to_gdp_ALL_ctry!N39</f>
        <v>8.1000000000000085</v>
      </c>
      <c r="O51" s="13">
        <f>credit_to_gdp_ALL_ctry!O51-credit_to_gdp_ALL_ctry!O39</f>
        <v>-2.2000000000000028</v>
      </c>
      <c r="P51" s="13">
        <f>credit_to_gdp_ALL_ctry!P51-credit_to_gdp_ALL_ctry!P39</f>
        <v>9.9999999999994316E-2</v>
      </c>
      <c r="Q51" s="13">
        <f>credit_to_gdp_ALL_ctry!Q51-credit_to_gdp_ALL_ctry!Q39</f>
        <v>6.3999999999999986</v>
      </c>
      <c r="R51" s="13">
        <f>credit_to_gdp_ALL_ctry!R51-credit_to_gdp_ALL_ctry!R39</f>
        <v>1.3999999999999915</v>
      </c>
    </row>
    <row r="52" spans="1:18" x14ac:dyDescent="0.45">
      <c r="A52" t="s">
        <v>185</v>
      </c>
      <c r="B52" s="13">
        <f>credit_to_gdp_ALL_ctry!B52-credit_to_gdp_ALL_ctry!B40</f>
        <v>8.7999999999999972</v>
      </c>
      <c r="D52" s="13">
        <f>credit_to_gdp_ALL_ctry!D52-credit_to_gdp_ALL_ctry!D40</f>
        <v>4.2999999999999972</v>
      </c>
      <c r="G52" s="13">
        <f>credit_to_gdp_ALL_ctry!G52-credit_to_gdp_ALL_ctry!G40</f>
        <v>0.5</v>
      </c>
      <c r="H52" s="13">
        <f>credit_to_gdp_ALL_ctry!H52-credit_to_gdp_ALL_ctry!H40</f>
        <v>10.700000000000003</v>
      </c>
      <c r="J52" s="13">
        <f>credit_to_gdp_ALL_ctry!J52-credit_to_gdp_ALL_ctry!J40</f>
        <v>-3.8999999999999986</v>
      </c>
      <c r="N52" s="13">
        <f>credit_to_gdp_ALL_ctry!N52-credit_to_gdp_ALL_ctry!N40</f>
        <v>8.4000000000000057</v>
      </c>
      <c r="O52" s="13">
        <f>credit_to_gdp_ALL_ctry!O52-credit_to_gdp_ALL_ctry!O40</f>
        <v>-0.89999999999999147</v>
      </c>
      <c r="P52" s="13">
        <f>credit_to_gdp_ALL_ctry!P52-credit_to_gdp_ALL_ctry!P40</f>
        <v>4.2999999999999829</v>
      </c>
      <c r="Q52" s="13">
        <f>credit_to_gdp_ALL_ctry!Q52-credit_to_gdp_ALL_ctry!Q40</f>
        <v>7.6999999999999957</v>
      </c>
      <c r="R52" s="13">
        <f>credit_to_gdp_ALL_ctry!R52-credit_to_gdp_ALL_ctry!R40</f>
        <v>1.2000000000000028</v>
      </c>
    </row>
    <row r="53" spans="1:18" x14ac:dyDescent="0.45">
      <c r="A53" t="s">
        <v>186</v>
      </c>
      <c r="B53" s="13">
        <f>credit_to_gdp_ALL_ctry!B53-credit_to_gdp_ALL_ctry!B41</f>
        <v>9.2999999999999972</v>
      </c>
      <c r="D53" s="13">
        <f>credit_to_gdp_ALL_ctry!D53-credit_to_gdp_ALL_ctry!D41</f>
        <v>2</v>
      </c>
      <c r="G53" s="13">
        <f>credit_to_gdp_ALL_ctry!G53-credit_to_gdp_ALL_ctry!G41</f>
        <v>1.7999999999999972</v>
      </c>
      <c r="H53" s="13">
        <f>credit_to_gdp_ALL_ctry!H53-credit_to_gdp_ALL_ctry!H41</f>
        <v>11.099999999999994</v>
      </c>
      <c r="J53" s="13">
        <f>credit_to_gdp_ALL_ctry!J53-credit_to_gdp_ALL_ctry!J41</f>
        <v>-3.7000000000000028</v>
      </c>
      <c r="N53" s="13">
        <f>credit_to_gdp_ALL_ctry!N53-credit_to_gdp_ALL_ctry!N41</f>
        <v>9</v>
      </c>
      <c r="O53" s="13">
        <f>credit_to_gdp_ALL_ctry!O53-credit_to_gdp_ALL_ctry!O41</f>
        <v>0.39999999999999147</v>
      </c>
      <c r="P53" s="13">
        <f>credit_to_gdp_ALL_ctry!P53-credit_to_gdp_ALL_ctry!P41</f>
        <v>3.0999999999999943</v>
      </c>
      <c r="Q53" s="13">
        <f>credit_to_gdp_ALL_ctry!Q53-credit_to_gdp_ALL_ctry!Q41</f>
        <v>9.8999999999999986</v>
      </c>
      <c r="R53" s="13">
        <f>credit_to_gdp_ALL_ctry!R53-credit_to_gdp_ALL_ctry!R41</f>
        <v>1.3000000000000114</v>
      </c>
    </row>
    <row r="54" spans="1:18" x14ac:dyDescent="0.45">
      <c r="A54" t="s">
        <v>187</v>
      </c>
      <c r="B54" s="13">
        <f>credit_to_gdp_ALL_ctry!B54-credit_to_gdp_ALL_ctry!B42</f>
        <v>10.700000000000003</v>
      </c>
      <c r="D54" s="13">
        <f>credit_to_gdp_ALL_ctry!D54-credit_to_gdp_ALL_ctry!D42</f>
        <v>0.10000000000000853</v>
      </c>
      <c r="G54" s="13">
        <f>credit_to_gdp_ALL_ctry!G54-credit_to_gdp_ALL_ctry!G42</f>
        <v>3.9000000000000057</v>
      </c>
      <c r="H54" s="13">
        <f>credit_to_gdp_ALL_ctry!H54-credit_to_gdp_ALL_ctry!H42</f>
        <v>10.799999999999997</v>
      </c>
      <c r="J54" s="13">
        <f>credit_to_gdp_ALL_ctry!J54-credit_to_gdp_ALL_ctry!J42</f>
        <v>-3</v>
      </c>
      <c r="N54" s="13">
        <f>credit_to_gdp_ALL_ctry!N54-credit_to_gdp_ALL_ctry!N42</f>
        <v>8.7000000000000028</v>
      </c>
      <c r="O54" s="13">
        <f>credit_to_gdp_ALL_ctry!O54-credit_to_gdp_ALL_ctry!O42</f>
        <v>0.79999999999999716</v>
      </c>
      <c r="P54" s="13">
        <f>credit_to_gdp_ALL_ctry!P54-credit_to_gdp_ALL_ctry!P42</f>
        <v>2.4000000000000057</v>
      </c>
      <c r="Q54" s="13">
        <f>credit_to_gdp_ALL_ctry!Q54-credit_to_gdp_ALL_ctry!Q42</f>
        <v>9.6000000000000085</v>
      </c>
      <c r="R54" s="13">
        <f>credit_to_gdp_ALL_ctry!R54-credit_to_gdp_ALL_ctry!R42</f>
        <v>0.90000000000000568</v>
      </c>
    </row>
    <row r="55" spans="1:18" x14ac:dyDescent="0.45">
      <c r="A55" t="s">
        <v>188</v>
      </c>
      <c r="B55" s="13">
        <f>credit_to_gdp_ALL_ctry!B55-credit_to_gdp_ALL_ctry!B43</f>
        <v>10.600000000000009</v>
      </c>
      <c r="D55" s="13">
        <f>credit_to_gdp_ALL_ctry!D55-credit_to_gdp_ALL_ctry!D43</f>
        <v>-2.9000000000000057</v>
      </c>
      <c r="G55" s="13">
        <f>credit_to_gdp_ALL_ctry!G55-credit_to_gdp_ALL_ctry!G43</f>
        <v>2.9000000000000057</v>
      </c>
      <c r="H55" s="13">
        <f>credit_to_gdp_ALL_ctry!H55-credit_to_gdp_ALL_ctry!H43</f>
        <v>10.599999999999994</v>
      </c>
      <c r="J55" s="13">
        <f>credit_to_gdp_ALL_ctry!J55-credit_to_gdp_ALL_ctry!J43</f>
        <v>-4.3999999999999986</v>
      </c>
      <c r="N55" s="13">
        <f>credit_to_gdp_ALL_ctry!N55-credit_to_gdp_ALL_ctry!N43</f>
        <v>8.2999999999999972</v>
      </c>
      <c r="O55" s="13">
        <f>credit_to_gdp_ALL_ctry!O55-credit_to_gdp_ALL_ctry!O43</f>
        <v>0.59999999999999432</v>
      </c>
      <c r="P55" s="13">
        <f>credit_to_gdp_ALL_ctry!P55-credit_to_gdp_ALL_ctry!P43</f>
        <v>3.3999999999999773</v>
      </c>
      <c r="Q55" s="13">
        <f>credit_to_gdp_ALL_ctry!Q55-credit_to_gdp_ALL_ctry!Q43</f>
        <v>10.300000000000004</v>
      </c>
      <c r="R55" s="13">
        <f>credit_to_gdp_ALL_ctry!R55-credit_to_gdp_ALL_ctry!R43</f>
        <v>2.2000000000000028</v>
      </c>
    </row>
    <row r="56" spans="1:18" x14ac:dyDescent="0.45">
      <c r="A56" t="s">
        <v>189</v>
      </c>
      <c r="B56" s="13">
        <f>credit_to_gdp_ALL_ctry!B56-credit_to_gdp_ALL_ctry!B44</f>
        <v>10</v>
      </c>
      <c r="D56" s="13">
        <f>credit_to_gdp_ALL_ctry!D56-credit_to_gdp_ALL_ctry!D44</f>
        <v>-5.2000000000000028</v>
      </c>
      <c r="G56" s="13">
        <f>credit_to_gdp_ALL_ctry!G56-credit_to_gdp_ALL_ctry!G44</f>
        <v>2.6000000000000085</v>
      </c>
      <c r="H56" s="13">
        <f>credit_to_gdp_ALL_ctry!H56-credit_to_gdp_ALL_ctry!H44</f>
        <v>10.400000000000006</v>
      </c>
      <c r="J56" s="13">
        <f>credit_to_gdp_ALL_ctry!J56-credit_to_gdp_ALL_ctry!J44</f>
        <v>-3.3000000000000043</v>
      </c>
      <c r="N56" s="13">
        <f>credit_to_gdp_ALL_ctry!N56-credit_to_gdp_ALL_ctry!N44</f>
        <v>6.6000000000000085</v>
      </c>
      <c r="O56" s="13">
        <f>credit_to_gdp_ALL_ctry!O56-credit_to_gdp_ALL_ctry!O44</f>
        <v>1.9000000000000057</v>
      </c>
      <c r="P56" s="13">
        <f>credit_to_gdp_ALL_ctry!P56-credit_to_gdp_ALL_ctry!P44</f>
        <v>4.5999999999999943</v>
      </c>
      <c r="Q56" s="13">
        <f>credit_to_gdp_ALL_ctry!Q56-credit_to_gdp_ALL_ctry!Q44</f>
        <v>10.900000000000006</v>
      </c>
      <c r="R56" s="13">
        <f>credit_to_gdp_ALL_ctry!R56-credit_to_gdp_ALL_ctry!R44</f>
        <v>2.1000000000000085</v>
      </c>
    </row>
    <row r="57" spans="1:18" x14ac:dyDescent="0.45">
      <c r="A57" t="s">
        <v>190</v>
      </c>
      <c r="B57" s="13">
        <f>credit_to_gdp_ALL_ctry!B57-credit_to_gdp_ALL_ctry!B45</f>
        <v>10.099999999999994</v>
      </c>
      <c r="D57" s="13">
        <f>credit_to_gdp_ALL_ctry!D57-credit_to_gdp_ALL_ctry!D45</f>
        <v>-8.2000000000000028</v>
      </c>
      <c r="G57" s="13">
        <f>credit_to_gdp_ALL_ctry!G57-credit_to_gdp_ALL_ctry!G45</f>
        <v>3.5999999999999943</v>
      </c>
      <c r="H57" s="13">
        <f>credit_to_gdp_ALL_ctry!H57-credit_to_gdp_ALL_ctry!H45</f>
        <v>8.2000000000000028</v>
      </c>
      <c r="J57" s="13">
        <f>credit_to_gdp_ALL_ctry!J57-credit_to_gdp_ALL_ctry!J45</f>
        <v>-4.4000000000000057</v>
      </c>
      <c r="N57" s="13">
        <f>credit_to_gdp_ALL_ctry!N57-credit_to_gdp_ALL_ctry!N45</f>
        <v>6.1999999999999886</v>
      </c>
      <c r="O57" s="13">
        <f>credit_to_gdp_ALL_ctry!O57-credit_to_gdp_ALL_ctry!O45</f>
        <v>3.7000000000000028</v>
      </c>
      <c r="P57" s="13">
        <f>credit_to_gdp_ALL_ctry!P57-credit_to_gdp_ALL_ctry!P45</f>
        <v>2.8999999999999773</v>
      </c>
      <c r="Q57" s="13">
        <f>credit_to_gdp_ALL_ctry!Q57-credit_to_gdp_ALL_ctry!Q45</f>
        <v>11.599999999999994</v>
      </c>
      <c r="R57" s="13">
        <f>credit_to_gdp_ALL_ctry!R57-credit_to_gdp_ALL_ctry!R45</f>
        <v>2</v>
      </c>
    </row>
    <row r="58" spans="1:18" x14ac:dyDescent="0.45">
      <c r="A58" t="s">
        <v>191</v>
      </c>
      <c r="B58" s="13">
        <f>credit_to_gdp_ALL_ctry!B58-credit_to_gdp_ALL_ctry!B46</f>
        <v>9</v>
      </c>
      <c r="D58" s="13">
        <f>credit_to_gdp_ALL_ctry!D58-credit_to_gdp_ALL_ctry!D46</f>
        <v>-9.5</v>
      </c>
      <c r="G58" s="13">
        <f>credit_to_gdp_ALL_ctry!G58-credit_to_gdp_ALL_ctry!G46</f>
        <v>2.7999999999999972</v>
      </c>
      <c r="H58" s="13">
        <f>credit_to_gdp_ALL_ctry!H58-credit_to_gdp_ALL_ctry!H46</f>
        <v>5.7000000000000028</v>
      </c>
      <c r="J58" s="13">
        <f>credit_to_gdp_ALL_ctry!J58-credit_to_gdp_ALL_ctry!J46</f>
        <v>-4.1000000000000014</v>
      </c>
      <c r="N58" s="13">
        <f>credit_to_gdp_ALL_ctry!N58-credit_to_gdp_ALL_ctry!N46</f>
        <v>2.7999999999999972</v>
      </c>
      <c r="O58" s="13">
        <f>credit_to_gdp_ALL_ctry!O58-credit_to_gdp_ALL_ctry!O46</f>
        <v>3.5</v>
      </c>
      <c r="P58" s="13">
        <f>credit_to_gdp_ALL_ctry!P58-credit_to_gdp_ALL_ctry!P46</f>
        <v>1.6999999999999886</v>
      </c>
      <c r="Q58" s="13">
        <f>credit_to_gdp_ALL_ctry!Q58-credit_to_gdp_ALL_ctry!Q46</f>
        <v>14</v>
      </c>
      <c r="R58" s="13">
        <f>credit_to_gdp_ALL_ctry!R58-credit_to_gdp_ALL_ctry!R46</f>
        <v>3.2000000000000028</v>
      </c>
    </row>
    <row r="59" spans="1:18" x14ac:dyDescent="0.45">
      <c r="A59" t="s">
        <v>192</v>
      </c>
      <c r="B59" s="13">
        <f>credit_to_gdp_ALL_ctry!B59-credit_to_gdp_ALL_ctry!B47</f>
        <v>6.9000000000000057</v>
      </c>
      <c r="D59" s="13">
        <f>credit_to_gdp_ALL_ctry!D59-credit_to_gdp_ALL_ctry!D47</f>
        <v>-12.100000000000009</v>
      </c>
      <c r="G59" s="13">
        <f>credit_to_gdp_ALL_ctry!G59-credit_to_gdp_ALL_ctry!G47</f>
        <v>4.5</v>
      </c>
      <c r="H59" s="13">
        <f>credit_to_gdp_ALL_ctry!H59-credit_to_gdp_ALL_ctry!H47</f>
        <v>5.2000000000000028</v>
      </c>
      <c r="J59" s="13">
        <f>credit_to_gdp_ALL_ctry!J59-credit_to_gdp_ALL_ctry!J47</f>
        <v>-2.8999999999999986</v>
      </c>
      <c r="N59" s="13">
        <f>credit_to_gdp_ALL_ctry!N59-credit_to_gdp_ALL_ctry!N47</f>
        <v>1.7999999999999972</v>
      </c>
      <c r="O59" s="13">
        <f>credit_to_gdp_ALL_ctry!O59-credit_to_gdp_ALL_ctry!O47</f>
        <v>3.1000000000000085</v>
      </c>
      <c r="P59" s="13">
        <f>credit_to_gdp_ALL_ctry!P59-credit_to_gdp_ALL_ctry!P47</f>
        <v>0.80000000000001137</v>
      </c>
      <c r="Q59" s="13">
        <f>credit_to_gdp_ALL_ctry!Q59-credit_to_gdp_ALL_ctry!Q47</f>
        <v>15.799999999999997</v>
      </c>
      <c r="R59" s="13">
        <f>credit_to_gdp_ALL_ctry!R59-credit_to_gdp_ALL_ctry!R47</f>
        <v>4.2000000000000028</v>
      </c>
    </row>
    <row r="60" spans="1:18" x14ac:dyDescent="0.45">
      <c r="A60" t="s">
        <v>193</v>
      </c>
      <c r="B60" s="13">
        <f>credit_to_gdp_ALL_ctry!B60-credit_to_gdp_ALL_ctry!B48</f>
        <v>7.2000000000000028</v>
      </c>
      <c r="D60" s="13">
        <f>credit_to_gdp_ALL_ctry!D60-credit_to_gdp_ALL_ctry!D48</f>
        <v>-14.199999999999989</v>
      </c>
      <c r="G60" s="13">
        <f>credit_to_gdp_ALL_ctry!G60-credit_to_gdp_ALL_ctry!G48</f>
        <v>5.1000000000000085</v>
      </c>
      <c r="H60" s="13">
        <f>credit_to_gdp_ALL_ctry!H60-credit_to_gdp_ALL_ctry!H48</f>
        <v>4.8000000000000114</v>
      </c>
      <c r="J60" s="13">
        <f>credit_to_gdp_ALL_ctry!J60-credit_to_gdp_ALL_ctry!J48</f>
        <v>-1</v>
      </c>
      <c r="N60" s="13">
        <f>credit_to_gdp_ALL_ctry!N60-credit_to_gdp_ALL_ctry!N48</f>
        <v>-2.1999999999999886</v>
      </c>
      <c r="O60" s="13">
        <f>credit_to_gdp_ALL_ctry!O60-credit_to_gdp_ALL_ctry!O48</f>
        <v>2.7000000000000028</v>
      </c>
      <c r="P60" s="13">
        <f>credit_to_gdp_ALL_ctry!P60-credit_to_gdp_ALL_ctry!P48</f>
        <v>1.5</v>
      </c>
      <c r="Q60" s="13">
        <f>credit_to_gdp_ALL_ctry!Q60-credit_to_gdp_ALL_ctry!Q48</f>
        <v>15.299999999999997</v>
      </c>
      <c r="R60" s="13">
        <f>credit_to_gdp_ALL_ctry!R60-credit_to_gdp_ALL_ctry!R48</f>
        <v>5.4000000000000057</v>
      </c>
    </row>
    <row r="61" spans="1:18" x14ac:dyDescent="0.45">
      <c r="A61" t="s">
        <v>194</v>
      </c>
      <c r="B61" s="13">
        <f>credit_to_gdp_ALL_ctry!B61-credit_to_gdp_ALL_ctry!B49</f>
        <v>8.2000000000000028</v>
      </c>
      <c r="D61" s="13">
        <f>credit_to_gdp_ALL_ctry!D61-credit_to_gdp_ALL_ctry!D49</f>
        <v>-13.900000000000006</v>
      </c>
      <c r="G61" s="13">
        <f>credit_to_gdp_ALL_ctry!G61-credit_to_gdp_ALL_ctry!G49</f>
        <v>5.5</v>
      </c>
      <c r="H61" s="13">
        <f>credit_to_gdp_ALL_ctry!H61-credit_to_gdp_ALL_ctry!H49</f>
        <v>4.7999999999999972</v>
      </c>
      <c r="J61" s="13">
        <f>credit_to_gdp_ALL_ctry!J61-credit_to_gdp_ALL_ctry!J49</f>
        <v>-9.9999999999994316E-2</v>
      </c>
      <c r="N61" s="13">
        <f>credit_to_gdp_ALL_ctry!N61-credit_to_gdp_ALL_ctry!N49</f>
        <v>-2.7999999999999972</v>
      </c>
      <c r="O61" s="13">
        <f>credit_to_gdp_ALL_ctry!O61-credit_to_gdp_ALL_ctry!O49</f>
        <v>2.3999999999999915</v>
      </c>
      <c r="P61" s="13">
        <f>credit_to_gdp_ALL_ctry!P61-credit_to_gdp_ALL_ctry!P49</f>
        <v>5.1999999999999886</v>
      </c>
      <c r="Q61" s="13">
        <f>credit_to_gdp_ALL_ctry!Q61-credit_to_gdp_ALL_ctry!Q49</f>
        <v>15.199999999999996</v>
      </c>
      <c r="R61" s="13">
        <f>credit_to_gdp_ALL_ctry!R61-credit_to_gdp_ALL_ctry!R49</f>
        <v>7.1999999999999886</v>
      </c>
    </row>
    <row r="62" spans="1:18" x14ac:dyDescent="0.45">
      <c r="A62" t="s">
        <v>195</v>
      </c>
      <c r="B62" s="13">
        <f>credit_to_gdp_ALL_ctry!B62-credit_to_gdp_ALL_ctry!B50</f>
        <v>8.3000000000000114</v>
      </c>
      <c r="D62" s="13">
        <f>credit_to_gdp_ALL_ctry!D62-credit_to_gdp_ALL_ctry!D50</f>
        <v>-13.5</v>
      </c>
      <c r="G62" s="13">
        <f>credit_to_gdp_ALL_ctry!G62-credit_to_gdp_ALL_ctry!G50</f>
        <v>5</v>
      </c>
      <c r="H62" s="13">
        <f>credit_to_gdp_ALL_ctry!H62-credit_to_gdp_ALL_ctry!H50</f>
        <v>5.7000000000000028</v>
      </c>
      <c r="J62" s="13">
        <f>credit_to_gdp_ALL_ctry!J62-credit_to_gdp_ALL_ctry!J50</f>
        <v>1.8999999999999986</v>
      </c>
      <c r="N62" s="13">
        <f>credit_to_gdp_ALL_ctry!N62-credit_to_gdp_ALL_ctry!N50</f>
        <v>-5.5</v>
      </c>
      <c r="O62" s="13">
        <f>credit_to_gdp_ALL_ctry!O62-credit_to_gdp_ALL_ctry!O50</f>
        <v>1.7999999999999972</v>
      </c>
      <c r="P62" s="13">
        <f>credit_to_gdp_ALL_ctry!P62-credit_to_gdp_ALL_ctry!P50</f>
        <v>11.600000000000023</v>
      </c>
      <c r="Q62" s="13">
        <f>credit_to_gdp_ALL_ctry!Q62-credit_to_gdp_ALL_ctry!Q50</f>
        <v>16.299999999999997</v>
      </c>
      <c r="R62" s="13">
        <f>credit_to_gdp_ALL_ctry!R62-credit_to_gdp_ALL_ctry!R50</f>
        <v>7.8999999999999915</v>
      </c>
    </row>
    <row r="63" spans="1:18" x14ac:dyDescent="0.45">
      <c r="A63" t="s">
        <v>196</v>
      </c>
      <c r="B63" s="13">
        <f>credit_to_gdp_ALL_ctry!B63-credit_to_gdp_ALL_ctry!B51</f>
        <v>9.6000000000000085</v>
      </c>
      <c r="D63" s="13">
        <f>credit_to_gdp_ALL_ctry!D63-credit_to_gdp_ALL_ctry!D51</f>
        <v>-13.5</v>
      </c>
      <c r="G63" s="13">
        <f>credit_to_gdp_ALL_ctry!G63-credit_to_gdp_ALL_ctry!G51</f>
        <v>5.2000000000000028</v>
      </c>
      <c r="H63" s="13">
        <f>credit_to_gdp_ALL_ctry!H63-credit_to_gdp_ALL_ctry!H51</f>
        <v>4.6000000000000085</v>
      </c>
      <c r="J63" s="13">
        <f>credit_to_gdp_ALL_ctry!J63-credit_to_gdp_ALL_ctry!J51</f>
        <v>2.1000000000000014</v>
      </c>
      <c r="N63" s="13">
        <f>credit_to_gdp_ALL_ctry!N63-credit_to_gdp_ALL_ctry!N51</f>
        <v>-5.9000000000000057</v>
      </c>
      <c r="O63" s="13">
        <f>credit_to_gdp_ALL_ctry!O63-credit_to_gdp_ALL_ctry!O51</f>
        <v>1.5</v>
      </c>
      <c r="P63" s="13">
        <f>credit_to_gdp_ALL_ctry!P63-credit_to_gdp_ALL_ctry!P51</f>
        <v>10.799999999999983</v>
      </c>
      <c r="Q63" s="13">
        <f>credit_to_gdp_ALL_ctry!Q63-credit_to_gdp_ALL_ctry!Q51</f>
        <v>13.199999999999996</v>
      </c>
      <c r="R63" s="13">
        <f>credit_to_gdp_ALL_ctry!R63-credit_to_gdp_ALL_ctry!R51</f>
        <v>8.6000000000000085</v>
      </c>
    </row>
    <row r="64" spans="1:18" x14ac:dyDescent="0.45">
      <c r="A64" t="s">
        <v>197</v>
      </c>
      <c r="B64" s="13">
        <f>credit_to_gdp_ALL_ctry!B64-credit_to_gdp_ALL_ctry!B52</f>
        <v>9.7999999999999972</v>
      </c>
      <c r="D64" s="13">
        <f>credit_to_gdp_ALL_ctry!D64-credit_to_gdp_ALL_ctry!D52</f>
        <v>-11.100000000000009</v>
      </c>
      <c r="G64" s="13">
        <f>credit_to_gdp_ALL_ctry!G64-credit_to_gdp_ALL_ctry!G52</f>
        <v>5.2000000000000028</v>
      </c>
      <c r="H64" s="13">
        <f>credit_to_gdp_ALL_ctry!H64-credit_to_gdp_ALL_ctry!H52</f>
        <v>2.5999999999999943</v>
      </c>
      <c r="J64" s="13">
        <f>credit_to_gdp_ALL_ctry!J64-credit_to_gdp_ALL_ctry!J52</f>
        <v>0.80000000000000426</v>
      </c>
      <c r="N64" s="13">
        <f>credit_to_gdp_ALL_ctry!N64-credit_to_gdp_ALL_ctry!N52</f>
        <v>-8</v>
      </c>
      <c r="O64" s="13">
        <f>credit_to_gdp_ALL_ctry!O64-credit_to_gdp_ALL_ctry!O52</f>
        <v>1.2999999999999972</v>
      </c>
      <c r="P64" s="13">
        <f>credit_to_gdp_ALL_ctry!P64-credit_to_gdp_ALL_ctry!P52</f>
        <v>6.4000000000000057</v>
      </c>
      <c r="Q64" s="13">
        <f>credit_to_gdp_ALL_ctry!Q64-credit_to_gdp_ALL_ctry!Q52</f>
        <v>13.899999999999999</v>
      </c>
      <c r="R64" s="13">
        <f>credit_to_gdp_ALL_ctry!R64-credit_to_gdp_ALL_ctry!R52</f>
        <v>9.2000000000000028</v>
      </c>
    </row>
    <row r="65" spans="1:18" x14ac:dyDescent="0.45">
      <c r="A65" t="s">
        <v>198</v>
      </c>
      <c r="B65" s="13">
        <f>credit_to_gdp_ALL_ctry!B65-credit_to_gdp_ALL_ctry!B53</f>
        <v>11.100000000000009</v>
      </c>
      <c r="D65" s="13">
        <f>credit_to_gdp_ALL_ctry!D65-credit_to_gdp_ALL_ctry!D53</f>
        <v>-8.9000000000000057</v>
      </c>
      <c r="G65" s="13">
        <f>credit_to_gdp_ALL_ctry!G65-credit_to_gdp_ALL_ctry!G53</f>
        <v>4</v>
      </c>
      <c r="H65" s="13">
        <f>credit_to_gdp_ALL_ctry!H65-credit_to_gdp_ALL_ctry!H53</f>
        <v>2.1000000000000085</v>
      </c>
      <c r="J65" s="13">
        <f>credit_to_gdp_ALL_ctry!J65-credit_to_gdp_ALL_ctry!J53</f>
        <v>2.2999999999999972</v>
      </c>
      <c r="N65" s="13">
        <f>credit_to_gdp_ALL_ctry!N65-credit_to_gdp_ALL_ctry!N53</f>
        <v>-8.5</v>
      </c>
      <c r="O65" s="13">
        <f>credit_to_gdp_ALL_ctry!O65-credit_to_gdp_ALL_ctry!O53</f>
        <v>1.4000000000000057</v>
      </c>
      <c r="P65" s="13">
        <f>credit_to_gdp_ALL_ctry!P65-credit_to_gdp_ALL_ctry!P53</f>
        <v>6.2999999999999829</v>
      </c>
      <c r="Q65" s="13">
        <f>credit_to_gdp_ALL_ctry!Q65-credit_to_gdp_ALL_ctry!Q53</f>
        <v>11.599999999999994</v>
      </c>
      <c r="R65" s="13">
        <f>credit_to_gdp_ALL_ctry!R65-credit_to_gdp_ALL_ctry!R53</f>
        <v>11.199999999999989</v>
      </c>
    </row>
    <row r="66" spans="1:18" x14ac:dyDescent="0.45">
      <c r="A66" t="s">
        <v>199</v>
      </c>
      <c r="B66" s="13">
        <f>credit_to_gdp_ALL_ctry!B66-credit_to_gdp_ALL_ctry!B54</f>
        <v>9.6999999999999886</v>
      </c>
      <c r="D66" s="13">
        <f>credit_to_gdp_ALL_ctry!D66-credit_to_gdp_ALL_ctry!D54</f>
        <v>-6.9000000000000057</v>
      </c>
      <c r="G66" s="13">
        <f>credit_to_gdp_ALL_ctry!G66-credit_to_gdp_ALL_ctry!G54</f>
        <v>3</v>
      </c>
      <c r="H66" s="13">
        <f>credit_to_gdp_ALL_ctry!H66-credit_to_gdp_ALL_ctry!H54</f>
        <v>2.2999999999999972</v>
      </c>
      <c r="J66" s="13">
        <f>credit_to_gdp_ALL_ctry!J66-credit_to_gdp_ALL_ctry!J54</f>
        <v>0</v>
      </c>
      <c r="N66" s="13">
        <f>credit_to_gdp_ALL_ctry!N66-credit_to_gdp_ALL_ctry!N54</f>
        <v>-12</v>
      </c>
      <c r="O66" s="13">
        <f>credit_to_gdp_ALL_ctry!O66-credit_to_gdp_ALL_ctry!O54</f>
        <v>3.9000000000000057</v>
      </c>
      <c r="P66" s="13">
        <f>credit_to_gdp_ALL_ctry!P66-credit_to_gdp_ALL_ctry!P54</f>
        <v>6.4000000000000057</v>
      </c>
      <c r="Q66" s="13">
        <f>credit_to_gdp_ALL_ctry!Q66-credit_to_gdp_ALL_ctry!Q54</f>
        <v>13.399999999999991</v>
      </c>
      <c r="R66" s="13">
        <f>credit_to_gdp_ALL_ctry!R66-credit_to_gdp_ALL_ctry!R54</f>
        <v>11.599999999999994</v>
      </c>
    </row>
    <row r="67" spans="1:18" x14ac:dyDescent="0.45">
      <c r="A67" t="s">
        <v>200</v>
      </c>
      <c r="B67" s="13">
        <f>credit_to_gdp_ALL_ctry!B67-credit_to_gdp_ALL_ctry!B55</f>
        <v>12.599999999999994</v>
      </c>
      <c r="D67" s="13">
        <f>credit_to_gdp_ALL_ctry!D67-credit_to_gdp_ALL_ctry!D55</f>
        <v>-3.5</v>
      </c>
      <c r="G67" s="13">
        <f>credit_to_gdp_ALL_ctry!G67-credit_to_gdp_ALL_ctry!G55</f>
        <v>1.8999999999999915</v>
      </c>
      <c r="H67" s="13">
        <f>credit_to_gdp_ALL_ctry!H67-credit_to_gdp_ALL_ctry!H55</f>
        <v>1.1000000000000085</v>
      </c>
      <c r="J67" s="13">
        <f>credit_to_gdp_ALL_ctry!J67-credit_to_gdp_ALL_ctry!J55</f>
        <v>1.3999999999999986</v>
      </c>
      <c r="N67" s="13">
        <f>credit_to_gdp_ALL_ctry!N67-credit_to_gdp_ALL_ctry!N55</f>
        <v>-12.299999999999997</v>
      </c>
      <c r="O67" s="13">
        <f>credit_to_gdp_ALL_ctry!O67-credit_to_gdp_ALL_ctry!O55</f>
        <v>6.5</v>
      </c>
      <c r="P67" s="13">
        <f>credit_to_gdp_ALL_ctry!P67-credit_to_gdp_ALL_ctry!P55</f>
        <v>6</v>
      </c>
      <c r="Q67" s="13">
        <f>credit_to_gdp_ALL_ctry!Q67-credit_to_gdp_ALL_ctry!Q55</f>
        <v>13.699999999999989</v>
      </c>
      <c r="R67" s="13">
        <f>credit_to_gdp_ALL_ctry!R67-credit_to_gdp_ALL_ctry!R55</f>
        <v>12.5</v>
      </c>
    </row>
    <row r="68" spans="1:18" x14ac:dyDescent="0.45">
      <c r="A68" t="s">
        <v>201</v>
      </c>
      <c r="B68" s="13">
        <f>credit_to_gdp_ALL_ctry!B68-credit_to_gdp_ALL_ctry!B56</f>
        <v>17.699999999999989</v>
      </c>
      <c r="D68" s="13">
        <f>credit_to_gdp_ALL_ctry!D68-credit_to_gdp_ALL_ctry!D56</f>
        <v>-0.70000000000000284</v>
      </c>
      <c r="G68" s="13">
        <f>credit_to_gdp_ALL_ctry!G68-credit_to_gdp_ALL_ctry!G56</f>
        <v>1.2999999999999972</v>
      </c>
      <c r="H68" s="13">
        <f>credit_to_gdp_ALL_ctry!H68-credit_to_gdp_ALL_ctry!H56</f>
        <v>-0.20000000000000284</v>
      </c>
      <c r="J68" s="13">
        <f>credit_to_gdp_ALL_ctry!J68-credit_to_gdp_ALL_ctry!J56</f>
        <v>2.4000000000000057</v>
      </c>
      <c r="N68" s="13">
        <f>credit_to_gdp_ALL_ctry!N68-credit_to_gdp_ALL_ctry!N56</f>
        <v>-13.100000000000009</v>
      </c>
      <c r="O68" s="13">
        <f>credit_to_gdp_ALL_ctry!O68-credit_to_gdp_ALL_ctry!O56</f>
        <v>9</v>
      </c>
      <c r="P68" s="13">
        <f>credit_to_gdp_ALL_ctry!P68-credit_to_gdp_ALL_ctry!P56</f>
        <v>6.4000000000000057</v>
      </c>
      <c r="Q68" s="13">
        <f>credit_to_gdp_ALL_ctry!Q68-credit_to_gdp_ALL_ctry!Q56</f>
        <v>14</v>
      </c>
      <c r="R68" s="13">
        <f>credit_to_gdp_ALL_ctry!R68-credit_to_gdp_ALL_ctry!R56</f>
        <v>14</v>
      </c>
    </row>
    <row r="69" spans="1:18" x14ac:dyDescent="0.45">
      <c r="A69" t="s">
        <v>202</v>
      </c>
      <c r="B69" s="13">
        <f>credit_to_gdp_ALL_ctry!B69-credit_to_gdp_ALL_ctry!B57</f>
        <v>19</v>
      </c>
      <c r="D69" s="13">
        <f>credit_to_gdp_ALL_ctry!D69-credit_to_gdp_ALL_ctry!D57</f>
        <v>2.5999999999999943</v>
      </c>
      <c r="G69" s="13">
        <f>credit_to_gdp_ALL_ctry!G69-credit_to_gdp_ALL_ctry!G57</f>
        <v>-1.5999999999999943</v>
      </c>
      <c r="H69" s="13">
        <f>credit_to_gdp_ALL_ctry!H69-credit_to_gdp_ALL_ctry!H57</f>
        <v>-1.3999999999999915</v>
      </c>
      <c r="J69" s="13">
        <f>credit_to_gdp_ALL_ctry!J69-credit_to_gdp_ALL_ctry!J57</f>
        <v>3.9000000000000057</v>
      </c>
      <c r="N69" s="13">
        <f>credit_to_gdp_ALL_ctry!N69-credit_to_gdp_ALL_ctry!N57</f>
        <v>-13.199999999999989</v>
      </c>
      <c r="O69" s="13">
        <f>credit_to_gdp_ALL_ctry!O69-credit_to_gdp_ALL_ctry!O57</f>
        <v>11.700000000000003</v>
      </c>
      <c r="P69" s="13">
        <f>credit_to_gdp_ALL_ctry!P69-credit_to_gdp_ALL_ctry!P57</f>
        <v>5.7000000000000171</v>
      </c>
      <c r="Q69" s="13">
        <f>credit_to_gdp_ALL_ctry!Q69-credit_to_gdp_ALL_ctry!Q57</f>
        <v>16.200000000000003</v>
      </c>
      <c r="R69" s="13">
        <f>credit_to_gdp_ALL_ctry!R69-credit_to_gdp_ALL_ctry!R57</f>
        <v>16</v>
      </c>
    </row>
    <row r="70" spans="1:18" x14ac:dyDescent="0.45">
      <c r="A70" t="s">
        <v>203</v>
      </c>
      <c r="B70" s="13">
        <f>credit_to_gdp_ALL_ctry!B70-credit_to_gdp_ALL_ctry!B58</f>
        <v>19.900000000000006</v>
      </c>
      <c r="D70" s="13">
        <f>credit_to_gdp_ALL_ctry!D70-credit_to_gdp_ALL_ctry!D58</f>
        <v>3.5</v>
      </c>
      <c r="G70" s="13">
        <f>credit_to_gdp_ALL_ctry!G70-credit_to_gdp_ALL_ctry!G58</f>
        <v>2</v>
      </c>
      <c r="H70" s="13">
        <f>credit_to_gdp_ALL_ctry!H70-credit_to_gdp_ALL_ctry!H58</f>
        <v>-1.0999999999999943</v>
      </c>
      <c r="J70" s="13">
        <f>credit_to_gdp_ALL_ctry!J70-credit_to_gdp_ALL_ctry!J58</f>
        <v>3</v>
      </c>
      <c r="N70" s="13">
        <f>credit_to_gdp_ALL_ctry!N70-credit_to_gdp_ALL_ctry!N58</f>
        <v>-12.5</v>
      </c>
      <c r="O70" s="13">
        <f>credit_to_gdp_ALL_ctry!O70-credit_to_gdp_ALL_ctry!O58</f>
        <v>14</v>
      </c>
      <c r="P70" s="13">
        <f>credit_to_gdp_ALL_ctry!P70-credit_to_gdp_ALL_ctry!P58</f>
        <v>8.9000000000000057</v>
      </c>
      <c r="Q70" s="13">
        <f>credit_to_gdp_ALL_ctry!Q70-credit_to_gdp_ALL_ctry!Q58</f>
        <v>15.799999999999997</v>
      </c>
      <c r="R70" s="13">
        <f>credit_to_gdp_ALL_ctry!R70-credit_to_gdp_ALL_ctry!R58</f>
        <v>16.200000000000003</v>
      </c>
    </row>
    <row r="71" spans="1:18" x14ac:dyDescent="0.45">
      <c r="A71" t="s">
        <v>204</v>
      </c>
      <c r="B71" s="13">
        <f>credit_to_gdp_ALL_ctry!B71-credit_to_gdp_ALL_ctry!B59</f>
        <v>22.799999999999997</v>
      </c>
      <c r="D71" s="13">
        <f>credit_to_gdp_ALL_ctry!D71-credit_to_gdp_ALL_ctry!D59</f>
        <v>6.2999999999999972</v>
      </c>
      <c r="G71" s="13">
        <f>credit_to_gdp_ALL_ctry!G71-credit_to_gdp_ALL_ctry!G59</f>
        <v>1.7000000000000028</v>
      </c>
      <c r="H71" s="13">
        <f>credit_to_gdp_ALL_ctry!H71-credit_to_gdp_ALL_ctry!H59</f>
        <v>-2.1000000000000085</v>
      </c>
      <c r="J71" s="13">
        <f>credit_to_gdp_ALL_ctry!J71-credit_to_gdp_ALL_ctry!J59</f>
        <v>3.1000000000000014</v>
      </c>
      <c r="N71" s="13">
        <f>credit_to_gdp_ALL_ctry!N71-credit_to_gdp_ALL_ctry!N59</f>
        <v>-12.399999999999991</v>
      </c>
      <c r="O71" s="13">
        <f>credit_to_gdp_ALL_ctry!O71-credit_to_gdp_ALL_ctry!O59</f>
        <v>16.399999999999991</v>
      </c>
      <c r="P71" s="13">
        <f>credit_to_gdp_ALL_ctry!P71-credit_to_gdp_ALL_ctry!P59</f>
        <v>10.800000000000011</v>
      </c>
      <c r="Q71" s="13">
        <f>credit_to_gdp_ALL_ctry!Q71-credit_to_gdp_ALL_ctry!Q59</f>
        <v>14.799999999999997</v>
      </c>
      <c r="R71" s="13">
        <f>credit_to_gdp_ALL_ctry!R71-credit_to_gdp_ALL_ctry!R59</f>
        <v>16.699999999999989</v>
      </c>
    </row>
    <row r="72" spans="1:18" x14ac:dyDescent="0.45">
      <c r="A72" t="s">
        <v>205</v>
      </c>
      <c r="B72" s="13">
        <f>credit_to_gdp_ALL_ctry!B72-credit_to_gdp_ALL_ctry!B60</f>
        <v>23.099999999999994</v>
      </c>
      <c r="D72" s="13">
        <f>credit_to_gdp_ALL_ctry!D72-credit_to_gdp_ALL_ctry!D60</f>
        <v>7.5999999999999943</v>
      </c>
      <c r="G72" s="13">
        <f>credit_to_gdp_ALL_ctry!G72-credit_to_gdp_ALL_ctry!G60</f>
        <v>1.2999999999999972</v>
      </c>
      <c r="H72" s="13">
        <f>credit_to_gdp_ALL_ctry!H72-credit_to_gdp_ALL_ctry!H60</f>
        <v>-1.4000000000000057</v>
      </c>
      <c r="J72" s="13">
        <f>credit_to_gdp_ALL_ctry!J72-credit_to_gdp_ALL_ctry!J60</f>
        <v>-0.10000000000000142</v>
      </c>
      <c r="N72" s="13">
        <f>credit_to_gdp_ALL_ctry!N72-credit_to_gdp_ALL_ctry!N60</f>
        <v>-11</v>
      </c>
      <c r="O72" s="13">
        <f>credit_to_gdp_ALL_ctry!O72-credit_to_gdp_ALL_ctry!O60</f>
        <v>18.600000000000009</v>
      </c>
      <c r="P72" s="13">
        <f>credit_to_gdp_ALL_ctry!P72-credit_to_gdp_ALL_ctry!P60</f>
        <v>12.299999999999983</v>
      </c>
      <c r="Q72" s="13">
        <f>credit_to_gdp_ALL_ctry!Q72-credit_to_gdp_ALL_ctry!Q60</f>
        <v>15.100000000000009</v>
      </c>
      <c r="R72" s="13">
        <f>credit_to_gdp_ALL_ctry!R72-credit_to_gdp_ALL_ctry!R60</f>
        <v>17.099999999999994</v>
      </c>
    </row>
    <row r="73" spans="1:18" x14ac:dyDescent="0.45">
      <c r="A73" t="s">
        <v>206</v>
      </c>
      <c r="B73" s="13">
        <f>credit_to_gdp_ALL_ctry!B73-credit_to_gdp_ALL_ctry!B61</f>
        <v>24.099999999999994</v>
      </c>
      <c r="D73" s="13">
        <f>credit_to_gdp_ALL_ctry!D73-credit_to_gdp_ALL_ctry!D61</f>
        <v>9.2000000000000028</v>
      </c>
      <c r="G73" s="13">
        <f>credit_to_gdp_ALL_ctry!G73-credit_to_gdp_ALL_ctry!G61</f>
        <v>0.89999999999999147</v>
      </c>
      <c r="H73" s="13">
        <f>credit_to_gdp_ALL_ctry!H73-credit_to_gdp_ALL_ctry!H61</f>
        <v>-2.0999999999999943</v>
      </c>
      <c r="J73" s="13">
        <f>credit_to_gdp_ALL_ctry!J73-credit_to_gdp_ALL_ctry!J61</f>
        <v>1.1999999999999957</v>
      </c>
      <c r="N73" s="13">
        <f>credit_to_gdp_ALL_ctry!N73-credit_to_gdp_ALL_ctry!N61</f>
        <v>-11.5</v>
      </c>
      <c r="O73" s="13">
        <f>credit_to_gdp_ALL_ctry!O73-credit_to_gdp_ALL_ctry!O61</f>
        <v>20.5</v>
      </c>
      <c r="P73" s="13">
        <f>credit_to_gdp_ALL_ctry!P73-credit_to_gdp_ALL_ctry!P61</f>
        <v>13</v>
      </c>
      <c r="Q73" s="13">
        <f>credit_to_gdp_ALL_ctry!Q73-credit_to_gdp_ALL_ctry!Q61</f>
        <v>12.400000000000006</v>
      </c>
      <c r="R73" s="13">
        <f>credit_to_gdp_ALL_ctry!R73-credit_to_gdp_ALL_ctry!R61</f>
        <v>16.100000000000009</v>
      </c>
    </row>
    <row r="74" spans="1:18" x14ac:dyDescent="0.45">
      <c r="A74" t="s">
        <v>207</v>
      </c>
      <c r="B74" s="13">
        <f>credit_to_gdp_ALL_ctry!B74-credit_to_gdp_ALL_ctry!B62</f>
        <v>25.399999999999991</v>
      </c>
      <c r="D74" s="13">
        <f>credit_to_gdp_ALL_ctry!D74-credit_to_gdp_ALL_ctry!D62</f>
        <v>10.200000000000003</v>
      </c>
      <c r="G74" s="13">
        <f>credit_to_gdp_ALL_ctry!G74-credit_to_gdp_ALL_ctry!G62</f>
        <v>3.6000000000000085</v>
      </c>
      <c r="H74" s="13">
        <f>credit_to_gdp_ALL_ctry!H74-credit_to_gdp_ALL_ctry!H62</f>
        <v>-3.2999999999999972</v>
      </c>
      <c r="J74" s="13">
        <f>credit_to_gdp_ALL_ctry!J74-credit_to_gdp_ALL_ctry!J62</f>
        <v>-0.29999999999999716</v>
      </c>
      <c r="N74" s="13">
        <f>credit_to_gdp_ALL_ctry!N74-credit_to_gdp_ALL_ctry!N62</f>
        <v>-9.7999999999999972</v>
      </c>
      <c r="O74" s="13">
        <f>credit_to_gdp_ALL_ctry!O74-credit_to_gdp_ALL_ctry!O62</f>
        <v>23.5</v>
      </c>
      <c r="P74" s="13">
        <f>credit_to_gdp_ALL_ctry!P74-credit_to_gdp_ALL_ctry!P62</f>
        <v>15.899999999999977</v>
      </c>
      <c r="Q74" s="13">
        <f>credit_to_gdp_ALL_ctry!Q74-credit_to_gdp_ALL_ctry!Q62</f>
        <v>13.299999999999997</v>
      </c>
      <c r="R74" s="13">
        <f>credit_to_gdp_ALL_ctry!R74-credit_to_gdp_ALL_ctry!R62</f>
        <v>15.300000000000011</v>
      </c>
    </row>
    <row r="75" spans="1:18" x14ac:dyDescent="0.45">
      <c r="A75" t="s">
        <v>208</v>
      </c>
      <c r="B75" s="13">
        <f>credit_to_gdp_ALL_ctry!B75-credit_to_gdp_ALL_ctry!B63</f>
        <v>26.299999999999997</v>
      </c>
      <c r="D75" s="13">
        <f>credit_to_gdp_ALL_ctry!D75-credit_to_gdp_ALL_ctry!D63</f>
        <v>11.799999999999997</v>
      </c>
      <c r="G75" s="13">
        <f>credit_to_gdp_ALL_ctry!G75-credit_to_gdp_ALL_ctry!G63</f>
        <v>4.2999999999999972</v>
      </c>
      <c r="H75" s="13">
        <f>credit_to_gdp_ALL_ctry!H75-credit_to_gdp_ALL_ctry!H63</f>
        <v>-2.8000000000000114</v>
      </c>
      <c r="J75" s="13">
        <f>credit_to_gdp_ALL_ctry!J75-credit_to_gdp_ALL_ctry!J63</f>
        <v>2.5999999999999943</v>
      </c>
      <c r="N75" s="13">
        <f>credit_to_gdp_ALL_ctry!N75-credit_to_gdp_ALL_ctry!N63</f>
        <v>-9.2999999999999972</v>
      </c>
      <c r="O75" s="13">
        <f>credit_to_gdp_ALL_ctry!O75-credit_to_gdp_ALL_ctry!O63</f>
        <v>26</v>
      </c>
      <c r="P75" s="13">
        <f>credit_to_gdp_ALL_ctry!P75-credit_to_gdp_ALL_ctry!P63</f>
        <v>20.5</v>
      </c>
      <c r="Q75" s="13">
        <f>credit_to_gdp_ALL_ctry!Q75-credit_to_gdp_ALL_ctry!Q63</f>
        <v>17.900000000000006</v>
      </c>
      <c r="R75" s="13">
        <f>credit_to_gdp_ALL_ctry!R75-credit_to_gdp_ALL_ctry!R63</f>
        <v>14.700000000000003</v>
      </c>
    </row>
    <row r="76" spans="1:18" x14ac:dyDescent="0.45">
      <c r="A76" t="s">
        <v>209</v>
      </c>
      <c r="B76" s="13">
        <f>credit_to_gdp_ALL_ctry!B76-credit_to_gdp_ALL_ctry!B64</f>
        <v>25.700000000000003</v>
      </c>
      <c r="D76" s="13">
        <f>credit_to_gdp_ALL_ctry!D76-credit_to_gdp_ALL_ctry!D64</f>
        <v>12.400000000000006</v>
      </c>
      <c r="G76" s="13">
        <f>credit_to_gdp_ALL_ctry!G76-credit_to_gdp_ALL_ctry!G64</f>
        <v>5.3999999999999915</v>
      </c>
      <c r="H76" s="13">
        <f>credit_to_gdp_ALL_ctry!H76-credit_to_gdp_ALL_ctry!H64</f>
        <v>-2.2999999999999972</v>
      </c>
      <c r="J76" s="13">
        <f>credit_to_gdp_ALL_ctry!J76-credit_to_gdp_ALL_ctry!J64</f>
        <v>3</v>
      </c>
      <c r="N76" s="13">
        <f>credit_to_gdp_ALL_ctry!N76-credit_to_gdp_ALL_ctry!N64</f>
        <v>-6.7000000000000028</v>
      </c>
      <c r="O76" s="13">
        <f>credit_to_gdp_ALL_ctry!O76-credit_to_gdp_ALL_ctry!O64</f>
        <v>28.300000000000011</v>
      </c>
      <c r="P76" s="13">
        <f>credit_to_gdp_ALL_ctry!P76-credit_to_gdp_ALL_ctry!P64</f>
        <v>23.300000000000011</v>
      </c>
      <c r="Q76" s="13">
        <f>credit_to_gdp_ALL_ctry!Q76-credit_to_gdp_ALL_ctry!Q64</f>
        <v>19.100000000000009</v>
      </c>
      <c r="R76" s="13">
        <f>credit_to_gdp_ALL_ctry!R76-credit_to_gdp_ALL_ctry!R64</f>
        <v>13.799999999999997</v>
      </c>
    </row>
    <row r="77" spans="1:18" x14ac:dyDescent="0.45">
      <c r="A77" t="s">
        <v>210</v>
      </c>
      <c r="B77" s="13">
        <f>credit_to_gdp_ALL_ctry!B77-credit_to_gdp_ALL_ctry!B65</f>
        <v>23.099999999999994</v>
      </c>
      <c r="D77" s="13">
        <f>credit_to_gdp_ALL_ctry!D77-credit_to_gdp_ALL_ctry!D65</f>
        <v>13.5</v>
      </c>
      <c r="G77" s="13">
        <f>credit_to_gdp_ALL_ctry!G77-credit_to_gdp_ALL_ctry!G65</f>
        <v>6.7000000000000028</v>
      </c>
      <c r="H77" s="13">
        <f>credit_to_gdp_ALL_ctry!H77-credit_to_gdp_ALL_ctry!H65</f>
        <v>-2.9000000000000057</v>
      </c>
      <c r="J77" s="13">
        <f>credit_to_gdp_ALL_ctry!J77-credit_to_gdp_ALL_ctry!J65</f>
        <v>3.5</v>
      </c>
      <c r="N77" s="13">
        <f>credit_to_gdp_ALL_ctry!N77-credit_to_gdp_ALL_ctry!N65</f>
        <v>-3.7999999999999972</v>
      </c>
      <c r="O77" s="13">
        <f>credit_to_gdp_ALL_ctry!O77-credit_to_gdp_ALL_ctry!O65</f>
        <v>30.300000000000011</v>
      </c>
      <c r="P77" s="13">
        <f>credit_to_gdp_ALL_ctry!P77-credit_to_gdp_ALL_ctry!P65</f>
        <v>23.400000000000006</v>
      </c>
      <c r="Q77" s="13">
        <f>credit_to_gdp_ALL_ctry!Q77-credit_to_gdp_ALL_ctry!Q65</f>
        <v>21</v>
      </c>
      <c r="R77" s="13">
        <f>credit_to_gdp_ALL_ctry!R77-credit_to_gdp_ALL_ctry!R65</f>
        <v>11.800000000000011</v>
      </c>
    </row>
    <row r="78" spans="1:18" x14ac:dyDescent="0.45">
      <c r="A78" t="s">
        <v>211</v>
      </c>
      <c r="B78" s="13">
        <f>credit_to_gdp_ALL_ctry!B78-credit_to_gdp_ALL_ctry!B66</f>
        <v>23.800000000000011</v>
      </c>
      <c r="D78" s="13">
        <f>credit_to_gdp_ALL_ctry!D78-credit_to_gdp_ALL_ctry!D66</f>
        <v>14.299999999999997</v>
      </c>
      <c r="G78" s="13">
        <f>credit_to_gdp_ALL_ctry!G78-credit_to_gdp_ALL_ctry!G66</f>
        <v>7.1999999999999886</v>
      </c>
      <c r="H78" s="13">
        <f>credit_to_gdp_ALL_ctry!H78-credit_to_gdp_ALL_ctry!H66</f>
        <v>-2.5999999999999943</v>
      </c>
      <c r="J78" s="13">
        <f>credit_to_gdp_ALL_ctry!J78-credit_to_gdp_ALL_ctry!J66</f>
        <v>6.3999999999999986</v>
      </c>
      <c r="N78" s="13">
        <f>credit_to_gdp_ALL_ctry!N78-credit_to_gdp_ALL_ctry!N66</f>
        <v>-0.39999999999999147</v>
      </c>
      <c r="O78" s="13">
        <f>credit_to_gdp_ALL_ctry!O78-credit_to_gdp_ALL_ctry!O66</f>
        <v>31.099999999999994</v>
      </c>
      <c r="P78" s="13">
        <f>credit_to_gdp_ALL_ctry!P78-credit_to_gdp_ALL_ctry!P66</f>
        <v>28.400000000000006</v>
      </c>
      <c r="Q78" s="13">
        <f>credit_to_gdp_ALL_ctry!Q78-credit_to_gdp_ALL_ctry!Q66</f>
        <v>21.200000000000003</v>
      </c>
      <c r="R78" s="13">
        <f>credit_to_gdp_ALL_ctry!R78-credit_to_gdp_ALL_ctry!R66</f>
        <v>11.200000000000003</v>
      </c>
    </row>
    <row r="79" spans="1:18" x14ac:dyDescent="0.45">
      <c r="A79" t="s">
        <v>212</v>
      </c>
      <c r="B79" s="13">
        <f>credit_to_gdp_ALL_ctry!B79-credit_to_gdp_ALL_ctry!B67</f>
        <v>22.200000000000003</v>
      </c>
      <c r="D79" s="13">
        <f>credit_to_gdp_ALL_ctry!D79-credit_to_gdp_ALL_ctry!D67</f>
        <v>14.5</v>
      </c>
      <c r="G79" s="13">
        <f>credit_to_gdp_ALL_ctry!G79-credit_to_gdp_ALL_ctry!G67</f>
        <v>10.200000000000003</v>
      </c>
      <c r="H79" s="13">
        <f>credit_to_gdp_ALL_ctry!H79-credit_to_gdp_ALL_ctry!H67</f>
        <v>-2.2000000000000028</v>
      </c>
      <c r="J79" s="13">
        <f>credit_to_gdp_ALL_ctry!J79-credit_to_gdp_ALL_ctry!J67</f>
        <v>8.1000000000000014</v>
      </c>
      <c r="N79" s="13">
        <f>credit_to_gdp_ALL_ctry!N79-credit_to_gdp_ALL_ctry!N67</f>
        <v>3.0999999999999943</v>
      </c>
      <c r="O79" s="13">
        <f>credit_to_gdp_ALL_ctry!O79-credit_to_gdp_ALL_ctry!O67</f>
        <v>31.899999999999991</v>
      </c>
      <c r="P79" s="13">
        <f>credit_to_gdp_ALL_ctry!P79-credit_to_gdp_ALL_ctry!P67</f>
        <v>30.300000000000011</v>
      </c>
      <c r="Q79" s="13">
        <f>credit_to_gdp_ALL_ctry!Q79-credit_to_gdp_ALL_ctry!Q67</f>
        <v>22.5</v>
      </c>
      <c r="R79" s="13">
        <f>credit_to_gdp_ALL_ctry!R79-credit_to_gdp_ALL_ctry!R67</f>
        <v>10</v>
      </c>
    </row>
    <row r="80" spans="1:18" x14ac:dyDescent="0.45">
      <c r="A80" t="s">
        <v>213</v>
      </c>
      <c r="B80" s="13">
        <f>credit_to_gdp_ALL_ctry!B80-credit_to_gdp_ALL_ctry!B68</f>
        <v>15.900000000000006</v>
      </c>
      <c r="D80" s="13">
        <f>credit_to_gdp_ALL_ctry!D80-credit_to_gdp_ALL_ctry!D68</f>
        <v>15.700000000000003</v>
      </c>
      <c r="G80" s="13">
        <f>credit_to_gdp_ALL_ctry!G80-credit_to_gdp_ALL_ctry!G68</f>
        <v>11.799999999999997</v>
      </c>
      <c r="H80" s="13">
        <f>credit_to_gdp_ALL_ctry!H80-credit_to_gdp_ALL_ctry!H68</f>
        <v>-1.2999999999999972</v>
      </c>
      <c r="J80" s="13">
        <f>credit_to_gdp_ALL_ctry!J80-credit_to_gdp_ALL_ctry!J68</f>
        <v>6.6999999999999957</v>
      </c>
      <c r="N80" s="13">
        <f>credit_to_gdp_ALL_ctry!N80-credit_to_gdp_ALL_ctry!N68</f>
        <v>4.6000000000000085</v>
      </c>
      <c r="O80" s="13">
        <f>credit_to_gdp_ALL_ctry!O80-credit_to_gdp_ALL_ctry!O68</f>
        <v>32.5</v>
      </c>
      <c r="P80" s="13">
        <f>credit_to_gdp_ALL_ctry!P80-credit_to_gdp_ALL_ctry!P68</f>
        <v>29.099999999999994</v>
      </c>
      <c r="Q80" s="13">
        <f>credit_to_gdp_ALL_ctry!Q80-credit_to_gdp_ALL_ctry!Q68</f>
        <v>24.099999999999994</v>
      </c>
      <c r="R80" s="13">
        <f>credit_to_gdp_ALL_ctry!R80-credit_to_gdp_ALL_ctry!R68</f>
        <v>7.7999999999999972</v>
      </c>
    </row>
    <row r="81" spans="1:18" x14ac:dyDescent="0.45">
      <c r="A81" t="s">
        <v>214</v>
      </c>
      <c r="B81" s="13">
        <f>credit_to_gdp_ALL_ctry!B81-credit_to_gdp_ALL_ctry!B69</f>
        <v>13.100000000000009</v>
      </c>
      <c r="D81" s="13">
        <f>credit_to_gdp_ALL_ctry!D81-credit_to_gdp_ALL_ctry!D69</f>
        <v>16.899999999999991</v>
      </c>
      <c r="G81" s="13">
        <f>credit_to_gdp_ALL_ctry!G81-credit_to_gdp_ALL_ctry!G69</f>
        <v>14.899999999999991</v>
      </c>
      <c r="H81" s="13">
        <f>credit_to_gdp_ALL_ctry!H81-credit_to_gdp_ALL_ctry!H69</f>
        <v>9.9999999999994316E-2</v>
      </c>
      <c r="J81" s="13">
        <f>credit_to_gdp_ALL_ctry!J81-credit_to_gdp_ALL_ctry!J69</f>
        <v>7.2999999999999972</v>
      </c>
      <c r="N81" s="13">
        <f>credit_to_gdp_ALL_ctry!N81-credit_to_gdp_ALL_ctry!N69</f>
        <v>5</v>
      </c>
      <c r="O81" s="13">
        <f>credit_to_gdp_ALL_ctry!O81-credit_to_gdp_ALL_ctry!O69</f>
        <v>32.799999999999997</v>
      </c>
      <c r="P81" s="13">
        <f>credit_to_gdp_ALL_ctry!P81-credit_to_gdp_ALL_ctry!P69</f>
        <v>29.400000000000006</v>
      </c>
      <c r="Q81" s="13">
        <f>credit_to_gdp_ALL_ctry!Q81-credit_to_gdp_ALL_ctry!Q69</f>
        <v>22.200000000000003</v>
      </c>
      <c r="R81" s="13">
        <f>credit_to_gdp_ALL_ctry!R81-credit_to_gdp_ALL_ctry!R69</f>
        <v>5.7999999999999972</v>
      </c>
    </row>
    <row r="82" spans="1:18" x14ac:dyDescent="0.45">
      <c r="A82" t="s">
        <v>215</v>
      </c>
      <c r="B82" s="13">
        <f>credit_to_gdp_ALL_ctry!B82-credit_to_gdp_ALL_ctry!B70</f>
        <v>14.799999999999997</v>
      </c>
      <c r="D82" s="13">
        <f>credit_to_gdp_ALL_ctry!D82-credit_to_gdp_ALL_ctry!D70</f>
        <v>18.700000000000017</v>
      </c>
      <c r="G82" s="13">
        <f>credit_to_gdp_ALL_ctry!G82-credit_to_gdp_ALL_ctry!G70</f>
        <v>13.599999999999994</v>
      </c>
      <c r="H82" s="13">
        <f>credit_to_gdp_ALL_ctry!H82-credit_to_gdp_ALL_ctry!H70</f>
        <v>1.2000000000000028</v>
      </c>
      <c r="J82" s="13">
        <f>credit_to_gdp_ALL_ctry!J82-credit_to_gdp_ALL_ctry!J70</f>
        <v>6.1000000000000014</v>
      </c>
      <c r="N82" s="13">
        <f>credit_to_gdp_ALL_ctry!N82-credit_to_gdp_ALL_ctry!N70</f>
        <v>7.2000000000000028</v>
      </c>
      <c r="O82" s="13">
        <f>credit_to_gdp_ALL_ctry!O82-credit_to_gdp_ALL_ctry!O70</f>
        <v>32.200000000000017</v>
      </c>
      <c r="P82" s="13">
        <f>credit_to_gdp_ALL_ctry!P82-credit_to_gdp_ALL_ctry!P70</f>
        <v>28.900000000000006</v>
      </c>
      <c r="Q82" s="13">
        <f>credit_to_gdp_ALL_ctry!Q82-credit_to_gdp_ALL_ctry!Q70</f>
        <v>25.900000000000006</v>
      </c>
      <c r="R82" s="13">
        <f>credit_to_gdp_ALL_ctry!R82-credit_to_gdp_ALL_ctry!R70</f>
        <v>6.0999999999999943</v>
      </c>
    </row>
    <row r="83" spans="1:18" x14ac:dyDescent="0.45">
      <c r="A83" t="s">
        <v>216</v>
      </c>
      <c r="B83" s="13">
        <f>credit_to_gdp_ALL_ctry!B83-credit_to_gdp_ALL_ctry!B71</f>
        <v>12</v>
      </c>
      <c r="D83" s="13">
        <f>credit_to_gdp_ALL_ctry!D83-credit_to_gdp_ALL_ctry!D71</f>
        <v>18.099999999999994</v>
      </c>
      <c r="G83" s="13">
        <f>credit_to_gdp_ALL_ctry!G83-credit_to_gdp_ALL_ctry!G71</f>
        <v>13.600000000000009</v>
      </c>
      <c r="H83" s="13">
        <f>credit_to_gdp_ALL_ctry!H83-credit_to_gdp_ALL_ctry!H71</f>
        <v>-0.29999999999999716</v>
      </c>
      <c r="J83" s="13">
        <f>credit_to_gdp_ALL_ctry!J83-credit_to_gdp_ALL_ctry!J71</f>
        <v>6.2999999999999972</v>
      </c>
      <c r="N83" s="13">
        <f>credit_to_gdp_ALL_ctry!N83-credit_to_gdp_ALL_ctry!N71</f>
        <v>8</v>
      </c>
      <c r="O83" s="13">
        <f>credit_to_gdp_ALL_ctry!O83-credit_to_gdp_ALL_ctry!O71</f>
        <v>31.5</v>
      </c>
      <c r="P83" s="13">
        <f>credit_to_gdp_ALL_ctry!P83-credit_to_gdp_ALL_ctry!P71</f>
        <v>26.5</v>
      </c>
      <c r="Q83" s="13">
        <f>credit_to_gdp_ALL_ctry!Q83-credit_to_gdp_ALL_ctry!Q71</f>
        <v>26.600000000000009</v>
      </c>
      <c r="R83" s="13">
        <f>credit_to_gdp_ALL_ctry!R83-credit_to_gdp_ALL_ctry!R71</f>
        <v>4.4000000000000057</v>
      </c>
    </row>
    <row r="84" spans="1:18" x14ac:dyDescent="0.45">
      <c r="A84" t="s">
        <v>217</v>
      </c>
      <c r="B84" s="13">
        <f>credit_to_gdp_ALL_ctry!B84-credit_to_gdp_ALL_ctry!B72</f>
        <v>10.599999999999994</v>
      </c>
      <c r="D84" s="13">
        <f>credit_to_gdp_ALL_ctry!D84-credit_to_gdp_ALL_ctry!D72</f>
        <v>19.199999999999989</v>
      </c>
      <c r="G84" s="13">
        <f>credit_to_gdp_ALL_ctry!G84-credit_to_gdp_ALL_ctry!G72</f>
        <v>13.899999999999991</v>
      </c>
      <c r="H84" s="13">
        <f>credit_to_gdp_ALL_ctry!H84-credit_to_gdp_ALL_ctry!H72</f>
        <v>-1.5999999999999943</v>
      </c>
      <c r="J84" s="13">
        <f>credit_to_gdp_ALL_ctry!J84-credit_to_gdp_ALL_ctry!J72</f>
        <v>6.7000000000000028</v>
      </c>
      <c r="N84" s="13">
        <f>credit_to_gdp_ALL_ctry!N84-credit_to_gdp_ALL_ctry!N72</f>
        <v>9.6999999999999886</v>
      </c>
      <c r="O84" s="13">
        <f>credit_to_gdp_ALL_ctry!O84-credit_to_gdp_ALL_ctry!O72</f>
        <v>31</v>
      </c>
      <c r="P84" s="13">
        <f>credit_to_gdp_ALL_ctry!P84-credit_to_gdp_ALL_ctry!P72</f>
        <v>24.800000000000011</v>
      </c>
      <c r="Q84" s="13">
        <f>credit_to_gdp_ALL_ctry!Q84-credit_to_gdp_ALL_ctry!Q72</f>
        <v>25</v>
      </c>
      <c r="R84" s="13">
        <f>credit_to_gdp_ALL_ctry!R84-credit_to_gdp_ALL_ctry!R72</f>
        <v>3.2000000000000028</v>
      </c>
    </row>
    <row r="85" spans="1:18" x14ac:dyDescent="0.45">
      <c r="A85" t="s">
        <v>218</v>
      </c>
      <c r="B85" s="13">
        <f>credit_to_gdp_ALL_ctry!B85-credit_to_gdp_ALL_ctry!B73</f>
        <v>8.7000000000000028</v>
      </c>
      <c r="D85" s="13">
        <f>credit_to_gdp_ALL_ctry!D85-credit_to_gdp_ALL_ctry!D73</f>
        <v>19.500000000000014</v>
      </c>
      <c r="G85" s="13">
        <f>credit_to_gdp_ALL_ctry!G85-credit_to_gdp_ALL_ctry!G73</f>
        <v>18.100000000000009</v>
      </c>
      <c r="H85" s="13">
        <f>credit_to_gdp_ALL_ctry!H85-credit_to_gdp_ALL_ctry!H73</f>
        <v>-1.5999999999999943</v>
      </c>
      <c r="J85" s="13">
        <f>credit_to_gdp_ALL_ctry!J85-credit_to_gdp_ALL_ctry!J73</f>
        <v>9.0000000000000071</v>
      </c>
      <c r="N85" s="13">
        <f>credit_to_gdp_ALL_ctry!N85-credit_to_gdp_ALL_ctry!N73</f>
        <v>7.3999999999999915</v>
      </c>
      <c r="O85" s="13">
        <f>credit_to_gdp_ALL_ctry!O85-credit_to_gdp_ALL_ctry!O73</f>
        <v>30.599999999999994</v>
      </c>
      <c r="P85" s="13">
        <f>credit_to_gdp_ALL_ctry!P85-credit_to_gdp_ALL_ctry!P73</f>
        <v>22.300000000000011</v>
      </c>
      <c r="Q85" s="13">
        <f>credit_to_gdp_ALL_ctry!Q85-credit_to_gdp_ALL_ctry!Q73</f>
        <v>26.099999999999994</v>
      </c>
      <c r="R85" s="13">
        <f>credit_to_gdp_ALL_ctry!R85-credit_to_gdp_ALL_ctry!R73</f>
        <v>2.3999999999999915</v>
      </c>
    </row>
    <row r="86" spans="1:18" x14ac:dyDescent="0.45">
      <c r="A86" t="s">
        <v>219</v>
      </c>
      <c r="B86" s="13">
        <f>credit_to_gdp_ALL_ctry!B86-credit_to_gdp_ALL_ctry!B74</f>
        <v>7.7999999999999972</v>
      </c>
      <c r="D86" s="13">
        <f>credit_to_gdp_ALL_ctry!D86-credit_to_gdp_ALL_ctry!D74</f>
        <v>19.999999999999986</v>
      </c>
      <c r="G86" s="13">
        <f>credit_to_gdp_ALL_ctry!G86-credit_to_gdp_ALL_ctry!G74</f>
        <v>18.199999999999989</v>
      </c>
      <c r="H86" s="13">
        <f>credit_to_gdp_ALL_ctry!H86-credit_to_gdp_ALL_ctry!H74</f>
        <v>-1.6000000000000085</v>
      </c>
      <c r="J86" s="13">
        <f>credit_to_gdp_ALL_ctry!J86-credit_to_gdp_ALL_ctry!J74</f>
        <v>7.9999999999999929</v>
      </c>
      <c r="N86" s="13">
        <f>credit_to_gdp_ALL_ctry!N86-credit_to_gdp_ALL_ctry!N74</f>
        <v>9.9000000000000057</v>
      </c>
      <c r="O86" s="13">
        <f>credit_to_gdp_ALL_ctry!O86-credit_to_gdp_ALL_ctry!O74</f>
        <v>24.199999999999989</v>
      </c>
      <c r="P86" s="13">
        <f>credit_to_gdp_ALL_ctry!P86-credit_to_gdp_ALL_ctry!P74</f>
        <v>18.200000000000017</v>
      </c>
      <c r="Q86" s="13">
        <f>credit_to_gdp_ALL_ctry!Q86-credit_to_gdp_ALL_ctry!Q74</f>
        <v>24.400000000000006</v>
      </c>
      <c r="R86" s="13">
        <f>credit_to_gdp_ALL_ctry!R86-credit_to_gdp_ALL_ctry!R74</f>
        <v>1.5</v>
      </c>
    </row>
    <row r="87" spans="1:18" x14ac:dyDescent="0.45">
      <c r="A87" t="s">
        <v>220</v>
      </c>
      <c r="B87" s="13">
        <f>credit_to_gdp_ALL_ctry!B87-credit_to_gdp_ALL_ctry!B75</f>
        <v>3.3999999999999915</v>
      </c>
      <c r="D87" s="13">
        <f>credit_to_gdp_ALL_ctry!D87-credit_to_gdp_ALL_ctry!D75</f>
        <v>20.099999999999994</v>
      </c>
      <c r="G87" s="13">
        <f>credit_to_gdp_ALL_ctry!G87-credit_to_gdp_ALL_ctry!G75</f>
        <v>18.399999999999991</v>
      </c>
      <c r="H87" s="13">
        <f>credit_to_gdp_ALL_ctry!H87-credit_to_gdp_ALL_ctry!H75</f>
        <v>-1.7999999999999972</v>
      </c>
      <c r="J87" s="13">
        <f>credit_to_gdp_ALL_ctry!J87-credit_to_gdp_ALL_ctry!J75</f>
        <v>8.6000000000000085</v>
      </c>
      <c r="N87" s="13">
        <f>credit_to_gdp_ALL_ctry!N87-credit_to_gdp_ALL_ctry!N75</f>
        <v>10.200000000000003</v>
      </c>
      <c r="O87" s="13">
        <f>credit_to_gdp_ALL_ctry!O87-credit_to_gdp_ALL_ctry!O75</f>
        <v>18.5</v>
      </c>
      <c r="P87" s="13">
        <f>credit_to_gdp_ALL_ctry!P87-credit_to_gdp_ALL_ctry!P75</f>
        <v>15.900000000000006</v>
      </c>
      <c r="Q87" s="13">
        <f>credit_to_gdp_ALL_ctry!Q87-credit_to_gdp_ALL_ctry!Q75</f>
        <v>22.5</v>
      </c>
      <c r="R87" s="13">
        <f>credit_to_gdp_ALL_ctry!R87-credit_to_gdp_ALL_ctry!R75</f>
        <v>0.79999999999999716</v>
      </c>
    </row>
    <row r="88" spans="1:18" x14ac:dyDescent="0.45">
      <c r="A88" t="s">
        <v>221</v>
      </c>
      <c r="B88" s="13">
        <f>credit_to_gdp_ALL_ctry!B88-credit_to_gdp_ALL_ctry!B76</f>
        <v>0.79999999999999716</v>
      </c>
      <c r="D88" s="13">
        <f>credit_to_gdp_ALL_ctry!D88-credit_to_gdp_ALL_ctry!D76</f>
        <v>19.300000000000011</v>
      </c>
      <c r="G88" s="13">
        <f>credit_to_gdp_ALL_ctry!G88-credit_to_gdp_ALL_ctry!G76</f>
        <v>18.099999999999994</v>
      </c>
      <c r="H88" s="13">
        <f>credit_to_gdp_ALL_ctry!H88-credit_to_gdp_ALL_ctry!H76</f>
        <v>9.9999999999994316E-2</v>
      </c>
      <c r="J88" s="13">
        <f>credit_to_gdp_ALL_ctry!J88-credit_to_gdp_ALL_ctry!J76</f>
        <v>8.7999999999999972</v>
      </c>
      <c r="N88" s="13">
        <f>credit_to_gdp_ALL_ctry!N88-credit_to_gdp_ALL_ctry!N76</f>
        <v>9.2999999999999972</v>
      </c>
      <c r="O88" s="13">
        <f>credit_to_gdp_ALL_ctry!O88-credit_to_gdp_ALL_ctry!O76</f>
        <v>13.599999999999994</v>
      </c>
      <c r="P88" s="13">
        <f>credit_to_gdp_ALL_ctry!P88-credit_to_gdp_ALL_ctry!P76</f>
        <v>12.599999999999994</v>
      </c>
      <c r="Q88" s="13">
        <f>credit_to_gdp_ALL_ctry!Q88-credit_to_gdp_ALL_ctry!Q76</f>
        <v>19</v>
      </c>
      <c r="R88" s="13">
        <f>credit_to_gdp_ALL_ctry!R88-credit_to_gdp_ALL_ctry!R76</f>
        <v>-0.40000000000000568</v>
      </c>
    </row>
    <row r="89" spans="1:18" x14ac:dyDescent="0.45">
      <c r="A89" t="s">
        <v>222</v>
      </c>
      <c r="B89" s="13">
        <f>credit_to_gdp_ALL_ctry!B89-credit_to_gdp_ALL_ctry!B77</f>
        <v>2.2999999999999972</v>
      </c>
      <c r="D89" s="13">
        <f>credit_to_gdp_ALL_ctry!D89-credit_to_gdp_ALL_ctry!D77</f>
        <v>19.799999999999997</v>
      </c>
      <c r="G89" s="13">
        <f>credit_to_gdp_ALL_ctry!G89-credit_to_gdp_ALL_ctry!G77</f>
        <v>16.699999999999989</v>
      </c>
      <c r="H89" s="13">
        <f>credit_to_gdp_ALL_ctry!H89-credit_to_gdp_ALL_ctry!H77</f>
        <v>0</v>
      </c>
      <c r="J89" s="13">
        <f>credit_to_gdp_ALL_ctry!J89-credit_to_gdp_ALL_ctry!J77</f>
        <v>9</v>
      </c>
      <c r="N89" s="13">
        <f>credit_to_gdp_ALL_ctry!N89-credit_to_gdp_ALL_ctry!N77</f>
        <v>6.2999999999999972</v>
      </c>
      <c r="O89" s="13">
        <f>credit_to_gdp_ALL_ctry!O89-credit_to_gdp_ALL_ctry!O77</f>
        <v>9.7999999999999829</v>
      </c>
      <c r="P89" s="13">
        <f>credit_to_gdp_ALL_ctry!P89-credit_to_gdp_ALL_ctry!P77</f>
        <v>9.8000000000000114</v>
      </c>
      <c r="Q89" s="13">
        <f>credit_to_gdp_ALL_ctry!Q89-credit_to_gdp_ALL_ctry!Q77</f>
        <v>16.300000000000011</v>
      </c>
      <c r="R89" s="13">
        <f>credit_to_gdp_ALL_ctry!R89-credit_to_gdp_ALL_ctry!R77</f>
        <v>-1.8000000000000114</v>
      </c>
    </row>
    <row r="90" spans="1:18" x14ac:dyDescent="0.45">
      <c r="A90" t="s">
        <v>223</v>
      </c>
      <c r="B90" s="13">
        <f>credit_to_gdp_ALL_ctry!B90-credit_to_gdp_ALL_ctry!B78</f>
        <v>0.19999999999998863</v>
      </c>
      <c r="D90" s="13">
        <f>credit_to_gdp_ALL_ctry!D90-credit_to_gdp_ALL_ctry!D78</f>
        <v>18.599999999999994</v>
      </c>
      <c r="G90" s="13">
        <f>credit_to_gdp_ALL_ctry!G90-credit_to_gdp_ALL_ctry!G78</f>
        <v>18.700000000000017</v>
      </c>
      <c r="H90" s="13">
        <f>credit_to_gdp_ALL_ctry!H90-credit_to_gdp_ALL_ctry!H78</f>
        <v>1</v>
      </c>
      <c r="J90" s="13">
        <f>credit_to_gdp_ALL_ctry!J90-credit_to_gdp_ALL_ctry!J78</f>
        <v>9</v>
      </c>
      <c r="N90" s="13">
        <f>credit_to_gdp_ALL_ctry!N90-credit_to_gdp_ALL_ctry!N78</f>
        <v>4.5</v>
      </c>
      <c r="O90" s="13">
        <f>credit_to_gdp_ALL_ctry!O90-credit_to_gdp_ALL_ctry!O78</f>
        <v>7.4000000000000057</v>
      </c>
      <c r="P90" s="13">
        <f>credit_to_gdp_ALL_ctry!P90-credit_to_gdp_ALL_ctry!P78</f>
        <v>5.0999999999999943</v>
      </c>
      <c r="Q90" s="13">
        <f>credit_to_gdp_ALL_ctry!Q90-credit_to_gdp_ALL_ctry!Q78</f>
        <v>12.599999999999994</v>
      </c>
      <c r="R90" s="13">
        <f>credit_to_gdp_ALL_ctry!R90-credit_to_gdp_ALL_ctry!R78</f>
        <v>-2.5</v>
      </c>
    </row>
    <row r="91" spans="1:18" x14ac:dyDescent="0.45">
      <c r="A91" t="s">
        <v>224</v>
      </c>
      <c r="B91" s="13">
        <f>credit_to_gdp_ALL_ctry!B91-credit_to_gdp_ALL_ctry!B79</f>
        <v>-3.0999999999999943</v>
      </c>
      <c r="D91" s="13">
        <f>credit_to_gdp_ALL_ctry!D91-credit_to_gdp_ALL_ctry!D79</f>
        <v>18.299999999999997</v>
      </c>
      <c r="G91" s="13">
        <f>credit_to_gdp_ALL_ctry!G91-credit_to_gdp_ALL_ctry!G79</f>
        <v>16.600000000000009</v>
      </c>
      <c r="H91" s="13">
        <f>credit_to_gdp_ALL_ctry!H91-credit_to_gdp_ALL_ctry!H79</f>
        <v>1.3999999999999915</v>
      </c>
      <c r="J91" s="13">
        <f>credit_to_gdp_ALL_ctry!J91-credit_to_gdp_ALL_ctry!J79</f>
        <v>8.6000000000000014</v>
      </c>
      <c r="N91" s="13">
        <f>credit_to_gdp_ALL_ctry!N91-credit_to_gdp_ALL_ctry!N79</f>
        <v>2.2000000000000028</v>
      </c>
      <c r="O91" s="13">
        <f>credit_to_gdp_ALL_ctry!O91-credit_to_gdp_ALL_ctry!O79</f>
        <v>5.9000000000000057</v>
      </c>
      <c r="P91" s="13">
        <f>credit_to_gdp_ALL_ctry!P91-credit_to_gdp_ALL_ctry!P79</f>
        <v>1.4000000000000057</v>
      </c>
      <c r="Q91" s="13">
        <f>credit_to_gdp_ALL_ctry!Q91-credit_to_gdp_ALL_ctry!Q79</f>
        <v>9</v>
      </c>
      <c r="R91" s="13">
        <f>credit_to_gdp_ALL_ctry!R91-credit_to_gdp_ALL_ctry!R79</f>
        <v>-4</v>
      </c>
    </row>
    <row r="92" spans="1:18" x14ac:dyDescent="0.45">
      <c r="A92" t="s">
        <v>225</v>
      </c>
      <c r="B92" s="13">
        <f>credit_to_gdp_ALL_ctry!B92-credit_to_gdp_ALL_ctry!B80</f>
        <v>0</v>
      </c>
      <c r="D92" s="13">
        <f>credit_to_gdp_ALL_ctry!D92-credit_to_gdp_ALL_ctry!D80</f>
        <v>16.600000000000009</v>
      </c>
      <c r="G92" s="13">
        <f>credit_to_gdp_ALL_ctry!G92-credit_to_gdp_ALL_ctry!G80</f>
        <v>15.800000000000011</v>
      </c>
      <c r="H92" s="13">
        <f>credit_to_gdp_ALL_ctry!H92-credit_to_gdp_ALL_ctry!H80</f>
        <v>1.5</v>
      </c>
      <c r="J92" s="13">
        <f>credit_to_gdp_ALL_ctry!J92-credit_to_gdp_ALL_ctry!J80</f>
        <v>10.300000000000004</v>
      </c>
      <c r="N92" s="13">
        <f>credit_to_gdp_ALL_ctry!N92-credit_to_gdp_ALL_ctry!N80</f>
        <v>3.1999999999999886</v>
      </c>
      <c r="O92" s="13">
        <f>credit_to_gdp_ALL_ctry!O92-credit_to_gdp_ALL_ctry!O80</f>
        <v>5.0999999999999943</v>
      </c>
      <c r="P92" s="13">
        <f>credit_to_gdp_ALL_ctry!P92-credit_to_gdp_ALL_ctry!P80</f>
        <v>1.0999999999999943</v>
      </c>
      <c r="Q92" s="13">
        <f>credit_to_gdp_ALL_ctry!Q92-credit_to_gdp_ALL_ctry!Q80</f>
        <v>6.2000000000000028</v>
      </c>
      <c r="R92" s="13">
        <f>credit_to_gdp_ALL_ctry!R92-credit_to_gdp_ALL_ctry!R80</f>
        <v>-4.5</v>
      </c>
    </row>
    <row r="93" spans="1:18" x14ac:dyDescent="0.45">
      <c r="A93" t="s">
        <v>226</v>
      </c>
      <c r="B93" s="13">
        <f>credit_to_gdp_ALL_ctry!B93-credit_to_gdp_ALL_ctry!B81</f>
        <v>-1.7000000000000028</v>
      </c>
      <c r="D93" s="13">
        <f>credit_to_gdp_ALL_ctry!D93-credit_to_gdp_ALL_ctry!D81</f>
        <v>14</v>
      </c>
      <c r="G93" s="13">
        <f>credit_to_gdp_ALL_ctry!G93-credit_to_gdp_ALL_ctry!G81</f>
        <v>16.200000000000017</v>
      </c>
      <c r="H93" s="13">
        <f>credit_to_gdp_ALL_ctry!H93-credit_to_gdp_ALL_ctry!H81</f>
        <v>0</v>
      </c>
      <c r="J93" s="13">
        <f>credit_to_gdp_ALL_ctry!J93-credit_to_gdp_ALL_ctry!J81</f>
        <v>9.4000000000000057</v>
      </c>
      <c r="N93" s="13">
        <f>credit_to_gdp_ALL_ctry!N93-credit_to_gdp_ALL_ctry!N81</f>
        <v>3.3999999999999915</v>
      </c>
      <c r="O93" s="13">
        <f>credit_to_gdp_ALL_ctry!O93-credit_to_gdp_ALL_ctry!O81</f>
        <v>4.8000000000000114</v>
      </c>
      <c r="P93" s="13">
        <f>credit_to_gdp_ALL_ctry!P93-credit_to_gdp_ALL_ctry!P81</f>
        <v>-0.90000000000000568</v>
      </c>
      <c r="Q93" s="13">
        <f>credit_to_gdp_ALL_ctry!Q93-credit_to_gdp_ALL_ctry!Q81</f>
        <v>8.7000000000000028</v>
      </c>
      <c r="R93" s="13">
        <f>credit_to_gdp_ALL_ctry!R93-credit_to_gdp_ALL_ctry!R81</f>
        <v>-6</v>
      </c>
    </row>
    <row r="94" spans="1:18" x14ac:dyDescent="0.45">
      <c r="A94" t="s">
        <v>227</v>
      </c>
      <c r="B94" s="13">
        <f>credit_to_gdp_ALL_ctry!B94-credit_to_gdp_ALL_ctry!B82</f>
        <v>-5.3999999999999915</v>
      </c>
      <c r="D94" s="13">
        <f>credit_to_gdp_ALL_ctry!D94-credit_to_gdp_ALL_ctry!D82</f>
        <v>13.399999999999977</v>
      </c>
      <c r="G94" s="13">
        <f>credit_to_gdp_ALL_ctry!G94-credit_to_gdp_ALL_ctry!G82</f>
        <v>18.200000000000017</v>
      </c>
      <c r="H94" s="13">
        <f>credit_to_gdp_ALL_ctry!H94-credit_to_gdp_ALL_ctry!H82</f>
        <v>1.8999999999999915</v>
      </c>
      <c r="J94" s="13">
        <f>credit_to_gdp_ALL_ctry!J94-credit_to_gdp_ALL_ctry!J82</f>
        <v>11.199999999999996</v>
      </c>
      <c r="N94" s="13">
        <f>credit_to_gdp_ALL_ctry!N94-credit_to_gdp_ALL_ctry!N82</f>
        <v>3</v>
      </c>
      <c r="O94" s="13">
        <f>credit_to_gdp_ALL_ctry!O94-credit_to_gdp_ALL_ctry!O82</f>
        <v>3.8999999999999773</v>
      </c>
      <c r="P94" s="13">
        <f>credit_to_gdp_ALL_ctry!P94-credit_to_gdp_ALL_ctry!P82</f>
        <v>-0.80000000000001137</v>
      </c>
      <c r="Q94" s="13">
        <f>credit_to_gdp_ALL_ctry!Q94-credit_to_gdp_ALL_ctry!Q82</f>
        <v>0.70000000000000284</v>
      </c>
      <c r="R94" s="13">
        <f>credit_to_gdp_ALL_ctry!R94-credit_to_gdp_ALL_ctry!R82</f>
        <v>-7.2999999999999972</v>
      </c>
    </row>
    <row r="95" spans="1:18" x14ac:dyDescent="0.45">
      <c r="A95" t="s">
        <v>228</v>
      </c>
      <c r="B95" s="13">
        <f>credit_to_gdp_ALL_ctry!B95-credit_to_gdp_ALL_ctry!B83</f>
        <v>-7.7999999999999972</v>
      </c>
      <c r="D95" s="13">
        <f>credit_to_gdp_ALL_ctry!D95-credit_to_gdp_ALL_ctry!D83</f>
        <v>11.900000000000006</v>
      </c>
      <c r="G95" s="13">
        <f>credit_to_gdp_ALL_ctry!G95-credit_to_gdp_ALL_ctry!G83</f>
        <v>19.599999999999994</v>
      </c>
      <c r="H95" s="13">
        <f>credit_to_gdp_ALL_ctry!H95-credit_to_gdp_ALL_ctry!H83</f>
        <v>5.2999999999999972</v>
      </c>
      <c r="J95" s="13">
        <f>credit_to_gdp_ALL_ctry!J95-credit_to_gdp_ALL_ctry!J83</f>
        <v>10.500000000000007</v>
      </c>
      <c r="N95" s="13">
        <f>credit_to_gdp_ALL_ctry!N95-credit_to_gdp_ALL_ctry!N83</f>
        <v>2.8999999999999915</v>
      </c>
      <c r="O95" s="13">
        <f>credit_to_gdp_ALL_ctry!O95-credit_to_gdp_ALL_ctry!O83</f>
        <v>2.4000000000000057</v>
      </c>
      <c r="P95" s="13">
        <f>credit_to_gdp_ALL_ctry!P95-credit_to_gdp_ALL_ctry!P83</f>
        <v>-2.2000000000000171</v>
      </c>
      <c r="Q95" s="13">
        <f>credit_to_gdp_ALL_ctry!Q95-credit_to_gdp_ALL_ctry!Q83</f>
        <v>-1.5</v>
      </c>
      <c r="R95" s="13">
        <f>credit_to_gdp_ALL_ctry!R95-credit_to_gdp_ALL_ctry!R83</f>
        <v>-7.2000000000000028</v>
      </c>
    </row>
    <row r="96" spans="1:18" x14ac:dyDescent="0.45">
      <c r="A96" t="s">
        <v>229</v>
      </c>
      <c r="B96" s="13">
        <f>credit_to_gdp_ALL_ctry!B96-credit_to_gdp_ALL_ctry!B84</f>
        <v>-7.0999999999999943</v>
      </c>
      <c r="D96" s="13">
        <f>credit_to_gdp_ALL_ctry!D96-credit_to_gdp_ALL_ctry!D84</f>
        <v>11.600000000000023</v>
      </c>
      <c r="G96" s="13">
        <f>credit_to_gdp_ALL_ctry!G96-credit_to_gdp_ALL_ctry!G84</f>
        <v>20</v>
      </c>
      <c r="H96" s="13">
        <f>credit_to_gdp_ALL_ctry!H96-credit_to_gdp_ALL_ctry!H84</f>
        <v>7.5</v>
      </c>
      <c r="J96" s="13">
        <f>credit_to_gdp_ALL_ctry!J96-credit_to_gdp_ALL_ctry!J84</f>
        <v>11.099999999999994</v>
      </c>
      <c r="N96" s="13">
        <f>credit_to_gdp_ALL_ctry!N96-credit_to_gdp_ALL_ctry!N84</f>
        <v>2.3000000000000114</v>
      </c>
      <c r="O96" s="13">
        <f>credit_to_gdp_ALL_ctry!O96-credit_to_gdp_ALL_ctry!O84</f>
        <v>0.5</v>
      </c>
      <c r="P96" s="13">
        <f>credit_to_gdp_ALL_ctry!P96-credit_to_gdp_ALL_ctry!P84</f>
        <v>-3.1999999999999886</v>
      </c>
      <c r="Q96" s="13">
        <f>credit_to_gdp_ALL_ctry!Q96-credit_to_gdp_ALL_ctry!Q84</f>
        <v>-1</v>
      </c>
      <c r="R96" s="13">
        <f>credit_to_gdp_ALL_ctry!R96-credit_to_gdp_ALL_ctry!R84</f>
        <v>-6.7000000000000028</v>
      </c>
    </row>
    <row r="97" spans="1:18" x14ac:dyDescent="0.45">
      <c r="A97" t="s">
        <v>230</v>
      </c>
      <c r="B97" s="13">
        <f>credit_to_gdp_ALL_ctry!B97-credit_to_gdp_ALL_ctry!B85</f>
        <v>-8.7999999999999972</v>
      </c>
      <c r="D97" s="13">
        <f>credit_to_gdp_ALL_ctry!D97-credit_to_gdp_ALL_ctry!D85</f>
        <v>10</v>
      </c>
      <c r="G97" s="13">
        <f>credit_to_gdp_ALL_ctry!G97-credit_to_gdp_ALL_ctry!G85</f>
        <v>13.400000000000006</v>
      </c>
      <c r="H97" s="13">
        <f>credit_to_gdp_ALL_ctry!H97-credit_to_gdp_ALL_ctry!H85</f>
        <v>9.6999999999999886</v>
      </c>
      <c r="J97" s="13">
        <f>credit_to_gdp_ALL_ctry!J97-credit_to_gdp_ALL_ctry!J85</f>
        <v>6.8999999999999915</v>
      </c>
      <c r="N97" s="13">
        <f>credit_to_gdp_ALL_ctry!N97-credit_to_gdp_ALL_ctry!N85</f>
        <v>3.5</v>
      </c>
      <c r="O97" s="13">
        <f>credit_to_gdp_ALL_ctry!O97-credit_to_gdp_ALL_ctry!O85</f>
        <v>-2.0999999999999943</v>
      </c>
      <c r="P97" s="13">
        <f>credit_to_gdp_ALL_ctry!P97-credit_to_gdp_ALL_ctry!P85</f>
        <v>-5.9000000000000057</v>
      </c>
      <c r="Q97" s="13">
        <f>credit_to_gdp_ALL_ctry!Q97-credit_to_gdp_ALL_ctry!Q85</f>
        <v>-0.39999999999999147</v>
      </c>
      <c r="R97" s="13">
        <f>credit_to_gdp_ALL_ctry!R97-credit_to_gdp_ALL_ctry!R85</f>
        <v>-6.2999999999999972</v>
      </c>
    </row>
    <row r="98" spans="1:18" x14ac:dyDescent="0.45">
      <c r="A98" t="s">
        <v>231</v>
      </c>
      <c r="B98" s="13">
        <f>credit_to_gdp_ALL_ctry!B98-credit_to_gdp_ALL_ctry!B86</f>
        <v>-10.799999999999997</v>
      </c>
      <c r="D98" s="13">
        <f>credit_to_gdp_ALL_ctry!D98-credit_to_gdp_ALL_ctry!D86</f>
        <v>8.1000000000000227</v>
      </c>
      <c r="G98" s="13">
        <f>credit_to_gdp_ALL_ctry!G98-credit_to_gdp_ALL_ctry!G86</f>
        <v>11.400000000000006</v>
      </c>
      <c r="H98" s="13">
        <f>credit_to_gdp_ALL_ctry!H98-credit_to_gdp_ALL_ctry!H86</f>
        <v>8.8000000000000114</v>
      </c>
      <c r="J98" s="13">
        <f>credit_to_gdp_ALL_ctry!J98-credit_to_gdp_ALL_ctry!J86</f>
        <v>6.8000000000000114</v>
      </c>
      <c r="N98" s="13">
        <f>credit_to_gdp_ALL_ctry!N98-credit_to_gdp_ALL_ctry!N86</f>
        <v>0.5</v>
      </c>
      <c r="O98" s="13">
        <f>credit_to_gdp_ALL_ctry!O98-credit_to_gdp_ALL_ctry!O86</f>
        <v>-1.1999999999999886</v>
      </c>
      <c r="P98" s="13">
        <f>credit_to_gdp_ALL_ctry!P98-credit_to_gdp_ALL_ctry!P86</f>
        <v>-5.4000000000000057</v>
      </c>
      <c r="Q98" s="13">
        <f>credit_to_gdp_ALL_ctry!Q98-credit_to_gdp_ALL_ctry!Q86</f>
        <v>-3.2000000000000028</v>
      </c>
      <c r="R98" s="13">
        <f>credit_to_gdp_ALL_ctry!R98-credit_to_gdp_ALL_ctry!R86</f>
        <v>-5.6000000000000085</v>
      </c>
    </row>
    <row r="99" spans="1:18" x14ac:dyDescent="0.45">
      <c r="A99" t="s">
        <v>232</v>
      </c>
      <c r="B99" s="13">
        <f>credit_to_gdp_ALL_ctry!B99-credit_to_gdp_ALL_ctry!B87</f>
        <v>-9.0999999999999943</v>
      </c>
      <c r="D99" s="13">
        <f>credit_to_gdp_ALL_ctry!D99-credit_to_gdp_ALL_ctry!D87</f>
        <v>6</v>
      </c>
      <c r="G99" s="13">
        <f>credit_to_gdp_ALL_ctry!G99-credit_to_gdp_ALL_ctry!G87</f>
        <v>8</v>
      </c>
      <c r="H99" s="13">
        <f>credit_to_gdp_ALL_ctry!H99-credit_to_gdp_ALL_ctry!H87</f>
        <v>9.2000000000000028</v>
      </c>
      <c r="J99" s="13">
        <f>credit_to_gdp_ALL_ctry!J99-credit_to_gdp_ALL_ctry!J87</f>
        <v>4.2999999999999972</v>
      </c>
      <c r="N99" s="13">
        <f>credit_to_gdp_ALL_ctry!N99-credit_to_gdp_ALL_ctry!N87</f>
        <v>-0.90000000000000568</v>
      </c>
      <c r="O99" s="13">
        <f>credit_to_gdp_ALL_ctry!O99-credit_to_gdp_ALL_ctry!O87</f>
        <v>-0.80000000000001137</v>
      </c>
      <c r="P99" s="13">
        <f>credit_to_gdp_ALL_ctry!P99-credit_to_gdp_ALL_ctry!P87</f>
        <v>-6.5999999999999943</v>
      </c>
      <c r="Q99" s="13">
        <f>credit_to_gdp_ALL_ctry!Q99-credit_to_gdp_ALL_ctry!Q87</f>
        <v>-7.4000000000000057</v>
      </c>
      <c r="R99" s="13">
        <f>credit_to_gdp_ALL_ctry!R99-credit_to_gdp_ALL_ctry!R87</f>
        <v>-5.7999999999999972</v>
      </c>
    </row>
    <row r="100" spans="1:18" x14ac:dyDescent="0.45">
      <c r="A100" t="s">
        <v>233</v>
      </c>
      <c r="B100" s="13">
        <f>credit_to_gdp_ALL_ctry!B100-credit_to_gdp_ALL_ctry!B88</f>
        <v>-6.6999999999999886</v>
      </c>
      <c r="D100" s="13">
        <f>credit_to_gdp_ALL_ctry!D100-credit_to_gdp_ALL_ctry!D88</f>
        <v>3.5999999999999943</v>
      </c>
      <c r="G100" s="13">
        <f>credit_to_gdp_ALL_ctry!G100-credit_to_gdp_ALL_ctry!G88</f>
        <v>5.3000000000000114</v>
      </c>
      <c r="H100" s="13">
        <f>credit_to_gdp_ALL_ctry!H100-credit_to_gdp_ALL_ctry!H88</f>
        <v>8.7999999999999972</v>
      </c>
      <c r="J100" s="13">
        <f>credit_to_gdp_ALL_ctry!J100-credit_to_gdp_ALL_ctry!J88</f>
        <v>3.0999999999999943</v>
      </c>
      <c r="N100" s="13">
        <f>credit_to_gdp_ALL_ctry!N100-credit_to_gdp_ALL_ctry!N88</f>
        <v>-2.0999999999999943</v>
      </c>
      <c r="O100" s="13">
        <f>credit_to_gdp_ALL_ctry!O100-credit_to_gdp_ALL_ctry!O88</f>
        <v>-1.3000000000000114</v>
      </c>
      <c r="P100" s="13">
        <f>credit_to_gdp_ALL_ctry!P100-credit_to_gdp_ALL_ctry!P88</f>
        <v>-5.4000000000000057</v>
      </c>
      <c r="Q100" s="13">
        <f>credit_to_gdp_ALL_ctry!Q100-credit_to_gdp_ALL_ctry!Q88</f>
        <v>-6.7000000000000028</v>
      </c>
      <c r="R100" s="13">
        <f>credit_to_gdp_ALL_ctry!R100-credit_to_gdp_ALL_ctry!R88</f>
        <v>-5</v>
      </c>
    </row>
    <row r="101" spans="1:18" x14ac:dyDescent="0.45">
      <c r="A101" t="s">
        <v>234</v>
      </c>
      <c r="B101" s="13">
        <f>credit_to_gdp_ALL_ctry!B101-credit_to_gdp_ALL_ctry!B89</f>
        <v>-7.3999999999999915</v>
      </c>
      <c r="D101" s="13">
        <f>credit_to_gdp_ALL_ctry!D101-credit_to_gdp_ALL_ctry!D89</f>
        <v>1.2000000000000171</v>
      </c>
      <c r="G101" s="13">
        <f>credit_to_gdp_ALL_ctry!G101-credit_to_gdp_ALL_ctry!G89</f>
        <v>4.1000000000000227</v>
      </c>
      <c r="H101" s="13">
        <f>credit_to_gdp_ALL_ctry!H101-credit_to_gdp_ALL_ctry!H89</f>
        <v>9.2999999999999972</v>
      </c>
      <c r="J101" s="13">
        <f>credit_to_gdp_ALL_ctry!J101-credit_to_gdp_ALL_ctry!J89</f>
        <v>1.1000000000000085</v>
      </c>
      <c r="N101" s="13">
        <f>credit_to_gdp_ALL_ctry!N101-credit_to_gdp_ALL_ctry!N89</f>
        <v>-3</v>
      </c>
      <c r="O101" s="13">
        <f>credit_to_gdp_ALL_ctry!O101-credit_to_gdp_ALL_ctry!O89</f>
        <v>-2.7999999999999829</v>
      </c>
      <c r="P101" s="13">
        <f>credit_to_gdp_ALL_ctry!P101-credit_to_gdp_ALL_ctry!P89</f>
        <v>-4.9000000000000057</v>
      </c>
      <c r="Q101" s="13">
        <f>credit_to_gdp_ALL_ctry!Q101-credit_to_gdp_ALL_ctry!Q89</f>
        <v>-3.9000000000000057</v>
      </c>
      <c r="R101" s="13">
        <f>credit_to_gdp_ALL_ctry!R101-credit_to_gdp_ALL_ctry!R89</f>
        <v>-3.6999999999999886</v>
      </c>
    </row>
    <row r="102" spans="1:18" x14ac:dyDescent="0.45">
      <c r="A102" t="s">
        <v>235</v>
      </c>
      <c r="B102" s="13">
        <f>credit_to_gdp_ALL_ctry!B102-credit_to_gdp_ALL_ctry!B90</f>
        <v>-6.3999999999999915</v>
      </c>
      <c r="D102" s="13">
        <f>credit_to_gdp_ALL_ctry!D102-credit_to_gdp_ALL_ctry!D90</f>
        <v>1.8000000000000114</v>
      </c>
      <c r="G102" s="13">
        <f>credit_to_gdp_ALL_ctry!G102-credit_to_gdp_ALL_ctry!G90</f>
        <v>1.1999999999999886</v>
      </c>
      <c r="H102" s="13">
        <f>credit_to_gdp_ALL_ctry!H102-credit_to_gdp_ALL_ctry!H90</f>
        <v>5.6999999999999886</v>
      </c>
      <c r="J102" s="13">
        <f>credit_to_gdp_ALL_ctry!J102-credit_to_gdp_ALL_ctry!J90</f>
        <v>0.79999999999999716</v>
      </c>
      <c r="N102" s="13">
        <f>credit_to_gdp_ALL_ctry!N102-credit_to_gdp_ALL_ctry!N90</f>
        <v>-2.2000000000000028</v>
      </c>
      <c r="O102" s="13">
        <f>credit_to_gdp_ALL_ctry!O102-credit_to_gdp_ALL_ctry!O90</f>
        <v>-7.1999999999999886</v>
      </c>
      <c r="P102" s="13">
        <f>credit_to_gdp_ALL_ctry!P102-credit_to_gdp_ALL_ctry!P90</f>
        <v>-4.3000000000000114</v>
      </c>
      <c r="Q102" s="13">
        <f>credit_to_gdp_ALL_ctry!Q102-credit_to_gdp_ALL_ctry!Q90</f>
        <v>-4.0999999999999943</v>
      </c>
      <c r="R102" s="13">
        <f>credit_to_gdp_ALL_ctry!R102-credit_to_gdp_ALL_ctry!R90</f>
        <v>-2.7999999999999972</v>
      </c>
    </row>
    <row r="103" spans="1:18" x14ac:dyDescent="0.45">
      <c r="A103" t="s">
        <v>236</v>
      </c>
      <c r="B103" s="13">
        <f>credit_to_gdp_ALL_ctry!B103-credit_to_gdp_ALL_ctry!B91</f>
        <v>-5.8000000000000114</v>
      </c>
      <c r="D103" s="13">
        <f>credit_to_gdp_ALL_ctry!D103-credit_to_gdp_ALL_ctry!D91</f>
        <v>-0.79999999999998295</v>
      </c>
      <c r="G103" s="13">
        <f>credit_to_gdp_ALL_ctry!G103-credit_to_gdp_ALL_ctry!G91</f>
        <v>1.5999999999999943</v>
      </c>
      <c r="H103" s="13">
        <f>credit_to_gdp_ALL_ctry!H103-credit_to_gdp_ALL_ctry!H91</f>
        <v>6.3000000000000114</v>
      </c>
      <c r="J103" s="13">
        <f>credit_to_gdp_ALL_ctry!J103-credit_to_gdp_ALL_ctry!J91</f>
        <v>-0.10000000000000853</v>
      </c>
      <c r="N103" s="13">
        <f>credit_to_gdp_ALL_ctry!N103-credit_to_gdp_ALL_ctry!N91</f>
        <v>-3.2999999999999972</v>
      </c>
      <c r="O103" s="13">
        <f>credit_to_gdp_ALL_ctry!O103-credit_to_gdp_ALL_ctry!O91</f>
        <v>-12.299999999999983</v>
      </c>
      <c r="P103" s="13">
        <f>credit_to_gdp_ALL_ctry!P103-credit_to_gdp_ALL_ctry!P91</f>
        <v>-4.3000000000000114</v>
      </c>
      <c r="Q103" s="13">
        <f>credit_to_gdp_ALL_ctry!Q103-credit_to_gdp_ALL_ctry!Q91</f>
        <v>-2.5</v>
      </c>
      <c r="R103" s="13">
        <f>credit_to_gdp_ALL_ctry!R103-credit_to_gdp_ALL_ctry!R91</f>
        <v>-0.79999999999999716</v>
      </c>
    </row>
    <row r="104" spans="1:18" x14ac:dyDescent="0.45">
      <c r="A104" t="s">
        <v>237</v>
      </c>
      <c r="B104" s="13">
        <f>credit_to_gdp_ALL_ctry!B104-credit_to_gdp_ALL_ctry!B92</f>
        <v>-7</v>
      </c>
      <c r="D104" s="13">
        <f>credit_to_gdp_ALL_ctry!D104-credit_to_gdp_ALL_ctry!D92</f>
        <v>-1</v>
      </c>
      <c r="G104" s="13">
        <f>credit_to_gdp_ALL_ctry!G104-credit_to_gdp_ALL_ctry!G92</f>
        <v>1.5</v>
      </c>
      <c r="H104" s="13">
        <f>credit_to_gdp_ALL_ctry!H104-credit_to_gdp_ALL_ctry!H92</f>
        <v>6.5999999999999943</v>
      </c>
      <c r="J104" s="13">
        <f>credit_to_gdp_ALL_ctry!J104-credit_to_gdp_ALL_ctry!J92</f>
        <v>-1.6000000000000085</v>
      </c>
      <c r="N104" s="13">
        <f>credit_to_gdp_ALL_ctry!N104-credit_to_gdp_ALL_ctry!N92</f>
        <v>-4.8999999999999915</v>
      </c>
      <c r="O104" s="13">
        <f>credit_to_gdp_ALL_ctry!O104-credit_to_gdp_ALL_ctry!O92</f>
        <v>-17.400000000000006</v>
      </c>
      <c r="P104" s="13">
        <f>credit_to_gdp_ALL_ctry!P104-credit_to_gdp_ALL_ctry!P92</f>
        <v>-4.6999999999999886</v>
      </c>
      <c r="Q104" s="13">
        <f>credit_to_gdp_ALL_ctry!Q104-credit_to_gdp_ALL_ctry!Q92</f>
        <v>-2.5</v>
      </c>
      <c r="R104" s="13">
        <f>credit_to_gdp_ALL_ctry!R104-credit_to_gdp_ALL_ctry!R92</f>
        <v>0.5</v>
      </c>
    </row>
    <row r="105" spans="1:18" x14ac:dyDescent="0.45">
      <c r="A105" t="s">
        <v>238</v>
      </c>
      <c r="B105" s="13">
        <f>credit_to_gdp_ALL_ctry!B105-credit_to_gdp_ALL_ctry!B93</f>
        <v>-3.6000000000000085</v>
      </c>
      <c r="D105" s="13">
        <f>credit_to_gdp_ALL_ctry!D105-credit_to_gdp_ALL_ctry!D93</f>
        <v>-0.79999999999998295</v>
      </c>
      <c r="G105" s="13">
        <f>credit_to_gdp_ALL_ctry!G105-credit_to_gdp_ALL_ctry!G93</f>
        <v>-2.9000000000000057</v>
      </c>
      <c r="H105" s="13">
        <f>credit_to_gdp_ALL_ctry!H105-credit_to_gdp_ALL_ctry!H93</f>
        <v>7.7999999999999972</v>
      </c>
      <c r="J105" s="13">
        <f>credit_to_gdp_ALL_ctry!J105-credit_to_gdp_ALL_ctry!J93</f>
        <v>-4.6000000000000085</v>
      </c>
      <c r="N105" s="13">
        <f>credit_to_gdp_ALL_ctry!N105-credit_to_gdp_ALL_ctry!N93</f>
        <v>-7.2000000000000028</v>
      </c>
      <c r="O105" s="13">
        <f>credit_to_gdp_ALL_ctry!O105-credit_to_gdp_ALL_ctry!O93</f>
        <v>-22.200000000000017</v>
      </c>
      <c r="P105" s="13">
        <f>credit_to_gdp_ALL_ctry!P105-credit_to_gdp_ALL_ctry!P93</f>
        <v>-2.3000000000000114</v>
      </c>
      <c r="Q105" s="13">
        <f>credit_to_gdp_ALL_ctry!Q105-credit_to_gdp_ALL_ctry!Q93</f>
        <v>-3.8000000000000114</v>
      </c>
      <c r="R105" s="13">
        <f>credit_to_gdp_ALL_ctry!R105-credit_to_gdp_ALL_ctry!R93</f>
        <v>2.2999999999999972</v>
      </c>
    </row>
    <row r="106" spans="1:18" x14ac:dyDescent="0.45">
      <c r="A106" t="s">
        <v>239</v>
      </c>
      <c r="B106" s="13">
        <f>credit_to_gdp_ALL_ctry!B106-credit_to_gdp_ALL_ctry!B94</f>
        <v>-1.3000000000000114</v>
      </c>
      <c r="D106" s="13">
        <f>credit_to_gdp_ALL_ctry!D106-credit_to_gdp_ALL_ctry!D94</f>
        <v>-2.1999999999999886</v>
      </c>
      <c r="G106" s="13">
        <f>credit_to_gdp_ALL_ctry!G106-credit_to_gdp_ALL_ctry!G94</f>
        <v>-6.7000000000000171</v>
      </c>
      <c r="H106" s="13">
        <f>credit_to_gdp_ALL_ctry!H106-credit_to_gdp_ALL_ctry!H94</f>
        <v>6.7999999999999972</v>
      </c>
      <c r="J106" s="13">
        <f>credit_to_gdp_ALL_ctry!J106-credit_to_gdp_ALL_ctry!J94</f>
        <v>-5.3999999999999915</v>
      </c>
      <c r="N106" s="13">
        <f>credit_to_gdp_ALL_ctry!N106-credit_to_gdp_ALL_ctry!N94</f>
        <v>-7.9000000000000057</v>
      </c>
      <c r="O106" s="13">
        <f>credit_to_gdp_ALL_ctry!O106-credit_to_gdp_ALL_ctry!O94</f>
        <v>-24</v>
      </c>
      <c r="P106" s="13">
        <f>credit_to_gdp_ALL_ctry!P106-credit_to_gdp_ALL_ctry!P94</f>
        <v>-0.89999999999997726</v>
      </c>
      <c r="Q106" s="13">
        <f>credit_to_gdp_ALL_ctry!Q106-credit_to_gdp_ALL_ctry!Q94</f>
        <v>-4.1000000000000085</v>
      </c>
      <c r="R106" s="13">
        <f>credit_to_gdp_ALL_ctry!R106-credit_to_gdp_ALL_ctry!R94</f>
        <v>3.5999999999999943</v>
      </c>
    </row>
    <row r="107" spans="1:18" x14ac:dyDescent="0.45">
      <c r="A107" t="s">
        <v>240</v>
      </c>
      <c r="B107" s="13">
        <f>credit_to_gdp_ALL_ctry!B107-credit_to_gdp_ALL_ctry!B95</f>
        <v>2.0999999999999943</v>
      </c>
      <c r="D107" s="13">
        <f>credit_to_gdp_ALL_ctry!D107-credit_to_gdp_ALL_ctry!D95</f>
        <v>-2</v>
      </c>
      <c r="G107" s="13">
        <f>credit_to_gdp_ALL_ctry!G107-credit_to_gdp_ALL_ctry!G95</f>
        <v>-9.1999999999999886</v>
      </c>
      <c r="H107" s="13">
        <f>credit_to_gdp_ALL_ctry!H107-credit_to_gdp_ALL_ctry!H95</f>
        <v>6.5</v>
      </c>
      <c r="J107" s="13">
        <f>credit_to_gdp_ALL_ctry!J107-credit_to_gdp_ALL_ctry!J95</f>
        <v>-5.6000000000000085</v>
      </c>
      <c r="N107" s="13">
        <f>credit_to_gdp_ALL_ctry!N107-credit_to_gdp_ALL_ctry!N95</f>
        <v>-8.2999999999999972</v>
      </c>
      <c r="O107" s="13">
        <f>credit_to_gdp_ALL_ctry!O107-credit_to_gdp_ALL_ctry!O95</f>
        <v>-26.199999999999989</v>
      </c>
      <c r="P107" s="13">
        <f>credit_to_gdp_ALL_ctry!P107-credit_to_gdp_ALL_ctry!P95</f>
        <v>-9.9999999999994316E-2</v>
      </c>
      <c r="Q107" s="13">
        <f>credit_to_gdp_ALL_ctry!Q107-credit_to_gdp_ALL_ctry!Q95</f>
        <v>-2.9000000000000057</v>
      </c>
      <c r="R107" s="13">
        <f>credit_to_gdp_ALL_ctry!R107-credit_to_gdp_ALL_ctry!R95</f>
        <v>4</v>
      </c>
    </row>
    <row r="108" spans="1:18" x14ac:dyDescent="0.45">
      <c r="A108" t="s">
        <v>241</v>
      </c>
      <c r="B108" s="13">
        <f>credit_to_gdp_ALL_ctry!B108-credit_to_gdp_ALL_ctry!B96</f>
        <v>0.79999999999999716</v>
      </c>
      <c r="D108" s="13">
        <f>credit_to_gdp_ALL_ctry!D108-credit_to_gdp_ALL_ctry!D96</f>
        <v>-3.1000000000000227</v>
      </c>
      <c r="G108" s="13">
        <f>credit_to_gdp_ALL_ctry!G108-credit_to_gdp_ALL_ctry!G96</f>
        <v>-10.699999999999989</v>
      </c>
      <c r="H108" s="13">
        <f>credit_to_gdp_ALL_ctry!H108-credit_to_gdp_ALL_ctry!H96</f>
        <v>5.7999999999999972</v>
      </c>
      <c r="J108" s="13">
        <f>credit_to_gdp_ALL_ctry!J108-credit_to_gdp_ALL_ctry!J96</f>
        <v>-5.3999999999999915</v>
      </c>
      <c r="N108" s="13">
        <f>credit_to_gdp_ALL_ctry!N108-credit_to_gdp_ALL_ctry!N96</f>
        <v>-8.8000000000000114</v>
      </c>
      <c r="O108" s="13">
        <f>credit_to_gdp_ALL_ctry!O108-credit_to_gdp_ALL_ctry!O96</f>
        <v>-26.400000000000006</v>
      </c>
      <c r="P108" s="13">
        <f>credit_to_gdp_ALL_ctry!P108-credit_to_gdp_ALL_ctry!P96</f>
        <v>0.89999999999997726</v>
      </c>
      <c r="Q108" s="13">
        <f>credit_to_gdp_ALL_ctry!Q108-credit_to_gdp_ALL_ctry!Q96</f>
        <v>-3.4000000000000057</v>
      </c>
      <c r="R108" s="13">
        <f>credit_to_gdp_ALL_ctry!R108-credit_to_gdp_ALL_ctry!R96</f>
        <v>4</v>
      </c>
    </row>
    <row r="109" spans="1:18" x14ac:dyDescent="0.45">
      <c r="A109" t="s">
        <v>242</v>
      </c>
      <c r="B109" s="13">
        <f>credit_to_gdp_ALL_ctry!B109-credit_to_gdp_ALL_ctry!B97</f>
        <v>3.7000000000000028</v>
      </c>
      <c r="D109" s="13">
        <f>credit_to_gdp_ALL_ctry!D109-credit_to_gdp_ALL_ctry!D97</f>
        <v>-2.8000000000000114</v>
      </c>
      <c r="G109" s="13">
        <f>credit_to_gdp_ALL_ctry!G109-credit_to_gdp_ALL_ctry!G97</f>
        <v>-9.9000000000000057</v>
      </c>
      <c r="H109" s="13">
        <f>credit_to_gdp_ALL_ctry!H109-credit_to_gdp_ALL_ctry!H97</f>
        <v>4.7000000000000028</v>
      </c>
      <c r="J109" s="13">
        <f>credit_to_gdp_ALL_ctry!J109-credit_to_gdp_ALL_ctry!J97</f>
        <v>-6.7000000000000028</v>
      </c>
      <c r="N109" s="13">
        <f>credit_to_gdp_ALL_ctry!N109-credit_to_gdp_ALL_ctry!N97</f>
        <v>-8.5</v>
      </c>
      <c r="O109" s="13">
        <f>credit_to_gdp_ALL_ctry!O109-credit_to_gdp_ALL_ctry!O97</f>
        <v>-24</v>
      </c>
      <c r="P109" s="13">
        <f>credit_to_gdp_ALL_ctry!P109-credit_to_gdp_ALL_ctry!P97</f>
        <v>5.6999999999999886</v>
      </c>
      <c r="Q109" s="13">
        <f>credit_to_gdp_ALL_ctry!Q109-credit_to_gdp_ALL_ctry!Q97</f>
        <v>-5.6000000000000085</v>
      </c>
      <c r="R109" s="13">
        <f>credit_to_gdp_ALL_ctry!R109-credit_to_gdp_ALL_ctry!R97</f>
        <v>3.5</v>
      </c>
    </row>
    <row r="110" spans="1:18" x14ac:dyDescent="0.45">
      <c r="A110" t="s">
        <v>243</v>
      </c>
      <c r="B110" s="13">
        <f>credit_to_gdp_ALL_ctry!B110-credit_to_gdp_ALL_ctry!B98</f>
        <v>4</v>
      </c>
      <c r="D110" s="13">
        <f>credit_to_gdp_ALL_ctry!D110-credit_to_gdp_ALL_ctry!D98</f>
        <v>-0.60000000000002274</v>
      </c>
      <c r="G110" s="13">
        <f>credit_to_gdp_ALL_ctry!G110-credit_to_gdp_ALL_ctry!G98</f>
        <v>-7.9000000000000057</v>
      </c>
      <c r="H110" s="13">
        <f>credit_to_gdp_ALL_ctry!H110-credit_to_gdp_ALL_ctry!H98</f>
        <v>7.3999999999999915</v>
      </c>
      <c r="J110" s="13">
        <f>credit_to_gdp_ALL_ctry!J110-credit_to_gdp_ALL_ctry!J98</f>
        <v>-4.3000000000000114</v>
      </c>
      <c r="N110" s="13">
        <f>credit_to_gdp_ALL_ctry!N110-credit_to_gdp_ALL_ctry!N98</f>
        <v>-5.9000000000000057</v>
      </c>
      <c r="O110" s="13">
        <f>credit_to_gdp_ALL_ctry!O110-credit_to_gdp_ALL_ctry!O98</f>
        <v>-12.199999999999989</v>
      </c>
      <c r="P110" s="13">
        <f>credit_to_gdp_ALL_ctry!P110-credit_to_gdp_ALL_ctry!P98</f>
        <v>7.6999999999999886</v>
      </c>
      <c r="Q110" s="13">
        <f>credit_to_gdp_ALL_ctry!Q110-credit_to_gdp_ALL_ctry!Q98</f>
        <v>-4</v>
      </c>
      <c r="R110" s="13">
        <f>credit_to_gdp_ALL_ctry!R110-credit_to_gdp_ALL_ctry!R98</f>
        <v>3.2999999999999972</v>
      </c>
    </row>
    <row r="111" spans="1:18" x14ac:dyDescent="0.45">
      <c r="A111" t="s">
        <v>244</v>
      </c>
      <c r="B111" s="13">
        <f>credit_to_gdp_ALL_ctry!B111-credit_to_gdp_ALL_ctry!B99</f>
        <v>4.7999999999999972</v>
      </c>
      <c r="D111" s="13">
        <f>credit_to_gdp_ALL_ctry!D111-credit_to_gdp_ALL_ctry!D99</f>
        <v>0.59999999999999432</v>
      </c>
      <c r="G111" s="13">
        <f>credit_to_gdp_ALL_ctry!G111-credit_to_gdp_ALL_ctry!G99</f>
        <v>-5.3999999999999773</v>
      </c>
      <c r="H111" s="13">
        <f>credit_to_gdp_ALL_ctry!H111-credit_to_gdp_ALL_ctry!H99</f>
        <v>7.7999999999999972</v>
      </c>
      <c r="J111" s="13">
        <f>credit_to_gdp_ALL_ctry!J111-credit_to_gdp_ALL_ctry!J99</f>
        <v>-3.6000000000000085</v>
      </c>
      <c r="N111" s="13">
        <f>credit_to_gdp_ALL_ctry!N111-credit_to_gdp_ALL_ctry!N99</f>
        <v>-4.2999999999999972</v>
      </c>
      <c r="O111" s="13">
        <f>credit_to_gdp_ALL_ctry!O111-credit_to_gdp_ALL_ctry!O99</f>
        <v>-10.299999999999983</v>
      </c>
      <c r="P111" s="13">
        <f>credit_to_gdp_ALL_ctry!P111-credit_to_gdp_ALL_ctry!P99</f>
        <v>7.8000000000000114</v>
      </c>
      <c r="Q111" s="13">
        <f>credit_to_gdp_ALL_ctry!Q111-credit_to_gdp_ALL_ctry!Q99</f>
        <v>0.29999999999999716</v>
      </c>
      <c r="R111" s="13">
        <f>credit_to_gdp_ALL_ctry!R111-credit_to_gdp_ALL_ctry!R99</f>
        <v>3.7999999999999972</v>
      </c>
    </row>
    <row r="112" spans="1:18" x14ac:dyDescent="0.45">
      <c r="A112" t="s">
        <v>245</v>
      </c>
      <c r="B112" s="13">
        <f>credit_to_gdp_ALL_ctry!B112-credit_to_gdp_ALL_ctry!B100</f>
        <v>5.2999999999999972</v>
      </c>
      <c r="D112" s="13">
        <f>credit_to_gdp_ALL_ctry!D112-credit_to_gdp_ALL_ctry!D100</f>
        <v>2.1999999999999886</v>
      </c>
      <c r="G112" s="13">
        <f>credit_to_gdp_ALL_ctry!G112-credit_to_gdp_ALL_ctry!G100</f>
        <v>-3.8000000000000114</v>
      </c>
      <c r="H112" s="13">
        <f>credit_to_gdp_ALL_ctry!H112-credit_to_gdp_ALL_ctry!H100</f>
        <v>7.2000000000000028</v>
      </c>
      <c r="J112" s="13">
        <f>credit_to_gdp_ALL_ctry!J112-credit_to_gdp_ALL_ctry!J100</f>
        <v>-2.5999999999999943</v>
      </c>
      <c r="N112" s="13">
        <f>credit_to_gdp_ALL_ctry!N112-credit_to_gdp_ALL_ctry!N100</f>
        <v>-2</v>
      </c>
      <c r="O112" s="13">
        <f>credit_to_gdp_ALL_ctry!O112-credit_to_gdp_ALL_ctry!O100</f>
        <v>-8.2999999999999829</v>
      </c>
      <c r="P112" s="13">
        <f>credit_to_gdp_ALL_ctry!P112-credit_to_gdp_ALL_ctry!P100</f>
        <v>5.8000000000000114</v>
      </c>
      <c r="Q112" s="13">
        <f>credit_to_gdp_ALL_ctry!Q112-credit_to_gdp_ALL_ctry!Q100</f>
        <v>2.3999999999999915</v>
      </c>
      <c r="R112" s="13">
        <f>credit_to_gdp_ALL_ctry!R112-credit_to_gdp_ALL_ctry!R100</f>
        <v>4.7000000000000028</v>
      </c>
    </row>
    <row r="113" spans="1:18" x14ac:dyDescent="0.45">
      <c r="A113" t="s">
        <v>246</v>
      </c>
      <c r="B113" s="13">
        <f>credit_to_gdp_ALL_ctry!B113-credit_to_gdp_ALL_ctry!B101</f>
        <v>8.3999999999999915</v>
      </c>
      <c r="D113" s="13">
        <f>credit_to_gdp_ALL_ctry!D113-credit_to_gdp_ALL_ctry!D101</f>
        <v>2.7999999999999829</v>
      </c>
      <c r="G113" s="13">
        <f>credit_to_gdp_ALL_ctry!G113-credit_to_gdp_ALL_ctry!G101</f>
        <v>-4.9000000000000057</v>
      </c>
      <c r="H113" s="13">
        <f>credit_to_gdp_ALL_ctry!H113-credit_to_gdp_ALL_ctry!H101</f>
        <v>7.2000000000000028</v>
      </c>
      <c r="J113" s="13">
        <f>credit_to_gdp_ALL_ctry!J113-credit_to_gdp_ALL_ctry!J101</f>
        <v>-3.7000000000000028</v>
      </c>
      <c r="N113" s="13">
        <f>credit_to_gdp_ALL_ctry!N113-credit_to_gdp_ALL_ctry!N101</f>
        <v>-0.89999999999999147</v>
      </c>
      <c r="O113" s="13">
        <f>credit_to_gdp_ALL_ctry!O113-credit_to_gdp_ALL_ctry!O101</f>
        <v>-7.9000000000000057</v>
      </c>
      <c r="P113" s="13">
        <f>credit_to_gdp_ALL_ctry!P113-credit_to_gdp_ALL_ctry!P101</f>
        <v>4.9000000000000057</v>
      </c>
      <c r="Q113" s="13">
        <f>credit_to_gdp_ALL_ctry!Q113-credit_to_gdp_ALL_ctry!Q101</f>
        <v>0.90000000000000568</v>
      </c>
      <c r="R113" s="13">
        <f>credit_to_gdp_ALL_ctry!R113-credit_to_gdp_ALL_ctry!R101</f>
        <v>4.6999999999999886</v>
      </c>
    </row>
    <row r="114" spans="1:18" x14ac:dyDescent="0.45">
      <c r="A114" t="s">
        <v>247</v>
      </c>
      <c r="B114" s="13">
        <f>credit_to_gdp_ALL_ctry!B114-credit_to_gdp_ALL_ctry!B102</f>
        <v>8.5</v>
      </c>
      <c r="D114" s="13">
        <f>credit_to_gdp_ALL_ctry!D114-credit_to_gdp_ALL_ctry!D102</f>
        <v>3.5</v>
      </c>
      <c r="G114" s="13">
        <f>credit_to_gdp_ALL_ctry!G114-credit_to_gdp_ALL_ctry!G102</f>
        <v>-3.3000000000000114</v>
      </c>
      <c r="H114" s="13">
        <f>credit_to_gdp_ALL_ctry!H114-credit_to_gdp_ALL_ctry!H102</f>
        <v>10.900000000000006</v>
      </c>
      <c r="J114" s="13">
        <f>credit_to_gdp_ALL_ctry!J114-credit_to_gdp_ALL_ctry!J102</f>
        <v>-3</v>
      </c>
      <c r="N114" s="13">
        <f>credit_to_gdp_ALL_ctry!N114-credit_to_gdp_ALL_ctry!N102</f>
        <v>1.5</v>
      </c>
      <c r="O114" s="13">
        <f>credit_to_gdp_ALL_ctry!O114-credit_to_gdp_ALL_ctry!O102</f>
        <v>-1.9000000000000057</v>
      </c>
      <c r="P114" s="13">
        <f>credit_to_gdp_ALL_ctry!P114-credit_to_gdp_ALL_ctry!P102</f>
        <v>3.4000000000000057</v>
      </c>
      <c r="Q114" s="13">
        <f>credit_to_gdp_ALL_ctry!Q114-credit_to_gdp_ALL_ctry!Q102</f>
        <v>3.4000000000000057</v>
      </c>
      <c r="R114" s="13">
        <f>credit_to_gdp_ALL_ctry!R114-credit_to_gdp_ALL_ctry!R102</f>
        <v>5.7000000000000028</v>
      </c>
    </row>
    <row r="115" spans="1:18" x14ac:dyDescent="0.45">
      <c r="A115" t="s">
        <v>248</v>
      </c>
      <c r="B115" s="13">
        <f>credit_to_gdp_ALL_ctry!B115-credit_to_gdp_ALL_ctry!B103</f>
        <v>10.900000000000006</v>
      </c>
      <c r="D115" s="13">
        <f>credit_to_gdp_ALL_ctry!D115-credit_to_gdp_ALL_ctry!D103</f>
        <v>6.8999999999999773</v>
      </c>
      <c r="G115" s="13">
        <f>credit_to_gdp_ALL_ctry!G115-credit_to_gdp_ALL_ctry!G103</f>
        <v>-4.6999999999999886</v>
      </c>
      <c r="H115" s="13">
        <f>credit_to_gdp_ALL_ctry!H115-credit_to_gdp_ALL_ctry!H103</f>
        <v>10.199999999999989</v>
      </c>
      <c r="J115" s="13">
        <f>credit_to_gdp_ALL_ctry!J115-credit_to_gdp_ALL_ctry!J103</f>
        <v>-3.1999999999999886</v>
      </c>
      <c r="N115" s="13">
        <f>credit_to_gdp_ALL_ctry!N115-credit_to_gdp_ALL_ctry!N103</f>
        <v>4.5</v>
      </c>
      <c r="O115" s="13">
        <f>credit_to_gdp_ALL_ctry!O115-credit_to_gdp_ALL_ctry!O103</f>
        <v>1.5</v>
      </c>
      <c r="P115" s="13">
        <f>credit_to_gdp_ALL_ctry!P115-credit_to_gdp_ALL_ctry!P103</f>
        <v>2.9000000000000057</v>
      </c>
      <c r="Q115" s="13">
        <f>credit_to_gdp_ALL_ctry!Q115-credit_to_gdp_ALL_ctry!Q103</f>
        <v>4.4000000000000057</v>
      </c>
      <c r="R115" s="13">
        <f>credit_to_gdp_ALL_ctry!R115-credit_to_gdp_ALL_ctry!R103</f>
        <v>6.7999999999999972</v>
      </c>
    </row>
    <row r="116" spans="1:18" x14ac:dyDescent="0.45">
      <c r="A116" t="s">
        <v>249</v>
      </c>
      <c r="B116" s="13">
        <f>credit_to_gdp_ALL_ctry!B116-credit_to_gdp_ALL_ctry!B104</f>
        <v>11.700000000000003</v>
      </c>
      <c r="D116" s="13">
        <f>credit_to_gdp_ALL_ctry!D116-credit_to_gdp_ALL_ctry!D104</f>
        <v>8.9000000000000057</v>
      </c>
      <c r="G116" s="13">
        <f>credit_to_gdp_ALL_ctry!G116-credit_to_gdp_ALL_ctry!G104</f>
        <v>-4.7000000000000171</v>
      </c>
      <c r="H116" s="13">
        <f>credit_to_gdp_ALL_ctry!H116-credit_to_gdp_ALL_ctry!H104</f>
        <v>11.100000000000009</v>
      </c>
      <c r="J116" s="13">
        <f>credit_to_gdp_ALL_ctry!J116-credit_to_gdp_ALL_ctry!J104</f>
        <v>-2.5</v>
      </c>
      <c r="N116" s="13">
        <f>credit_to_gdp_ALL_ctry!N116-credit_to_gdp_ALL_ctry!N104</f>
        <v>5.8999999999999915</v>
      </c>
      <c r="O116" s="13">
        <f>credit_to_gdp_ALL_ctry!O116-credit_to_gdp_ALL_ctry!O104</f>
        <v>7.2000000000000171</v>
      </c>
      <c r="P116" s="13">
        <f>credit_to_gdp_ALL_ctry!P116-credit_to_gdp_ALL_ctry!P104</f>
        <v>1.4000000000000057</v>
      </c>
      <c r="Q116" s="13">
        <f>credit_to_gdp_ALL_ctry!Q116-credit_to_gdp_ALL_ctry!Q104</f>
        <v>8.9000000000000057</v>
      </c>
      <c r="R116" s="13">
        <f>credit_to_gdp_ALL_ctry!R116-credit_to_gdp_ALL_ctry!R104</f>
        <v>7.3999999999999915</v>
      </c>
    </row>
    <row r="117" spans="1:18" x14ac:dyDescent="0.45">
      <c r="A117" t="s">
        <v>250</v>
      </c>
      <c r="B117" s="13">
        <f>credit_to_gdp_ALL_ctry!B117-credit_to_gdp_ALL_ctry!B105</f>
        <v>12.400000000000006</v>
      </c>
      <c r="D117" s="13">
        <f>credit_to_gdp_ALL_ctry!D117-credit_to_gdp_ALL_ctry!D105</f>
        <v>9.4000000000000057</v>
      </c>
      <c r="G117" s="13">
        <f>credit_to_gdp_ALL_ctry!G117-credit_to_gdp_ALL_ctry!G105</f>
        <v>-4.4000000000000057</v>
      </c>
      <c r="H117" s="13">
        <f>credit_to_gdp_ALL_ctry!H117-credit_to_gdp_ALL_ctry!H105</f>
        <v>12.600000000000009</v>
      </c>
      <c r="J117" s="13">
        <f>credit_to_gdp_ALL_ctry!J117-credit_to_gdp_ALL_ctry!J105</f>
        <v>-1.5999999999999943</v>
      </c>
      <c r="N117" s="13">
        <f>credit_to_gdp_ALL_ctry!N117-credit_to_gdp_ALL_ctry!N105</f>
        <v>9</v>
      </c>
      <c r="O117" s="13">
        <f>credit_to_gdp_ALL_ctry!O117-credit_to_gdp_ALL_ctry!O105</f>
        <v>9.5</v>
      </c>
      <c r="P117" s="13">
        <f>credit_to_gdp_ALL_ctry!P117-credit_to_gdp_ALL_ctry!P105</f>
        <v>-1</v>
      </c>
      <c r="Q117" s="13">
        <f>credit_to_gdp_ALL_ctry!Q117-credit_to_gdp_ALL_ctry!Q105</f>
        <v>7.9000000000000057</v>
      </c>
      <c r="R117" s="13">
        <f>credit_to_gdp_ALL_ctry!R117-credit_to_gdp_ALL_ctry!R105</f>
        <v>7.9000000000000057</v>
      </c>
    </row>
    <row r="118" spans="1:18" x14ac:dyDescent="0.45">
      <c r="A118" t="s">
        <v>251</v>
      </c>
      <c r="B118" s="13">
        <f>credit_to_gdp_ALL_ctry!B118-credit_to_gdp_ALL_ctry!B106</f>
        <v>13.100000000000009</v>
      </c>
      <c r="D118" s="13">
        <f>credit_to_gdp_ALL_ctry!D118-credit_to_gdp_ALL_ctry!D106</f>
        <v>7.9000000000000057</v>
      </c>
      <c r="G118" s="13">
        <f>credit_to_gdp_ALL_ctry!G118-credit_to_gdp_ALL_ctry!G106</f>
        <v>-3.0999999999999943</v>
      </c>
      <c r="H118" s="13">
        <f>credit_to_gdp_ALL_ctry!H118-credit_to_gdp_ALL_ctry!H106</f>
        <v>9.3000000000000114</v>
      </c>
      <c r="J118" s="13">
        <f>credit_to_gdp_ALL_ctry!J118-credit_to_gdp_ALL_ctry!J106</f>
        <v>-0.70000000000000284</v>
      </c>
      <c r="N118" s="13">
        <f>credit_to_gdp_ALL_ctry!N118-credit_to_gdp_ALL_ctry!N106</f>
        <v>14.200000000000003</v>
      </c>
      <c r="O118" s="13">
        <f>credit_to_gdp_ALL_ctry!O118-credit_to_gdp_ALL_ctry!O106</f>
        <v>13.100000000000023</v>
      </c>
      <c r="P118" s="13">
        <f>credit_to_gdp_ALL_ctry!P118-credit_to_gdp_ALL_ctry!P106</f>
        <v>1.2999999999999829</v>
      </c>
      <c r="Q118" s="13">
        <f>credit_to_gdp_ALL_ctry!Q118-credit_to_gdp_ALL_ctry!Q106</f>
        <v>13.799999999999997</v>
      </c>
      <c r="R118" s="13">
        <f>credit_to_gdp_ALL_ctry!R118-credit_to_gdp_ALL_ctry!R106</f>
        <v>8.6000000000000085</v>
      </c>
    </row>
    <row r="119" spans="1:18" x14ac:dyDescent="0.45">
      <c r="A119" t="s">
        <v>252</v>
      </c>
      <c r="B119" s="13">
        <f>credit_to_gdp_ALL_ctry!B119-credit_to_gdp_ALL_ctry!B107</f>
        <v>11.799999999999997</v>
      </c>
      <c r="D119" s="13">
        <f>credit_to_gdp_ALL_ctry!D119-credit_to_gdp_ALL_ctry!D107</f>
        <v>6.7000000000000171</v>
      </c>
      <c r="G119" s="13">
        <f>credit_to_gdp_ALL_ctry!G119-credit_to_gdp_ALL_ctry!G107</f>
        <v>-0.30000000000001137</v>
      </c>
      <c r="H119" s="13">
        <f>credit_to_gdp_ALL_ctry!H119-credit_to_gdp_ALL_ctry!H107</f>
        <v>9.9000000000000057</v>
      </c>
      <c r="J119" s="13">
        <f>credit_to_gdp_ALL_ctry!J119-credit_to_gdp_ALL_ctry!J107</f>
        <v>2.7999999999999972</v>
      </c>
      <c r="N119" s="13">
        <f>credit_to_gdp_ALL_ctry!N119-credit_to_gdp_ALL_ctry!N107</f>
        <v>20.5</v>
      </c>
      <c r="O119" s="13">
        <f>credit_to_gdp_ALL_ctry!O119-credit_to_gdp_ALL_ctry!O107</f>
        <v>14.599999999999994</v>
      </c>
      <c r="P119" s="13">
        <f>credit_to_gdp_ALL_ctry!P119-credit_to_gdp_ALL_ctry!P107</f>
        <v>3.6999999999999886</v>
      </c>
      <c r="Q119" s="13">
        <f>credit_to_gdp_ALL_ctry!Q119-credit_to_gdp_ALL_ctry!Q107</f>
        <v>16</v>
      </c>
      <c r="R119" s="13">
        <f>credit_to_gdp_ALL_ctry!R119-credit_to_gdp_ALL_ctry!R107</f>
        <v>9.0000000000000142</v>
      </c>
    </row>
    <row r="120" spans="1:18" x14ac:dyDescent="0.45">
      <c r="A120" t="s">
        <v>253</v>
      </c>
      <c r="B120" s="13">
        <f>credit_to_gdp_ALL_ctry!B120-credit_to_gdp_ALL_ctry!B108</f>
        <v>14.700000000000003</v>
      </c>
      <c r="D120" s="13">
        <f>credit_to_gdp_ALL_ctry!D120-credit_to_gdp_ALL_ctry!D108</f>
        <v>5</v>
      </c>
      <c r="G120" s="13">
        <f>credit_to_gdp_ALL_ctry!G120-credit_to_gdp_ALL_ctry!G108</f>
        <v>1.6999999999999886</v>
      </c>
      <c r="H120" s="13">
        <f>credit_to_gdp_ALL_ctry!H120-credit_to_gdp_ALL_ctry!H108</f>
        <v>10.200000000000003</v>
      </c>
      <c r="J120" s="13">
        <f>credit_to_gdp_ALL_ctry!J120-credit_to_gdp_ALL_ctry!J108</f>
        <v>4.5999999999999943</v>
      </c>
      <c r="N120" s="13">
        <f>credit_to_gdp_ALL_ctry!N120-credit_to_gdp_ALL_ctry!N108</f>
        <v>22.700000000000003</v>
      </c>
      <c r="O120" s="13">
        <f>credit_to_gdp_ALL_ctry!O120-credit_to_gdp_ALL_ctry!O108</f>
        <v>14.599999999999994</v>
      </c>
      <c r="P120" s="13">
        <f>credit_to_gdp_ALL_ctry!P120-credit_to_gdp_ALL_ctry!P108</f>
        <v>6.2000000000000171</v>
      </c>
      <c r="Q120" s="13">
        <f>credit_to_gdp_ALL_ctry!Q120-credit_to_gdp_ALL_ctry!Q108</f>
        <v>17.299999999999997</v>
      </c>
      <c r="R120" s="13">
        <f>credit_to_gdp_ALL_ctry!R120-credit_to_gdp_ALL_ctry!R108</f>
        <v>10.599999999999994</v>
      </c>
    </row>
    <row r="121" spans="1:18" x14ac:dyDescent="0.45">
      <c r="A121" t="s">
        <v>254</v>
      </c>
      <c r="B121" s="13">
        <f>credit_to_gdp_ALL_ctry!B121-credit_to_gdp_ALL_ctry!B109</f>
        <v>15.900000000000006</v>
      </c>
      <c r="D121" s="13">
        <f>credit_to_gdp_ALL_ctry!D121-credit_to_gdp_ALL_ctry!D109</f>
        <v>2.5999999999999943</v>
      </c>
      <c r="G121" s="13">
        <f>credit_to_gdp_ALL_ctry!G121-credit_to_gdp_ALL_ctry!G109</f>
        <v>3.9000000000000057</v>
      </c>
      <c r="H121" s="13">
        <f>credit_to_gdp_ALL_ctry!H121-credit_to_gdp_ALL_ctry!H109</f>
        <v>12.100000000000009</v>
      </c>
      <c r="J121" s="13">
        <f>credit_to_gdp_ALL_ctry!J121-credit_to_gdp_ALL_ctry!J109</f>
        <v>6.7000000000000028</v>
      </c>
      <c r="N121" s="13">
        <f>credit_to_gdp_ALL_ctry!N121-credit_to_gdp_ALL_ctry!N109</f>
        <v>24.900000000000006</v>
      </c>
      <c r="O121" s="13">
        <f>credit_to_gdp_ALL_ctry!O121-credit_to_gdp_ALL_ctry!O109</f>
        <v>16.700000000000017</v>
      </c>
      <c r="P121" s="13">
        <f>credit_to_gdp_ALL_ctry!P121-credit_to_gdp_ALL_ctry!P109</f>
        <v>3.5</v>
      </c>
      <c r="Q121" s="13">
        <f>credit_to_gdp_ALL_ctry!Q121-credit_to_gdp_ALL_ctry!Q109</f>
        <v>20.000000000000014</v>
      </c>
      <c r="R121" s="13">
        <f>credit_to_gdp_ALL_ctry!R121-credit_to_gdp_ALL_ctry!R109</f>
        <v>11.600000000000009</v>
      </c>
    </row>
    <row r="122" spans="1:18" x14ac:dyDescent="0.45">
      <c r="A122" t="s">
        <v>255</v>
      </c>
      <c r="B122" s="13">
        <f>credit_to_gdp_ALL_ctry!B122-credit_to_gdp_ALL_ctry!B110</f>
        <v>17.000000000000014</v>
      </c>
      <c r="D122" s="13">
        <f>credit_to_gdp_ALL_ctry!D122-credit_to_gdp_ALL_ctry!D110</f>
        <v>2.9000000000000057</v>
      </c>
      <c r="G122" s="13">
        <f>credit_to_gdp_ALL_ctry!G122-credit_to_gdp_ALL_ctry!G110</f>
        <v>3.2000000000000171</v>
      </c>
      <c r="H122" s="13">
        <f>credit_to_gdp_ALL_ctry!H122-credit_to_gdp_ALL_ctry!H110</f>
        <v>14.000000000000014</v>
      </c>
      <c r="J122" s="13">
        <f>credit_to_gdp_ALL_ctry!J122-credit_to_gdp_ALL_ctry!J110</f>
        <v>7.2000000000000028</v>
      </c>
      <c r="N122" s="13">
        <f>credit_to_gdp_ALL_ctry!N122-credit_to_gdp_ALL_ctry!N110</f>
        <v>28.799999999999997</v>
      </c>
      <c r="O122" s="13">
        <f>credit_to_gdp_ALL_ctry!O122-credit_to_gdp_ALL_ctry!O110</f>
        <v>5.7999999999999829</v>
      </c>
      <c r="P122" s="13">
        <f>credit_to_gdp_ALL_ctry!P122-credit_to_gdp_ALL_ctry!P110</f>
        <v>-2.5</v>
      </c>
      <c r="Q122" s="13">
        <f>credit_to_gdp_ALL_ctry!Q122-credit_to_gdp_ALL_ctry!Q110</f>
        <v>21.899999999999991</v>
      </c>
      <c r="R122" s="13">
        <f>credit_to_gdp_ALL_ctry!R122-credit_to_gdp_ALL_ctry!R110</f>
        <v>12.700000000000017</v>
      </c>
    </row>
    <row r="123" spans="1:18" x14ac:dyDescent="0.45">
      <c r="A123" t="s">
        <v>256</v>
      </c>
      <c r="B123" s="13">
        <f>credit_to_gdp_ALL_ctry!B123-credit_to_gdp_ALL_ctry!B111</f>
        <v>17.700000000000003</v>
      </c>
      <c r="D123" s="13">
        <f>credit_to_gdp_ALL_ctry!D123-credit_to_gdp_ALL_ctry!D111</f>
        <v>1.5</v>
      </c>
      <c r="G123" s="13">
        <f>credit_to_gdp_ALL_ctry!G123-credit_to_gdp_ALL_ctry!G111</f>
        <v>4.5</v>
      </c>
      <c r="H123" s="13">
        <f>credit_to_gdp_ALL_ctry!H123-credit_to_gdp_ALL_ctry!H111</f>
        <v>15.700000000000003</v>
      </c>
      <c r="J123" s="13">
        <f>credit_to_gdp_ALL_ctry!J123-credit_to_gdp_ALL_ctry!J111</f>
        <v>7.4000000000000057</v>
      </c>
      <c r="N123" s="13">
        <f>credit_to_gdp_ALL_ctry!N123-credit_to_gdp_ALL_ctry!N111</f>
        <v>31.599999999999994</v>
      </c>
      <c r="O123" s="13">
        <f>credit_to_gdp_ALL_ctry!O123-credit_to_gdp_ALL_ctry!O111</f>
        <v>6.5</v>
      </c>
      <c r="P123" s="13">
        <f>credit_to_gdp_ALL_ctry!P123-credit_to_gdp_ALL_ctry!P111</f>
        <v>-3.7000000000000171</v>
      </c>
      <c r="Q123" s="13">
        <f>credit_to_gdp_ALL_ctry!Q123-credit_to_gdp_ALL_ctry!Q111</f>
        <v>23.400000000000006</v>
      </c>
      <c r="R123" s="13">
        <f>credit_to_gdp_ALL_ctry!R123-credit_to_gdp_ALL_ctry!R111</f>
        <v>12.999999999999986</v>
      </c>
    </row>
    <row r="124" spans="1:18" x14ac:dyDescent="0.45">
      <c r="A124" t="s">
        <v>257</v>
      </c>
      <c r="B124" s="13">
        <f>credit_to_gdp_ALL_ctry!B124-credit_to_gdp_ALL_ctry!B112</f>
        <v>17.600000000000009</v>
      </c>
      <c r="D124" s="13">
        <f>credit_to_gdp_ALL_ctry!D124-credit_to_gdp_ALL_ctry!D112</f>
        <v>0.5</v>
      </c>
      <c r="G124" s="13">
        <f>credit_to_gdp_ALL_ctry!G124-credit_to_gdp_ALL_ctry!G112</f>
        <v>7.1000000000000227</v>
      </c>
      <c r="H124" s="13">
        <f>credit_to_gdp_ALL_ctry!H124-credit_to_gdp_ALL_ctry!H112</f>
        <v>15.600000000000009</v>
      </c>
      <c r="J124" s="13">
        <f>credit_to_gdp_ALL_ctry!J124-credit_to_gdp_ALL_ctry!J112</f>
        <v>9.0999999999999943</v>
      </c>
      <c r="N124" s="13">
        <f>credit_to_gdp_ALL_ctry!N124-credit_to_gdp_ALL_ctry!N112</f>
        <v>35.099999999999994</v>
      </c>
      <c r="O124" s="13">
        <f>credit_to_gdp_ALL_ctry!O124-credit_to_gdp_ALL_ctry!O112</f>
        <v>10.699999999999989</v>
      </c>
      <c r="P124" s="13">
        <f>credit_to_gdp_ALL_ctry!P124-credit_to_gdp_ALL_ctry!P112</f>
        <v>-4.4000000000000057</v>
      </c>
      <c r="Q124" s="13">
        <f>credit_to_gdp_ALL_ctry!Q124-credit_to_gdp_ALL_ctry!Q112</f>
        <v>23.099999999999994</v>
      </c>
      <c r="R124" s="13">
        <f>credit_to_gdp_ALL_ctry!R124-credit_to_gdp_ALL_ctry!R112</f>
        <v>12.699999999999989</v>
      </c>
    </row>
    <row r="125" spans="1:18" x14ac:dyDescent="0.45">
      <c r="A125" t="s">
        <v>258</v>
      </c>
      <c r="B125" s="13">
        <f>credit_to_gdp_ALL_ctry!B125-credit_to_gdp_ALL_ctry!B113</f>
        <v>17.600000000000009</v>
      </c>
      <c r="D125" s="13">
        <f>credit_to_gdp_ALL_ctry!D125-credit_to_gdp_ALL_ctry!D113</f>
        <v>-1.1999999999999886</v>
      </c>
      <c r="G125" s="13">
        <f>credit_to_gdp_ALL_ctry!G125-credit_to_gdp_ALL_ctry!G113</f>
        <v>8.1999999999999886</v>
      </c>
      <c r="H125" s="13">
        <f>credit_to_gdp_ALL_ctry!H125-credit_to_gdp_ALL_ctry!H113</f>
        <v>20.199999999999989</v>
      </c>
      <c r="J125" s="13">
        <f>credit_to_gdp_ALL_ctry!J125-credit_to_gdp_ALL_ctry!J113</f>
        <v>10.700000000000003</v>
      </c>
      <c r="N125" s="13">
        <f>credit_to_gdp_ALL_ctry!N125-credit_to_gdp_ALL_ctry!N113</f>
        <v>36.399999999999991</v>
      </c>
      <c r="O125" s="13">
        <f>credit_to_gdp_ALL_ctry!O125-credit_to_gdp_ALL_ctry!O113</f>
        <v>17.199999999999989</v>
      </c>
      <c r="P125" s="13">
        <f>credit_to_gdp_ALL_ctry!P125-credit_to_gdp_ALL_ctry!P113</f>
        <v>-3.5</v>
      </c>
      <c r="Q125" s="13">
        <f>credit_to_gdp_ALL_ctry!Q125-credit_to_gdp_ALL_ctry!Q113</f>
        <v>24.099999999999994</v>
      </c>
      <c r="R125" s="13">
        <f>credit_to_gdp_ALL_ctry!R125-credit_to_gdp_ALL_ctry!R113</f>
        <v>12.599999999999994</v>
      </c>
    </row>
    <row r="126" spans="1:18" x14ac:dyDescent="0.45">
      <c r="A126" t="s">
        <v>259</v>
      </c>
      <c r="B126" s="13">
        <f>credit_to_gdp_ALL_ctry!B126-credit_to_gdp_ALL_ctry!B114</f>
        <v>19.399999999999991</v>
      </c>
      <c r="D126" s="13">
        <f>credit_to_gdp_ALL_ctry!D126-credit_to_gdp_ALL_ctry!D114</f>
        <v>0.19999999999998863</v>
      </c>
      <c r="G126" s="13">
        <f>credit_to_gdp_ALL_ctry!G126-credit_to_gdp_ALL_ctry!G114</f>
        <v>10</v>
      </c>
      <c r="H126" s="13">
        <f>credit_to_gdp_ALL_ctry!H126-credit_to_gdp_ALL_ctry!H114</f>
        <v>20.699999999999989</v>
      </c>
      <c r="J126" s="13">
        <f>credit_to_gdp_ALL_ctry!J126-credit_to_gdp_ALL_ctry!J114</f>
        <v>11.800000000000011</v>
      </c>
      <c r="N126" s="13">
        <f>credit_to_gdp_ALL_ctry!N126-credit_to_gdp_ALL_ctry!N114</f>
        <v>36.200000000000003</v>
      </c>
      <c r="O126" s="13">
        <f>credit_to_gdp_ALL_ctry!O126-credit_to_gdp_ALL_ctry!O114</f>
        <v>13.400000000000006</v>
      </c>
      <c r="P126" s="13">
        <f>credit_to_gdp_ALL_ctry!P126-credit_to_gdp_ALL_ctry!P114</f>
        <v>3.5999999999999943</v>
      </c>
      <c r="Q126" s="13">
        <f>credit_to_gdp_ALL_ctry!Q126-credit_to_gdp_ALL_ctry!Q114</f>
        <v>26.199999999999989</v>
      </c>
      <c r="R126" s="13">
        <f>credit_to_gdp_ALL_ctry!R126-credit_to_gdp_ALL_ctry!R114</f>
        <v>11.400000000000006</v>
      </c>
    </row>
    <row r="127" spans="1:18" x14ac:dyDescent="0.45">
      <c r="A127" t="s">
        <v>260</v>
      </c>
      <c r="B127" s="13">
        <f>credit_to_gdp_ALL_ctry!B127-credit_to_gdp_ALL_ctry!B115</f>
        <v>15.199999999999989</v>
      </c>
      <c r="D127" s="13">
        <f>credit_to_gdp_ALL_ctry!D127-credit_to_gdp_ALL_ctry!D115</f>
        <v>-2</v>
      </c>
      <c r="G127" s="13">
        <f>credit_to_gdp_ALL_ctry!G127-credit_to_gdp_ALL_ctry!G115</f>
        <v>12.399999999999977</v>
      </c>
      <c r="H127" s="13">
        <f>credit_to_gdp_ALL_ctry!H127-credit_to_gdp_ALL_ctry!H115</f>
        <v>20.599999999999994</v>
      </c>
      <c r="J127" s="13">
        <f>credit_to_gdp_ALL_ctry!J127-credit_to_gdp_ALL_ctry!J115</f>
        <v>12.399999999999991</v>
      </c>
      <c r="N127" s="13">
        <f>credit_to_gdp_ALL_ctry!N127-credit_to_gdp_ALL_ctry!N115</f>
        <v>36.699999999999989</v>
      </c>
      <c r="O127" s="13">
        <f>credit_to_gdp_ALL_ctry!O127-credit_to_gdp_ALL_ctry!O115</f>
        <v>15.599999999999994</v>
      </c>
      <c r="P127" s="13">
        <f>credit_to_gdp_ALL_ctry!P127-credit_to_gdp_ALL_ctry!P115</f>
        <v>-9.9999999999994316E-2</v>
      </c>
      <c r="Q127" s="13">
        <f>credit_to_gdp_ALL_ctry!Q127-credit_to_gdp_ALL_ctry!Q115</f>
        <v>25.5</v>
      </c>
      <c r="R127" s="13">
        <f>credit_to_gdp_ALL_ctry!R127-credit_to_gdp_ALL_ctry!R115</f>
        <v>11.400000000000006</v>
      </c>
    </row>
    <row r="128" spans="1:18" x14ac:dyDescent="0.45">
      <c r="A128" t="s">
        <v>261</v>
      </c>
      <c r="B128" s="13">
        <f>credit_to_gdp_ALL_ctry!B128-credit_to_gdp_ALL_ctry!B116</f>
        <v>15.299999999999997</v>
      </c>
      <c r="D128" s="13">
        <f>credit_to_gdp_ALL_ctry!D128-credit_to_gdp_ALL_ctry!D116</f>
        <v>-1.2000000000000171</v>
      </c>
      <c r="G128" s="13">
        <f>credit_to_gdp_ALL_ctry!G128-credit_to_gdp_ALL_ctry!G116</f>
        <v>14</v>
      </c>
      <c r="H128" s="13">
        <f>credit_to_gdp_ALL_ctry!H128-credit_to_gdp_ALL_ctry!H116</f>
        <v>20</v>
      </c>
      <c r="J128" s="13">
        <f>credit_to_gdp_ALL_ctry!J128-credit_to_gdp_ALL_ctry!J116</f>
        <v>13.300000000000011</v>
      </c>
      <c r="N128" s="13">
        <f>credit_to_gdp_ALL_ctry!N128-credit_to_gdp_ALL_ctry!N116</f>
        <v>39.800000000000011</v>
      </c>
      <c r="O128" s="13">
        <f>credit_to_gdp_ALL_ctry!O128-credit_to_gdp_ALL_ctry!O116</f>
        <v>14.5</v>
      </c>
      <c r="P128" s="13">
        <f>credit_to_gdp_ALL_ctry!P128-credit_to_gdp_ALL_ctry!P116</f>
        <v>-1.8000000000000114</v>
      </c>
      <c r="Q128" s="13">
        <f>credit_to_gdp_ALL_ctry!Q128-credit_to_gdp_ALL_ctry!Q116</f>
        <v>22.900000000000006</v>
      </c>
      <c r="R128" s="13">
        <f>credit_to_gdp_ALL_ctry!R128-credit_to_gdp_ALL_ctry!R116</f>
        <v>12.300000000000011</v>
      </c>
    </row>
    <row r="129" spans="1:18" x14ac:dyDescent="0.45">
      <c r="A129" t="s">
        <v>262</v>
      </c>
      <c r="B129" s="13">
        <f>credit_to_gdp_ALL_ctry!B129-credit_to_gdp_ALL_ctry!B117</f>
        <v>12.699999999999989</v>
      </c>
      <c r="D129" s="13">
        <f>credit_to_gdp_ALL_ctry!D129-credit_to_gdp_ALL_ctry!D117</f>
        <v>-0.70000000000001705</v>
      </c>
      <c r="G129" s="13">
        <f>credit_to_gdp_ALL_ctry!G129-credit_to_gdp_ALL_ctry!G117</f>
        <v>15.5</v>
      </c>
      <c r="H129" s="13">
        <f>credit_to_gdp_ALL_ctry!H129-credit_to_gdp_ALL_ctry!H117</f>
        <v>17.199999999999989</v>
      </c>
      <c r="J129" s="13">
        <f>credit_to_gdp_ALL_ctry!J129-credit_to_gdp_ALL_ctry!J117</f>
        <v>13.599999999999994</v>
      </c>
      <c r="N129" s="13">
        <f>credit_to_gdp_ALL_ctry!N129-credit_to_gdp_ALL_ctry!N117</f>
        <v>39.300000000000011</v>
      </c>
      <c r="O129" s="13">
        <f>credit_to_gdp_ALL_ctry!O129-credit_to_gdp_ALL_ctry!O117</f>
        <v>19.800000000000011</v>
      </c>
      <c r="P129" s="13">
        <f>credit_to_gdp_ALL_ctry!P129-credit_to_gdp_ALL_ctry!P117</f>
        <v>-4.5999999999999943</v>
      </c>
      <c r="Q129" s="13">
        <f>credit_to_gdp_ALL_ctry!Q129-credit_to_gdp_ALL_ctry!Q117</f>
        <v>24.300000000000011</v>
      </c>
      <c r="R129" s="13">
        <f>credit_to_gdp_ALL_ctry!R129-credit_to_gdp_ALL_ctry!R117</f>
        <v>12</v>
      </c>
    </row>
    <row r="130" spans="1:18" x14ac:dyDescent="0.45">
      <c r="A130" t="s">
        <v>263</v>
      </c>
      <c r="B130" s="13">
        <f>credit_to_gdp_ALL_ctry!B130-credit_to_gdp_ALL_ctry!B118</f>
        <v>11.200000000000003</v>
      </c>
      <c r="D130" s="13">
        <f>credit_to_gdp_ALL_ctry!D130-credit_to_gdp_ALL_ctry!D118</f>
        <v>4</v>
      </c>
      <c r="G130" s="13">
        <f>credit_to_gdp_ALL_ctry!G130-credit_to_gdp_ALL_ctry!G118</f>
        <v>15.599999999999994</v>
      </c>
      <c r="H130" s="13">
        <f>credit_to_gdp_ALL_ctry!H130-credit_to_gdp_ALL_ctry!H118</f>
        <v>19</v>
      </c>
      <c r="J130" s="13">
        <f>credit_to_gdp_ALL_ctry!J130-credit_to_gdp_ALL_ctry!J118</f>
        <v>14.200000000000003</v>
      </c>
      <c r="N130" s="13">
        <f>credit_to_gdp_ALL_ctry!N130-credit_to_gdp_ALL_ctry!N118</f>
        <v>37.5</v>
      </c>
      <c r="O130" s="13">
        <f>credit_to_gdp_ALL_ctry!O130-credit_to_gdp_ALL_ctry!O118</f>
        <v>15.599999999999994</v>
      </c>
      <c r="P130" s="13">
        <f>credit_to_gdp_ALL_ctry!P130-credit_to_gdp_ALL_ctry!P118</f>
        <v>-7</v>
      </c>
      <c r="Q130" s="13">
        <f>credit_to_gdp_ALL_ctry!Q130-credit_to_gdp_ALL_ctry!Q118</f>
        <v>23.300000000000011</v>
      </c>
      <c r="R130" s="13">
        <f>credit_to_gdp_ALL_ctry!R130-credit_to_gdp_ALL_ctry!R118</f>
        <v>11.599999999999994</v>
      </c>
    </row>
    <row r="131" spans="1:18" x14ac:dyDescent="0.45">
      <c r="A131" t="s">
        <v>264</v>
      </c>
      <c r="B131" s="13">
        <f>credit_to_gdp_ALL_ctry!B131-credit_to_gdp_ALL_ctry!B119</f>
        <v>14.899999999999991</v>
      </c>
      <c r="D131" s="13">
        <f>credit_to_gdp_ALL_ctry!D131-credit_to_gdp_ALL_ctry!D119</f>
        <v>6.1999999999999886</v>
      </c>
      <c r="G131" s="13">
        <f>credit_to_gdp_ALL_ctry!G131-credit_to_gdp_ALL_ctry!G119</f>
        <v>12.900000000000006</v>
      </c>
      <c r="H131" s="13">
        <f>credit_to_gdp_ALL_ctry!H131-credit_to_gdp_ALL_ctry!H119</f>
        <v>18.900000000000006</v>
      </c>
      <c r="J131" s="13">
        <f>credit_to_gdp_ALL_ctry!J131-credit_to_gdp_ALL_ctry!J119</f>
        <v>11.900000000000006</v>
      </c>
      <c r="N131" s="13">
        <f>credit_to_gdp_ALL_ctry!N131-credit_to_gdp_ALL_ctry!N119</f>
        <v>31.900000000000006</v>
      </c>
      <c r="O131" s="13">
        <f>credit_to_gdp_ALL_ctry!O131-credit_to_gdp_ALL_ctry!O119</f>
        <v>15.599999999999994</v>
      </c>
      <c r="P131" s="13">
        <f>credit_to_gdp_ALL_ctry!P131-credit_to_gdp_ALL_ctry!P119</f>
        <v>-11.699999999999989</v>
      </c>
      <c r="Q131" s="13">
        <f>credit_to_gdp_ALL_ctry!Q131-credit_to_gdp_ALL_ctry!Q119</f>
        <v>23.100000000000009</v>
      </c>
      <c r="R131" s="13">
        <f>credit_to_gdp_ALL_ctry!R131-credit_to_gdp_ALL_ctry!R119</f>
        <v>11.899999999999977</v>
      </c>
    </row>
    <row r="132" spans="1:18" x14ac:dyDescent="0.45">
      <c r="A132" t="s">
        <v>265</v>
      </c>
      <c r="B132" s="13">
        <f>credit_to_gdp_ALL_ctry!B132-credit_to_gdp_ALL_ctry!B120</f>
        <v>15.800000000000011</v>
      </c>
      <c r="D132" s="13">
        <f>credit_to_gdp_ALL_ctry!D132-credit_to_gdp_ALL_ctry!D120</f>
        <v>8.6000000000000227</v>
      </c>
      <c r="G132" s="13">
        <f>credit_to_gdp_ALL_ctry!G132-credit_to_gdp_ALL_ctry!G120</f>
        <v>11.400000000000006</v>
      </c>
      <c r="H132" s="13">
        <f>credit_to_gdp_ALL_ctry!H132-credit_to_gdp_ALL_ctry!H120</f>
        <v>17.799999999999983</v>
      </c>
      <c r="J132" s="13">
        <f>credit_to_gdp_ALL_ctry!J132-credit_to_gdp_ALL_ctry!J120</f>
        <v>11</v>
      </c>
      <c r="N132" s="13">
        <f>credit_to_gdp_ALL_ctry!N132-credit_to_gdp_ALL_ctry!N120</f>
        <v>31.000000000000014</v>
      </c>
      <c r="O132" s="13">
        <f>credit_to_gdp_ALL_ctry!O132-credit_to_gdp_ALL_ctry!O120</f>
        <v>15.599999999999994</v>
      </c>
      <c r="P132" s="13">
        <f>credit_to_gdp_ALL_ctry!P132-credit_to_gdp_ALL_ctry!P120</f>
        <v>-14.099999999999994</v>
      </c>
      <c r="Q132" s="13">
        <f>credit_to_gdp_ALL_ctry!Q132-credit_to_gdp_ALL_ctry!Q120</f>
        <v>27.500000000000014</v>
      </c>
      <c r="R132" s="13">
        <f>credit_to_gdp_ALL_ctry!R132-credit_to_gdp_ALL_ctry!R120</f>
        <v>11.099999999999994</v>
      </c>
    </row>
    <row r="133" spans="1:18" x14ac:dyDescent="0.45">
      <c r="A133" t="s">
        <v>266</v>
      </c>
      <c r="B133" s="13">
        <f>credit_to_gdp_ALL_ctry!B133-credit_to_gdp_ALL_ctry!B121</f>
        <v>13.299999999999983</v>
      </c>
      <c r="D133" s="13">
        <f>credit_to_gdp_ALL_ctry!D133-credit_to_gdp_ALL_ctry!D121</f>
        <v>10.200000000000017</v>
      </c>
      <c r="G133" s="13">
        <f>credit_to_gdp_ALL_ctry!G133-credit_to_gdp_ALL_ctry!G121</f>
        <v>10</v>
      </c>
      <c r="H133" s="13">
        <f>credit_to_gdp_ALL_ctry!H133-credit_to_gdp_ALL_ctry!H121</f>
        <v>15.199999999999989</v>
      </c>
      <c r="J133" s="13">
        <f>credit_to_gdp_ALL_ctry!J133-credit_to_gdp_ALL_ctry!J121</f>
        <v>9.5</v>
      </c>
      <c r="N133" s="13">
        <f>credit_to_gdp_ALL_ctry!N133-credit_to_gdp_ALL_ctry!N121</f>
        <v>30.599999999999994</v>
      </c>
      <c r="O133" s="13">
        <f>credit_to_gdp_ALL_ctry!O133-credit_to_gdp_ALL_ctry!O121</f>
        <v>13.799999999999983</v>
      </c>
      <c r="P133" s="13">
        <f>credit_to_gdp_ALL_ctry!P133-credit_to_gdp_ALL_ctry!P121</f>
        <v>-11.799999999999983</v>
      </c>
      <c r="Q133" s="13">
        <f>credit_to_gdp_ALL_ctry!Q133-credit_to_gdp_ALL_ctry!Q121</f>
        <v>25.699999999999989</v>
      </c>
      <c r="R133" s="13">
        <f>credit_to_gdp_ALL_ctry!R133-credit_to_gdp_ALL_ctry!R121</f>
        <v>11.699999999999989</v>
      </c>
    </row>
    <row r="134" spans="1:18" x14ac:dyDescent="0.45">
      <c r="A134" t="s">
        <v>267</v>
      </c>
      <c r="B134" s="13">
        <f>credit_to_gdp_ALL_ctry!B134-credit_to_gdp_ALL_ctry!B122</f>
        <v>12.799999999999983</v>
      </c>
      <c r="D134" s="13">
        <f>credit_to_gdp_ALL_ctry!D134-credit_to_gdp_ALL_ctry!D122</f>
        <v>4.8000000000000114</v>
      </c>
      <c r="G134" s="13">
        <f>credit_to_gdp_ALL_ctry!G134-credit_to_gdp_ALL_ctry!G122</f>
        <v>10.899999999999977</v>
      </c>
      <c r="H134" s="13">
        <f>credit_to_gdp_ALL_ctry!H134-credit_to_gdp_ALL_ctry!H122</f>
        <v>13.299999999999983</v>
      </c>
      <c r="J134" s="13">
        <f>credit_to_gdp_ALL_ctry!J134-credit_to_gdp_ALL_ctry!J122</f>
        <v>10.200000000000003</v>
      </c>
      <c r="N134" s="13">
        <f>credit_to_gdp_ALL_ctry!N134-credit_to_gdp_ALL_ctry!N122</f>
        <v>27.500000000000014</v>
      </c>
      <c r="O134" s="13">
        <f>credit_to_gdp_ALL_ctry!O134-credit_to_gdp_ALL_ctry!O122</f>
        <v>13.099999999999994</v>
      </c>
      <c r="P134" s="13">
        <f>credit_to_gdp_ALL_ctry!P134-credit_to_gdp_ALL_ctry!P122</f>
        <v>-5.7999999999999829</v>
      </c>
      <c r="Q134" s="13">
        <f>credit_to_gdp_ALL_ctry!Q134-credit_to_gdp_ALL_ctry!Q122</f>
        <v>22</v>
      </c>
      <c r="R134" s="13">
        <f>credit_to_gdp_ALL_ctry!R134-credit_to_gdp_ALL_ctry!R122</f>
        <v>11.299999999999983</v>
      </c>
    </row>
    <row r="135" spans="1:18" x14ac:dyDescent="0.45">
      <c r="A135" t="s">
        <v>268</v>
      </c>
      <c r="B135" s="13">
        <f>credit_to_gdp_ALL_ctry!B135-credit_to_gdp_ALL_ctry!B123</f>
        <v>13.199999999999989</v>
      </c>
      <c r="D135" s="13">
        <f>credit_to_gdp_ALL_ctry!D135-credit_to_gdp_ALL_ctry!D123</f>
        <v>5.9000000000000057</v>
      </c>
      <c r="G135" s="13">
        <f>credit_to_gdp_ALL_ctry!G135-credit_to_gdp_ALL_ctry!G123</f>
        <v>9.6999999999999886</v>
      </c>
      <c r="H135" s="13">
        <f>credit_to_gdp_ALL_ctry!H135-credit_to_gdp_ALL_ctry!H123</f>
        <v>11.699999999999989</v>
      </c>
      <c r="J135" s="13">
        <f>credit_to_gdp_ALL_ctry!J135-credit_to_gdp_ALL_ctry!J123</f>
        <v>10.900000000000006</v>
      </c>
      <c r="N135" s="13">
        <f>credit_to_gdp_ALL_ctry!N135-credit_to_gdp_ALL_ctry!N123</f>
        <v>26.000000000000014</v>
      </c>
      <c r="O135" s="13">
        <f>credit_to_gdp_ALL_ctry!O135-credit_to_gdp_ALL_ctry!O123</f>
        <v>14.299999999999983</v>
      </c>
      <c r="P135" s="13">
        <f>credit_to_gdp_ALL_ctry!P135-credit_to_gdp_ALL_ctry!P123</f>
        <v>-2.5999999999999943</v>
      </c>
      <c r="Q135" s="13">
        <f>credit_to_gdp_ALL_ctry!Q135-credit_to_gdp_ALL_ctry!Q123</f>
        <v>21.099999999999994</v>
      </c>
      <c r="R135" s="13">
        <f>credit_to_gdp_ALL_ctry!R135-credit_to_gdp_ALL_ctry!R123</f>
        <v>12.800000000000011</v>
      </c>
    </row>
    <row r="136" spans="1:18" x14ac:dyDescent="0.45">
      <c r="A136" t="s">
        <v>269</v>
      </c>
      <c r="B136" s="13">
        <f>credit_to_gdp_ALL_ctry!B136-credit_to_gdp_ALL_ctry!B124</f>
        <v>13.5</v>
      </c>
      <c r="D136" s="13">
        <f>credit_to_gdp_ALL_ctry!D136-credit_to_gdp_ALL_ctry!D124</f>
        <v>6</v>
      </c>
      <c r="G136" s="13">
        <f>credit_to_gdp_ALL_ctry!G136-credit_to_gdp_ALL_ctry!G124</f>
        <v>7.1999999999999886</v>
      </c>
      <c r="H136" s="13">
        <f>credit_to_gdp_ALL_ctry!H136-credit_to_gdp_ALL_ctry!H124</f>
        <v>11.400000000000006</v>
      </c>
      <c r="J136" s="13">
        <f>credit_to_gdp_ALL_ctry!J136-credit_to_gdp_ALL_ctry!J124</f>
        <v>10.100000000000009</v>
      </c>
      <c r="N136" s="13">
        <f>credit_to_gdp_ALL_ctry!N136-credit_to_gdp_ALL_ctry!N124</f>
        <v>23.400000000000006</v>
      </c>
      <c r="O136" s="13">
        <f>credit_to_gdp_ALL_ctry!O136-credit_to_gdp_ALL_ctry!O124</f>
        <v>9.5999999999999943</v>
      </c>
      <c r="P136" s="13">
        <f>credit_to_gdp_ALL_ctry!P136-credit_to_gdp_ALL_ctry!P124</f>
        <v>2.6999999999999886</v>
      </c>
      <c r="Q136" s="13">
        <f>credit_to_gdp_ALL_ctry!Q136-credit_to_gdp_ALL_ctry!Q124</f>
        <v>19.800000000000011</v>
      </c>
      <c r="R136" s="13">
        <f>credit_to_gdp_ALL_ctry!R136-credit_to_gdp_ALL_ctry!R124</f>
        <v>13</v>
      </c>
    </row>
    <row r="137" spans="1:18" x14ac:dyDescent="0.45">
      <c r="A137" t="s">
        <v>270</v>
      </c>
      <c r="B137" s="13">
        <f>credit_to_gdp_ALL_ctry!B137-credit_to_gdp_ALL_ctry!B125</f>
        <v>13.799999999999983</v>
      </c>
      <c r="D137" s="13">
        <f>credit_to_gdp_ALL_ctry!D137-credit_to_gdp_ALL_ctry!D125</f>
        <v>7.5</v>
      </c>
      <c r="G137" s="13">
        <f>credit_to_gdp_ALL_ctry!G137-credit_to_gdp_ALL_ctry!G125</f>
        <v>5</v>
      </c>
      <c r="H137" s="13">
        <f>credit_to_gdp_ALL_ctry!H137-credit_to_gdp_ALL_ctry!H125</f>
        <v>4.8000000000000114</v>
      </c>
      <c r="J137" s="13">
        <f>credit_to_gdp_ALL_ctry!J137-credit_to_gdp_ALL_ctry!J125</f>
        <v>9.5999999999999943</v>
      </c>
      <c r="N137" s="13">
        <f>credit_to_gdp_ALL_ctry!N137-credit_to_gdp_ALL_ctry!N125</f>
        <v>26.000000000000014</v>
      </c>
      <c r="O137" s="13">
        <f>credit_to_gdp_ALL_ctry!O137-credit_to_gdp_ALL_ctry!O125</f>
        <v>4.3000000000000114</v>
      </c>
      <c r="P137" s="13">
        <f>credit_to_gdp_ALL_ctry!P137-credit_to_gdp_ALL_ctry!P125</f>
        <v>3.9000000000000057</v>
      </c>
      <c r="Q137" s="13">
        <f>credit_to_gdp_ALL_ctry!Q137-credit_to_gdp_ALL_ctry!Q125</f>
        <v>18.599999999999994</v>
      </c>
      <c r="R137" s="13">
        <f>credit_to_gdp_ALL_ctry!R137-credit_to_gdp_ALL_ctry!R125</f>
        <v>12.600000000000023</v>
      </c>
    </row>
    <row r="138" spans="1:18" x14ac:dyDescent="0.45">
      <c r="A138" t="s">
        <v>271</v>
      </c>
      <c r="B138" s="13">
        <f>credit_to_gdp_ALL_ctry!B138-credit_to_gdp_ALL_ctry!B126</f>
        <v>12</v>
      </c>
      <c r="D138" s="13">
        <f>credit_to_gdp_ALL_ctry!D138-credit_to_gdp_ALL_ctry!D126</f>
        <v>8.1000000000000227</v>
      </c>
      <c r="G138" s="13">
        <f>credit_to_gdp_ALL_ctry!G138-credit_to_gdp_ALL_ctry!G126</f>
        <v>3.7000000000000171</v>
      </c>
      <c r="H138" s="13">
        <f>credit_to_gdp_ALL_ctry!H138-credit_to_gdp_ALL_ctry!H126</f>
        <v>1.1000000000000227</v>
      </c>
      <c r="J138" s="13">
        <f>credit_to_gdp_ALL_ctry!J138-credit_to_gdp_ALL_ctry!J126</f>
        <v>8.7999999999999972</v>
      </c>
      <c r="N138" s="13">
        <f>credit_to_gdp_ALL_ctry!N138-credit_to_gdp_ALL_ctry!N126</f>
        <v>27.900000000000006</v>
      </c>
      <c r="O138" s="13">
        <f>credit_to_gdp_ALL_ctry!O138-credit_to_gdp_ALL_ctry!O126</f>
        <v>4.7999999999999829</v>
      </c>
      <c r="P138" s="13">
        <f>credit_to_gdp_ALL_ctry!P138-credit_to_gdp_ALL_ctry!P126</f>
        <v>2.2000000000000171</v>
      </c>
      <c r="Q138" s="13">
        <f>credit_to_gdp_ALL_ctry!Q138-credit_to_gdp_ALL_ctry!Q126</f>
        <v>14.599999999999994</v>
      </c>
      <c r="R138" s="13">
        <f>credit_to_gdp_ALL_ctry!R138-credit_to_gdp_ALL_ctry!R126</f>
        <v>13.399999999999977</v>
      </c>
    </row>
    <row r="139" spans="1:18" x14ac:dyDescent="0.45">
      <c r="A139" t="s">
        <v>272</v>
      </c>
      <c r="B139" s="13">
        <f>credit_to_gdp_ALL_ctry!B139-credit_to_gdp_ALL_ctry!B127</f>
        <v>15.5</v>
      </c>
      <c r="D139" s="13">
        <f>credit_to_gdp_ALL_ctry!D139-credit_to_gdp_ALL_ctry!D127</f>
        <v>7.8000000000000114</v>
      </c>
      <c r="G139" s="13">
        <f>credit_to_gdp_ALL_ctry!G139-credit_to_gdp_ALL_ctry!G127</f>
        <v>3.3000000000000114</v>
      </c>
      <c r="H139" s="13">
        <f>credit_to_gdp_ALL_ctry!H139-credit_to_gdp_ALL_ctry!H127</f>
        <v>-1</v>
      </c>
      <c r="J139" s="13">
        <f>credit_to_gdp_ALL_ctry!J139-credit_to_gdp_ALL_ctry!J127</f>
        <v>9.9000000000000057</v>
      </c>
      <c r="N139" s="13">
        <f>credit_to_gdp_ALL_ctry!N139-credit_to_gdp_ALL_ctry!N127</f>
        <v>29.599999999999994</v>
      </c>
      <c r="O139" s="13">
        <f>credit_to_gdp_ALL_ctry!O139-credit_to_gdp_ALL_ctry!O127</f>
        <v>3.4000000000000057</v>
      </c>
      <c r="P139" s="13">
        <f>credit_to_gdp_ALL_ctry!P139-credit_to_gdp_ALL_ctry!P127</f>
        <v>0.69999999999998863</v>
      </c>
      <c r="Q139" s="13">
        <f>credit_to_gdp_ALL_ctry!Q139-credit_to_gdp_ALL_ctry!Q127</f>
        <v>14.099999999999994</v>
      </c>
      <c r="R139" s="13">
        <f>credit_to_gdp_ALL_ctry!R139-credit_to_gdp_ALL_ctry!R127</f>
        <v>12.199999999999989</v>
      </c>
    </row>
    <row r="140" spans="1:18" x14ac:dyDescent="0.45">
      <c r="A140" t="s">
        <v>273</v>
      </c>
      <c r="B140" s="13">
        <f>credit_to_gdp_ALL_ctry!B140-credit_to_gdp_ALL_ctry!B128</f>
        <v>15.699999999999989</v>
      </c>
      <c r="D140" s="13">
        <f>credit_to_gdp_ALL_ctry!D140-credit_to_gdp_ALL_ctry!D128</f>
        <v>4.0999999999999943</v>
      </c>
      <c r="G140" s="13">
        <f>credit_to_gdp_ALL_ctry!G140-credit_to_gdp_ALL_ctry!G128</f>
        <v>3.2000000000000171</v>
      </c>
      <c r="H140" s="13">
        <f>credit_to_gdp_ALL_ctry!H140-credit_to_gdp_ALL_ctry!H128</f>
        <v>-3.2000000000000171</v>
      </c>
      <c r="J140" s="13">
        <f>credit_to_gdp_ALL_ctry!J140-credit_to_gdp_ALL_ctry!J128</f>
        <v>10</v>
      </c>
      <c r="N140" s="13">
        <f>credit_to_gdp_ALL_ctry!N140-credit_to_gdp_ALL_ctry!N128</f>
        <v>28.199999999999989</v>
      </c>
      <c r="O140" s="13">
        <f>credit_to_gdp_ALL_ctry!O140-credit_to_gdp_ALL_ctry!O128</f>
        <v>1</v>
      </c>
      <c r="P140" s="13">
        <f>credit_to_gdp_ALL_ctry!P140-credit_to_gdp_ALL_ctry!P128</f>
        <v>3.9000000000000057</v>
      </c>
      <c r="Q140" s="13">
        <f>credit_to_gdp_ALL_ctry!Q140-credit_to_gdp_ALL_ctry!Q128</f>
        <v>15.299999999999983</v>
      </c>
      <c r="R140" s="13">
        <f>credit_to_gdp_ALL_ctry!R140-credit_to_gdp_ALL_ctry!R128</f>
        <v>11</v>
      </c>
    </row>
    <row r="141" spans="1:18" x14ac:dyDescent="0.45">
      <c r="A141" t="s">
        <v>274</v>
      </c>
      <c r="B141" s="13">
        <f>credit_to_gdp_ALL_ctry!B141-credit_to_gdp_ALL_ctry!B129</f>
        <v>19.5</v>
      </c>
      <c r="D141" s="13">
        <f>credit_to_gdp_ALL_ctry!D141-credit_to_gdp_ALL_ctry!D129</f>
        <v>3.0999999999999943</v>
      </c>
      <c r="G141" s="13">
        <f>credit_to_gdp_ALL_ctry!G141-credit_to_gdp_ALL_ctry!G129</f>
        <v>2.5999999999999943</v>
      </c>
      <c r="H141" s="13">
        <f>credit_to_gdp_ALL_ctry!H141-credit_to_gdp_ALL_ctry!H129</f>
        <v>-4.2999999999999829</v>
      </c>
      <c r="J141" s="13">
        <f>credit_to_gdp_ALL_ctry!J141-credit_to_gdp_ALL_ctry!J129</f>
        <v>10.200000000000003</v>
      </c>
      <c r="N141" s="13">
        <f>credit_to_gdp_ALL_ctry!N141-credit_to_gdp_ALL_ctry!N129</f>
        <v>30.599999999999994</v>
      </c>
      <c r="O141" s="13">
        <f>credit_to_gdp_ALL_ctry!O141-credit_to_gdp_ALL_ctry!O129</f>
        <v>-1.7000000000000171</v>
      </c>
      <c r="P141" s="13">
        <f>credit_to_gdp_ALL_ctry!P141-credit_to_gdp_ALL_ctry!P129</f>
        <v>6.3000000000000114</v>
      </c>
      <c r="Q141" s="13">
        <f>credit_to_gdp_ALL_ctry!Q141-credit_to_gdp_ALL_ctry!Q129</f>
        <v>13.799999999999983</v>
      </c>
      <c r="R141" s="13">
        <f>credit_to_gdp_ALL_ctry!R141-credit_to_gdp_ALL_ctry!R129</f>
        <v>11.799999999999983</v>
      </c>
    </row>
    <row r="142" spans="1:18" x14ac:dyDescent="0.45">
      <c r="A142" t="s">
        <v>275</v>
      </c>
      <c r="B142" s="13">
        <f>credit_to_gdp_ALL_ctry!B142-credit_to_gdp_ALL_ctry!B130</f>
        <v>21.099999999999994</v>
      </c>
      <c r="D142" s="13">
        <f>credit_to_gdp_ALL_ctry!D142-credit_to_gdp_ALL_ctry!D130</f>
        <v>-2.8000000000000114</v>
      </c>
      <c r="G142" s="13">
        <f>credit_to_gdp_ALL_ctry!G142-credit_to_gdp_ALL_ctry!G130</f>
        <v>2</v>
      </c>
      <c r="H142" s="13">
        <f>credit_to_gdp_ALL_ctry!H142-credit_to_gdp_ALL_ctry!H130</f>
        <v>-4.5999999999999943</v>
      </c>
      <c r="J142" s="13">
        <f>credit_to_gdp_ALL_ctry!J142-credit_to_gdp_ALL_ctry!J130</f>
        <v>11</v>
      </c>
      <c r="N142" s="13">
        <f>credit_to_gdp_ALL_ctry!N142-credit_to_gdp_ALL_ctry!N130</f>
        <v>32</v>
      </c>
      <c r="O142" s="13">
        <f>credit_to_gdp_ALL_ctry!O142-credit_to_gdp_ALL_ctry!O130</f>
        <v>9.9999999999994316E-2</v>
      </c>
      <c r="P142" s="13">
        <f>credit_to_gdp_ALL_ctry!P142-credit_to_gdp_ALL_ctry!P130</f>
        <v>4.3000000000000114</v>
      </c>
      <c r="Q142" s="13">
        <f>credit_to_gdp_ALL_ctry!Q142-credit_to_gdp_ALL_ctry!Q130</f>
        <v>12.400000000000006</v>
      </c>
      <c r="R142" s="13">
        <f>credit_to_gdp_ALL_ctry!R142-credit_to_gdp_ALL_ctry!R130</f>
        <v>11.300000000000011</v>
      </c>
    </row>
    <row r="143" spans="1:18" x14ac:dyDescent="0.45">
      <c r="A143" t="s">
        <v>276</v>
      </c>
      <c r="B143" s="13">
        <f>credit_to_gdp_ALL_ctry!B143-credit_to_gdp_ALL_ctry!B131</f>
        <v>21.800000000000011</v>
      </c>
      <c r="D143" s="13">
        <f>credit_to_gdp_ALL_ctry!D143-credit_to_gdp_ALL_ctry!D131</f>
        <v>-2.1999999999999886</v>
      </c>
      <c r="G143" s="13">
        <f>credit_to_gdp_ALL_ctry!G143-credit_to_gdp_ALL_ctry!G131</f>
        <v>4.4000000000000057</v>
      </c>
      <c r="H143" s="13">
        <f>credit_to_gdp_ALL_ctry!H143-credit_to_gdp_ALL_ctry!H131</f>
        <v>-5.4000000000000057</v>
      </c>
      <c r="J143" s="13">
        <f>credit_to_gdp_ALL_ctry!J143-credit_to_gdp_ALL_ctry!J131</f>
        <v>11.400000000000006</v>
      </c>
      <c r="N143" s="13">
        <f>credit_to_gdp_ALL_ctry!N143-credit_to_gdp_ALL_ctry!N131</f>
        <v>36.599999999999994</v>
      </c>
      <c r="O143" s="13">
        <f>credit_to_gdp_ALL_ctry!O143-credit_to_gdp_ALL_ctry!O131</f>
        <v>5.3000000000000114</v>
      </c>
      <c r="P143" s="13">
        <f>credit_to_gdp_ALL_ctry!P143-credit_to_gdp_ALL_ctry!P131</f>
        <v>5.5999999999999943</v>
      </c>
      <c r="Q143" s="13">
        <f>credit_to_gdp_ALL_ctry!Q143-credit_to_gdp_ALL_ctry!Q131</f>
        <v>13.599999999999994</v>
      </c>
      <c r="R143" s="13">
        <f>credit_to_gdp_ALL_ctry!R143-credit_to_gdp_ALL_ctry!R131</f>
        <v>11.600000000000023</v>
      </c>
    </row>
    <row r="144" spans="1:18" x14ac:dyDescent="0.45">
      <c r="A144" t="s">
        <v>277</v>
      </c>
      <c r="B144" s="13">
        <f>credit_to_gdp_ALL_ctry!B144-credit_to_gdp_ALL_ctry!B132</f>
        <v>21.199999999999989</v>
      </c>
      <c r="D144" s="13">
        <f>credit_to_gdp_ALL_ctry!D144-credit_to_gdp_ALL_ctry!D132</f>
        <v>-3.9000000000000057</v>
      </c>
      <c r="G144" s="13">
        <f>credit_to_gdp_ALL_ctry!G144-credit_to_gdp_ALL_ctry!G132</f>
        <v>4.9000000000000057</v>
      </c>
      <c r="H144" s="13">
        <f>credit_to_gdp_ALL_ctry!H144-credit_to_gdp_ALL_ctry!H132</f>
        <v>-5.1999999999999886</v>
      </c>
      <c r="J144" s="13">
        <f>credit_to_gdp_ALL_ctry!J144-credit_to_gdp_ALL_ctry!J132</f>
        <v>12.200000000000003</v>
      </c>
      <c r="N144" s="13">
        <f>credit_to_gdp_ALL_ctry!N144-credit_to_gdp_ALL_ctry!N132</f>
        <v>38.5</v>
      </c>
      <c r="O144" s="13">
        <f>credit_to_gdp_ALL_ctry!O144-credit_to_gdp_ALL_ctry!O132</f>
        <v>6.5</v>
      </c>
      <c r="P144" s="13">
        <f>credit_to_gdp_ALL_ctry!P144-credit_to_gdp_ALL_ctry!P132</f>
        <v>4.6999999999999886</v>
      </c>
      <c r="Q144" s="13">
        <f>credit_to_gdp_ALL_ctry!Q144-credit_to_gdp_ALL_ctry!Q132</f>
        <v>10</v>
      </c>
      <c r="R144" s="13">
        <f>credit_to_gdp_ALL_ctry!R144-credit_to_gdp_ALL_ctry!R132</f>
        <v>11.800000000000011</v>
      </c>
    </row>
    <row r="145" spans="1:18" x14ac:dyDescent="0.45">
      <c r="A145" t="s">
        <v>278</v>
      </c>
      <c r="B145" s="13">
        <f>credit_to_gdp_ALL_ctry!B145-credit_to_gdp_ALL_ctry!B133</f>
        <v>24</v>
      </c>
      <c r="D145" s="13">
        <f>credit_to_gdp_ALL_ctry!D145-credit_to_gdp_ALL_ctry!D133</f>
        <v>-5.1000000000000227</v>
      </c>
      <c r="G145" s="13">
        <f>credit_to_gdp_ALL_ctry!G145-credit_to_gdp_ALL_ctry!G133</f>
        <v>6</v>
      </c>
      <c r="H145" s="13">
        <f>credit_to_gdp_ALL_ctry!H145-credit_to_gdp_ALL_ctry!H133</f>
        <v>-5.9000000000000057</v>
      </c>
      <c r="J145" s="13">
        <f>credit_to_gdp_ALL_ctry!J145-credit_to_gdp_ALL_ctry!J133</f>
        <v>13</v>
      </c>
      <c r="N145" s="13">
        <f>credit_to_gdp_ALL_ctry!N145-credit_to_gdp_ALL_ctry!N133</f>
        <v>41.400000000000006</v>
      </c>
      <c r="O145" s="13">
        <f>credit_to_gdp_ALL_ctry!O145-credit_to_gdp_ALL_ctry!O133</f>
        <v>7.2000000000000171</v>
      </c>
      <c r="P145" s="13">
        <f>credit_to_gdp_ALL_ctry!P145-credit_to_gdp_ALL_ctry!P133</f>
        <v>6.4000000000000057</v>
      </c>
      <c r="Q145" s="13">
        <f>credit_to_gdp_ALL_ctry!Q145-credit_to_gdp_ALL_ctry!Q133</f>
        <v>11.099999999999994</v>
      </c>
      <c r="R145" s="13">
        <f>credit_to_gdp_ALL_ctry!R145-credit_to_gdp_ALL_ctry!R133</f>
        <v>11.700000000000017</v>
      </c>
    </row>
    <row r="146" spans="1:18" x14ac:dyDescent="0.45">
      <c r="A146" t="s">
        <v>279</v>
      </c>
      <c r="B146" s="13">
        <f>credit_to_gdp_ALL_ctry!B146-credit_to_gdp_ALL_ctry!B134</f>
        <v>24.300000000000011</v>
      </c>
      <c r="D146" s="13">
        <f>credit_to_gdp_ALL_ctry!D146-credit_to_gdp_ALL_ctry!D134</f>
        <v>-2</v>
      </c>
      <c r="G146" s="13">
        <f>credit_to_gdp_ALL_ctry!G146-credit_to_gdp_ALL_ctry!G134</f>
        <v>5.8000000000000114</v>
      </c>
      <c r="H146" s="13">
        <f>credit_to_gdp_ALL_ctry!H146-credit_to_gdp_ALL_ctry!H134</f>
        <v>-5.4000000000000057</v>
      </c>
      <c r="J146" s="13">
        <f>credit_to_gdp_ALL_ctry!J146-credit_to_gdp_ALL_ctry!J134</f>
        <v>13.900000000000006</v>
      </c>
      <c r="N146" s="13">
        <f>credit_to_gdp_ALL_ctry!N146-credit_to_gdp_ALL_ctry!N134</f>
        <v>46.299999999999983</v>
      </c>
      <c r="O146" s="13">
        <f>credit_to_gdp_ALL_ctry!O146-credit_to_gdp_ALL_ctry!O134</f>
        <v>9</v>
      </c>
      <c r="P146" s="13">
        <f>credit_to_gdp_ALL_ctry!P146-credit_to_gdp_ALL_ctry!P134</f>
        <v>-1.0999999999999943</v>
      </c>
      <c r="Q146" s="13">
        <f>credit_to_gdp_ALL_ctry!Q146-credit_to_gdp_ALL_ctry!Q134</f>
        <v>14.200000000000017</v>
      </c>
      <c r="R146" s="13">
        <f>credit_to_gdp_ALL_ctry!R146-credit_to_gdp_ALL_ctry!R134</f>
        <v>12.900000000000006</v>
      </c>
    </row>
    <row r="147" spans="1:18" x14ac:dyDescent="0.45">
      <c r="A147" t="s">
        <v>280</v>
      </c>
      <c r="B147" s="13">
        <f>credit_to_gdp_ALL_ctry!B147-credit_to_gdp_ALL_ctry!B135</f>
        <v>25.700000000000017</v>
      </c>
      <c r="D147" s="13">
        <f>credit_to_gdp_ALL_ctry!D147-credit_to_gdp_ALL_ctry!D135</f>
        <v>-2.2999999999999829</v>
      </c>
      <c r="G147" s="13">
        <f>credit_to_gdp_ALL_ctry!G147-credit_to_gdp_ALL_ctry!G135</f>
        <v>7.1999999999999886</v>
      </c>
      <c r="H147" s="13">
        <f>credit_to_gdp_ALL_ctry!H147-credit_to_gdp_ALL_ctry!H135</f>
        <v>-5.7999999999999829</v>
      </c>
      <c r="J147" s="13">
        <f>credit_to_gdp_ALL_ctry!J147-credit_to_gdp_ALL_ctry!J135</f>
        <v>14.299999999999997</v>
      </c>
      <c r="N147" s="13">
        <f>credit_to_gdp_ALL_ctry!N147-credit_to_gdp_ALL_ctry!N135</f>
        <v>49</v>
      </c>
      <c r="O147" s="13">
        <f>credit_to_gdp_ALL_ctry!O147-credit_to_gdp_ALL_ctry!O135</f>
        <v>9.5</v>
      </c>
      <c r="P147" s="13">
        <f>credit_to_gdp_ALL_ctry!P147-credit_to_gdp_ALL_ctry!P135</f>
        <v>-4.9000000000000057</v>
      </c>
      <c r="Q147" s="13">
        <f>credit_to_gdp_ALL_ctry!Q147-credit_to_gdp_ALL_ctry!Q135</f>
        <v>14.099999999999994</v>
      </c>
      <c r="R147" s="13">
        <f>credit_to_gdp_ALL_ctry!R147-credit_to_gdp_ALL_ctry!R135</f>
        <v>12.400000000000006</v>
      </c>
    </row>
    <row r="148" spans="1:18" x14ac:dyDescent="0.45">
      <c r="A148" t="s">
        <v>281</v>
      </c>
      <c r="B148" s="13">
        <f>credit_to_gdp_ALL_ctry!B148-credit_to_gdp_ALL_ctry!B136</f>
        <v>27.099999999999994</v>
      </c>
      <c r="D148" s="13">
        <f>credit_to_gdp_ALL_ctry!D148-credit_to_gdp_ALL_ctry!D136</f>
        <v>0.40000000000000568</v>
      </c>
      <c r="G148" s="13">
        <f>credit_to_gdp_ALL_ctry!G148-credit_to_gdp_ALL_ctry!G136</f>
        <v>8.1999999999999886</v>
      </c>
      <c r="H148" s="13">
        <f>credit_to_gdp_ALL_ctry!H148-credit_to_gdp_ALL_ctry!H136</f>
        <v>-6</v>
      </c>
      <c r="J148" s="13">
        <f>credit_to_gdp_ALL_ctry!J148-credit_to_gdp_ALL_ctry!J136</f>
        <v>15.200000000000003</v>
      </c>
      <c r="N148" s="13">
        <f>credit_to_gdp_ALL_ctry!N148-credit_to_gdp_ALL_ctry!N136</f>
        <v>51.300000000000011</v>
      </c>
      <c r="O148" s="13">
        <f>credit_to_gdp_ALL_ctry!O148-credit_to_gdp_ALL_ctry!O136</f>
        <v>10.599999999999994</v>
      </c>
      <c r="P148" s="13">
        <f>credit_to_gdp_ALL_ctry!P148-credit_to_gdp_ALL_ctry!P136</f>
        <v>-6.8999999999999773</v>
      </c>
      <c r="Q148" s="13">
        <f>credit_to_gdp_ALL_ctry!Q148-credit_to_gdp_ALL_ctry!Q136</f>
        <v>17</v>
      </c>
      <c r="R148" s="13">
        <f>credit_to_gdp_ALL_ctry!R148-credit_to_gdp_ALL_ctry!R136</f>
        <v>13.100000000000023</v>
      </c>
    </row>
    <row r="149" spans="1:18" x14ac:dyDescent="0.45">
      <c r="A149" t="s">
        <v>282</v>
      </c>
      <c r="B149" s="13">
        <f>credit_to_gdp_ALL_ctry!B149-credit_to_gdp_ALL_ctry!B137</f>
        <v>25.800000000000011</v>
      </c>
      <c r="D149" s="13">
        <f>credit_to_gdp_ALL_ctry!D149-credit_to_gdp_ALL_ctry!D137</f>
        <v>2.7999999999999829</v>
      </c>
      <c r="G149" s="13">
        <f>credit_to_gdp_ALL_ctry!G149-credit_to_gdp_ALL_ctry!G137</f>
        <v>10.800000000000011</v>
      </c>
      <c r="H149" s="13">
        <f>credit_to_gdp_ALL_ctry!H149-credit_to_gdp_ALL_ctry!H137</f>
        <v>-6.5</v>
      </c>
      <c r="J149" s="13">
        <f>credit_to_gdp_ALL_ctry!J149-credit_to_gdp_ALL_ctry!J137</f>
        <v>15.299999999999997</v>
      </c>
      <c r="N149" s="13">
        <f>credit_to_gdp_ALL_ctry!N149-credit_to_gdp_ALL_ctry!N137</f>
        <v>53.199999999999989</v>
      </c>
      <c r="O149" s="13">
        <f>credit_to_gdp_ALL_ctry!O149-credit_to_gdp_ALL_ctry!O137</f>
        <v>13.900000000000006</v>
      </c>
      <c r="P149" s="13">
        <f>credit_to_gdp_ALL_ctry!P149-credit_to_gdp_ALL_ctry!P137</f>
        <v>-4.3000000000000114</v>
      </c>
      <c r="Q149" s="13">
        <f>credit_to_gdp_ALL_ctry!Q149-credit_to_gdp_ALL_ctry!Q137</f>
        <v>17.400000000000006</v>
      </c>
      <c r="R149" s="13">
        <f>credit_to_gdp_ALL_ctry!R149-credit_to_gdp_ALL_ctry!R137</f>
        <v>14.599999999999994</v>
      </c>
    </row>
    <row r="150" spans="1:18" x14ac:dyDescent="0.45">
      <c r="A150" t="s">
        <v>283</v>
      </c>
      <c r="B150" s="13">
        <f>credit_to_gdp_ALL_ctry!B150-credit_to_gdp_ALL_ctry!B138</f>
        <v>26.099999999999994</v>
      </c>
      <c r="D150" s="13">
        <f>credit_to_gdp_ALL_ctry!D150-credit_to_gdp_ALL_ctry!D138</f>
        <v>4.6999999999999886</v>
      </c>
      <c r="G150" s="13">
        <f>credit_to_gdp_ALL_ctry!G150-credit_to_gdp_ALL_ctry!G138</f>
        <v>11.199999999999989</v>
      </c>
      <c r="H150" s="13">
        <f>credit_to_gdp_ALL_ctry!H150-credit_to_gdp_ALL_ctry!H138</f>
        <v>-5.7000000000000171</v>
      </c>
      <c r="J150" s="13">
        <f>credit_to_gdp_ALL_ctry!J150-credit_to_gdp_ALL_ctry!J138</f>
        <v>16.399999999999991</v>
      </c>
      <c r="N150" s="13">
        <f>credit_to_gdp_ALL_ctry!N150-credit_to_gdp_ALL_ctry!N138</f>
        <v>53.899999999999977</v>
      </c>
      <c r="O150" s="13">
        <f>credit_to_gdp_ALL_ctry!O150-credit_to_gdp_ALL_ctry!O138</f>
        <v>18.700000000000017</v>
      </c>
      <c r="P150" s="13">
        <f>credit_to_gdp_ALL_ctry!P150-credit_to_gdp_ALL_ctry!P138</f>
        <v>-2.1000000000000227</v>
      </c>
      <c r="Q150" s="13">
        <f>credit_to_gdp_ALL_ctry!Q150-credit_to_gdp_ALL_ctry!Q138</f>
        <v>16.300000000000011</v>
      </c>
      <c r="R150" s="13">
        <f>credit_to_gdp_ALL_ctry!R150-credit_to_gdp_ALL_ctry!R138</f>
        <v>15.200000000000017</v>
      </c>
    </row>
    <row r="151" spans="1:18" x14ac:dyDescent="0.45">
      <c r="A151" t="s">
        <v>284</v>
      </c>
      <c r="B151" s="13">
        <f>credit_to_gdp_ALL_ctry!B151-credit_to_gdp_ALL_ctry!B139</f>
        <v>26.600000000000023</v>
      </c>
      <c r="D151" s="13">
        <f>credit_to_gdp_ALL_ctry!D151-credit_to_gdp_ALL_ctry!D139</f>
        <v>5.1999999999999886</v>
      </c>
      <c r="G151" s="13">
        <f>credit_to_gdp_ALL_ctry!G151-credit_to_gdp_ALL_ctry!G139</f>
        <v>11.900000000000006</v>
      </c>
      <c r="H151" s="13">
        <f>credit_to_gdp_ALL_ctry!H151-credit_to_gdp_ALL_ctry!H139</f>
        <v>-4.6999999999999886</v>
      </c>
      <c r="J151" s="13">
        <f>credit_to_gdp_ALL_ctry!J151-credit_to_gdp_ALL_ctry!J139</f>
        <v>17</v>
      </c>
      <c r="N151" s="13">
        <f>credit_to_gdp_ALL_ctry!N151-credit_to_gdp_ALL_ctry!N139</f>
        <v>56.900000000000006</v>
      </c>
      <c r="O151" s="13">
        <f>credit_to_gdp_ALL_ctry!O151-credit_to_gdp_ALL_ctry!O139</f>
        <v>23.099999999999994</v>
      </c>
      <c r="P151" s="13">
        <f>credit_to_gdp_ALL_ctry!P151-credit_to_gdp_ALL_ctry!P139</f>
        <v>4.2000000000000171</v>
      </c>
      <c r="Q151" s="13">
        <f>credit_to_gdp_ALL_ctry!Q151-credit_to_gdp_ALL_ctry!Q139</f>
        <v>16.5</v>
      </c>
      <c r="R151" s="13">
        <f>credit_to_gdp_ALL_ctry!R151-credit_to_gdp_ALL_ctry!R139</f>
        <v>16.900000000000006</v>
      </c>
    </row>
    <row r="152" spans="1:18" x14ac:dyDescent="0.45">
      <c r="A152" t="s">
        <v>285</v>
      </c>
      <c r="B152" s="13">
        <f>credit_to_gdp_ALL_ctry!B152-credit_to_gdp_ALL_ctry!B140</f>
        <v>29.200000000000017</v>
      </c>
      <c r="D152" s="13">
        <f>credit_to_gdp_ALL_ctry!D152-credit_to_gdp_ALL_ctry!D140</f>
        <v>7.6000000000000227</v>
      </c>
      <c r="G152" s="13">
        <f>credit_to_gdp_ALL_ctry!G152-credit_to_gdp_ALL_ctry!G140</f>
        <v>12.099999999999994</v>
      </c>
      <c r="H152" s="13">
        <f>credit_to_gdp_ALL_ctry!H152-credit_to_gdp_ALL_ctry!H140</f>
        <v>-4.5</v>
      </c>
      <c r="J152" s="13">
        <f>credit_to_gdp_ALL_ctry!J152-credit_to_gdp_ALL_ctry!J140</f>
        <v>17.699999999999989</v>
      </c>
      <c r="N152" s="13">
        <f>credit_to_gdp_ALL_ctry!N152-credit_to_gdp_ALL_ctry!N140</f>
        <v>56.800000000000011</v>
      </c>
      <c r="O152" s="13">
        <f>credit_to_gdp_ALL_ctry!O152-credit_to_gdp_ALL_ctry!O140</f>
        <v>27.699999999999989</v>
      </c>
      <c r="P152" s="13">
        <f>credit_to_gdp_ALL_ctry!P152-credit_to_gdp_ALL_ctry!P140</f>
        <v>3.8000000000000114</v>
      </c>
      <c r="Q152" s="13">
        <f>credit_to_gdp_ALL_ctry!Q152-credit_to_gdp_ALL_ctry!Q140</f>
        <v>17.300000000000011</v>
      </c>
      <c r="R152" s="13">
        <f>credit_to_gdp_ALL_ctry!R152-credit_to_gdp_ALL_ctry!R140</f>
        <v>17.799999999999983</v>
      </c>
    </row>
    <row r="153" spans="1:18" x14ac:dyDescent="0.45">
      <c r="A153" t="s">
        <v>286</v>
      </c>
      <c r="B153" s="13">
        <f>credit_to_gdp_ALL_ctry!B153-credit_to_gdp_ALL_ctry!B141</f>
        <v>28.700000000000017</v>
      </c>
      <c r="D153" s="13">
        <f>credit_to_gdp_ALL_ctry!D153-credit_to_gdp_ALL_ctry!D141</f>
        <v>8.2000000000000171</v>
      </c>
      <c r="G153" s="13">
        <f>credit_to_gdp_ALL_ctry!G153-credit_to_gdp_ALL_ctry!G141</f>
        <v>11.800000000000011</v>
      </c>
      <c r="H153" s="13">
        <f>credit_to_gdp_ALL_ctry!H153-credit_to_gdp_ALL_ctry!H141</f>
        <v>-2.9000000000000057</v>
      </c>
      <c r="J153" s="13">
        <f>credit_to_gdp_ALL_ctry!J153-credit_to_gdp_ALL_ctry!J141</f>
        <v>19.299999999999997</v>
      </c>
      <c r="N153" s="13">
        <f>credit_to_gdp_ALL_ctry!N153-credit_to_gdp_ALL_ctry!N141</f>
        <v>54.400000000000006</v>
      </c>
      <c r="O153" s="13">
        <f>credit_to_gdp_ALL_ctry!O153-credit_to_gdp_ALL_ctry!O141</f>
        <v>31.200000000000017</v>
      </c>
      <c r="P153" s="13">
        <f>credit_to_gdp_ALL_ctry!P153-credit_to_gdp_ALL_ctry!P141</f>
        <v>4.5</v>
      </c>
      <c r="Q153" s="13">
        <f>credit_to_gdp_ALL_ctry!Q153-credit_to_gdp_ALL_ctry!Q141</f>
        <v>17.599999999999994</v>
      </c>
      <c r="R153" s="13">
        <f>credit_to_gdp_ALL_ctry!R153-credit_to_gdp_ALL_ctry!R141</f>
        <v>17.400000000000006</v>
      </c>
    </row>
    <row r="154" spans="1:18" x14ac:dyDescent="0.45">
      <c r="A154" t="s">
        <v>287</v>
      </c>
      <c r="B154" s="13">
        <f>credit_to_gdp_ALL_ctry!B154-credit_to_gdp_ALL_ctry!B142</f>
        <v>28.5</v>
      </c>
      <c r="D154" s="13">
        <f>credit_to_gdp_ALL_ctry!D154-credit_to_gdp_ALL_ctry!D142</f>
        <v>13.900000000000006</v>
      </c>
      <c r="G154" s="13">
        <f>credit_to_gdp_ALL_ctry!G154-credit_to_gdp_ALL_ctry!G142</f>
        <v>12.599999999999994</v>
      </c>
      <c r="H154" s="13">
        <f>credit_to_gdp_ALL_ctry!H154-credit_to_gdp_ALL_ctry!H142</f>
        <v>-2.7000000000000171</v>
      </c>
      <c r="J154" s="13">
        <f>credit_to_gdp_ALL_ctry!J154-credit_to_gdp_ALL_ctry!J142</f>
        <v>22</v>
      </c>
      <c r="N154" s="13">
        <f>credit_to_gdp_ALL_ctry!N154-credit_to_gdp_ALL_ctry!N142</f>
        <v>49.900000000000006</v>
      </c>
      <c r="O154" s="13">
        <f>credit_to_gdp_ALL_ctry!O154-credit_to_gdp_ALL_ctry!O142</f>
        <v>36</v>
      </c>
      <c r="P154" s="13">
        <f>credit_to_gdp_ALL_ctry!P154-credit_to_gdp_ALL_ctry!P142</f>
        <v>2.9000000000000057</v>
      </c>
      <c r="Q154" s="13">
        <f>credit_to_gdp_ALL_ctry!Q154-credit_to_gdp_ALL_ctry!Q142</f>
        <v>19.799999999999983</v>
      </c>
      <c r="R154" s="13">
        <f>credit_to_gdp_ALL_ctry!R154-credit_to_gdp_ALL_ctry!R142</f>
        <v>18.099999999999994</v>
      </c>
    </row>
    <row r="155" spans="1:18" x14ac:dyDescent="0.45">
      <c r="A155" t="s">
        <v>288</v>
      </c>
      <c r="B155" s="13">
        <f>credit_to_gdp_ALL_ctry!B155-credit_to_gdp_ALL_ctry!B143</f>
        <v>24.599999999999994</v>
      </c>
      <c r="D155" s="13">
        <f>credit_to_gdp_ALL_ctry!D155-credit_to_gdp_ALL_ctry!D143</f>
        <v>11.099999999999994</v>
      </c>
      <c r="G155" s="13">
        <f>credit_to_gdp_ALL_ctry!G155-credit_to_gdp_ALL_ctry!G143</f>
        <v>13.199999999999989</v>
      </c>
      <c r="H155" s="13">
        <f>credit_to_gdp_ALL_ctry!H155-credit_to_gdp_ALL_ctry!H143</f>
        <v>-3.9000000000000057</v>
      </c>
      <c r="J155" s="13">
        <f>credit_to_gdp_ALL_ctry!J155-credit_to_gdp_ALL_ctry!J143</f>
        <v>20.899999999999991</v>
      </c>
      <c r="N155" s="13">
        <f>credit_to_gdp_ALL_ctry!N155-credit_to_gdp_ALL_ctry!N143</f>
        <v>47.099999999999994</v>
      </c>
      <c r="O155" s="13">
        <f>credit_to_gdp_ALL_ctry!O155-credit_to_gdp_ALL_ctry!O143</f>
        <v>38.199999999999989</v>
      </c>
      <c r="P155" s="13">
        <f>credit_to_gdp_ALL_ctry!P155-credit_to_gdp_ALL_ctry!P143</f>
        <v>6.0999999999999943</v>
      </c>
      <c r="Q155" s="13">
        <f>credit_to_gdp_ALL_ctry!Q155-credit_to_gdp_ALL_ctry!Q143</f>
        <v>15.599999999999994</v>
      </c>
      <c r="R155" s="13">
        <f>credit_to_gdp_ALL_ctry!R155-credit_to_gdp_ALL_ctry!R143</f>
        <v>16.399999999999977</v>
      </c>
    </row>
    <row r="156" spans="1:18" x14ac:dyDescent="0.45">
      <c r="A156" t="s">
        <v>289</v>
      </c>
      <c r="B156" s="13">
        <f>credit_to_gdp_ALL_ctry!B156-credit_to_gdp_ALL_ctry!B144</f>
        <v>21.900000000000006</v>
      </c>
      <c r="D156" s="13">
        <f>credit_to_gdp_ALL_ctry!D156-credit_to_gdp_ALL_ctry!D144</f>
        <v>12.299999999999983</v>
      </c>
      <c r="G156" s="13">
        <f>credit_to_gdp_ALL_ctry!G156-credit_to_gdp_ALL_ctry!G144</f>
        <v>15.5</v>
      </c>
      <c r="H156" s="13">
        <f>credit_to_gdp_ALL_ctry!H156-credit_to_gdp_ALL_ctry!H144</f>
        <v>-4</v>
      </c>
      <c r="J156" s="13">
        <f>credit_to_gdp_ALL_ctry!J156-credit_to_gdp_ALL_ctry!J144</f>
        <v>20.299999999999997</v>
      </c>
      <c r="N156" s="13">
        <f>credit_to_gdp_ALL_ctry!N156-credit_to_gdp_ALL_ctry!N144</f>
        <v>45.899999999999977</v>
      </c>
      <c r="O156" s="13">
        <f>credit_to_gdp_ALL_ctry!O156-credit_to_gdp_ALL_ctry!O144</f>
        <v>42.600000000000023</v>
      </c>
      <c r="P156" s="13">
        <f>credit_to_gdp_ALL_ctry!P156-credit_to_gdp_ALL_ctry!P144</f>
        <v>8.0999999999999943</v>
      </c>
      <c r="Q156" s="13">
        <f>credit_to_gdp_ALL_ctry!Q156-credit_to_gdp_ALL_ctry!Q144</f>
        <v>14.5</v>
      </c>
      <c r="R156" s="13">
        <f>credit_to_gdp_ALL_ctry!R156-credit_to_gdp_ALL_ctry!R144</f>
        <v>16</v>
      </c>
    </row>
    <row r="157" spans="1:18" x14ac:dyDescent="0.45">
      <c r="A157" t="s">
        <v>290</v>
      </c>
      <c r="B157" s="13">
        <f>credit_to_gdp_ALL_ctry!B157-credit_to_gdp_ALL_ctry!B145</f>
        <v>18.900000000000006</v>
      </c>
      <c r="D157" s="13">
        <f>credit_to_gdp_ALL_ctry!D157-credit_to_gdp_ALL_ctry!D145</f>
        <v>17.700000000000017</v>
      </c>
      <c r="G157" s="13">
        <f>credit_to_gdp_ALL_ctry!G157-credit_to_gdp_ALL_ctry!G145</f>
        <v>15.199999999999989</v>
      </c>
      <c r="H157" s="13">
        <f>credit_to_gdp_ALL_ctry!H157-credit_to_gdp_ALL_ctry!H145</f>
        <v>-2.3999999999999773</v>
      </c>
      <c r="J157" s="13">
        <f>credit_to_gdp_ALL_ctry!J157-credit_to_gdp_ALL_ctry!J145</f>
        <v>17.600000000000009</v>
      </c>
      <c r="N157" s="13">
        <f>credit_to_gdp_ALL_ctry!N157-credit_to_gdp_ALL_ctry!N145</f>
        <v>41.900000000000006</v>
      </c>
      <c r="O157" s="13">
        <f>credit_to_gdp_ALL_ctry!O157-credit_to_gdp_ALL_ctry!O145</f>
        <v>50.799999999999983</v>
      </c>
      <c r="P157" s="13">
        <f>credit_to_gdp_ALL_ctry!P157-credit_to_gdp_ALL_ctry!P145</f>
        <v>2.1999999999999886</v>
      </c>
      <c r="Q157" s="13">
        <f>credit_to_gdp_ALL_ctry!Q157-credit_to_gdp_ALL_ctry!Q145</f>
        <v>19.200000000000017</v>
      </c>
      <c r="R157" s="13">
        <f>credit_to_gdp_ALL_ctry!R157-credit_to_gdp_ALL_ctry!R145</f>
        <v>13.399999999999977</v>
      </c>
    </row>
    <row r="158" spans="1:18" x14ac:dyDescent="0.45">
      <c r="A158" t="s">
        <v>291</v>
      </c>
      <c r="B158" s="13">
        <f>credit_to_gdp_ALL_ctry!B158-credit_to_gdp_ALL_ctry!B146</f>
        <v>15.799999999999983</v>
      </c>
      <c r="D158" s="13">
        <f>credit_to_gdp_ALL_ctry!D158-credit_to_gdp_ALL_ctry!D146</f>
        <v>21.099999999999994</v>
      </c>
      <c r="G158" s="13">
        <f>credit_to_gdp_ALL_ctry!G158-credit_to_gdp_ALL_ctry!G146</f>
        <v>17</v>
      </c>
      <c r="H158" s="13">
        <f>credit_to_gdp_ALL_ctry!H158-credit_to_gdp_ALL_ctry!H146</f>
        <v>-1.8999999999999773</v>
      </c>
      <c r="J158" s="13">
        <f>credit_to_gdp_ALL_ctry!J158-credit_to_gdp_ALL_ctry!J146</f>
        <v>19.899999999999991</v>
      </c>
      <c r="N158" s="13">
        <f>credit_to_gdp_ALL_ctry!N158-credit_to_gdp_ALL_ctry!N146</f>
        <v>38.300000000000011</v>
      </c>
      <c r="O158" s="13">
        <f>credit_to_gdp_ALL_ctry!O158-credit_to_gdp_ALL_ctry!O146</f>
        <v>54.400000000000006</v>
      </c>
      <c r="P158" s="13">
        <f>credit_to_gdp_ALL_ctry!P158-credit_to_gdp_ALL_ctry!P146</f>
        <v>10.799999999999983</v>
      </c>
      <c r="Q158" s="13">
        <f>credit_to_gdp_ALL_ctry!Q158-credit_to_gdp_ALL_ctry!Q146</f>
        <v>18</v>
      </c>
      <c r="R158" s="13">
        <f>credit_to_gdp_ALL_ctry!R158-credit_to_gdp_ALL_ctry!R146</f>
        <v>11.300000000000011</v>
      </c>
    </row>
    <row r="159" spans="1:18" x14ac:dyDescent="0.45">
      <c r="A159" t="s">
        <v>292</v>
      </c>
      <c r="B159" s="13">
        <f>credit_to_gdp_ALL_ctry!B159-credit_to_gdp_ALL_ctry!B147</f>
        <v>10.5</v>
      </c>
      <c r="D159" s="13">
        <f>credit_to_gdp_ALL_ctry!D159-credit_to_gdp_ALL_ctry!D147</f>
        <v>26.899999999999977</v>
      </c>
      <c r="G159" s="13">
        <f>credit_to_gdp_ALL_ctry!G159-credit_to_gdp_ALL_ctry!G147</f>
        <v>17.400000000000006</v>
      </c>
      <c r="H159" s="13">
        <f>credit_to_gdp_ALL_ctry!H159-credit_to_gdp_ALL_ctry!H147</f>
        <v>-1.2000000000000171</v>
      </c>
      <c r="J159" s="13">
        <f>credit_to_gdp_ALL_ctry!J159-credit_to_gdp_ALL_ctry!J147</f>
        <v>21.899999999999991</v>
      </c>
      <c r="N159" s="13">
        <f>credit_to_gdp_ALL_ctry!N159-credit_to_gdp_ALL_ctry!N147</f>
        <v>35.599999999999994</v>
      </c>
      <c r="O159" s="13">
        <f>credit_to_gdp_ALL_ctry!O159-credit_to_gdp_ALL_ctry!O147</f>
        <v>56.700000000000017</v>
      </c>
      <c r="P159" s="13">
        <f>credit_to_gdp_ALL_ctry!P159-credit_to_gdp_ALL_ctry!P147</f>
        <v>17.5</v>
      </c>
      <c r="Q159" s="13">
        <f>credit_to_gdp_ALL_ctry!Q159-credit_to_gdp_ALL_ctry!Q147</f>
        <v>12.300000000000011</v>
      </c>
      <c r="R159" s="13">
        <f>credit_to_gdp_ALL_ctry!R159-credit_to_gdp_ALL_ctry!R147</f>
        <v>10</v>
      </c>
    </row>
    <row r="160" spans="1:18" x14ac:dyDescent="0.45">
      <c r="A160" t="s">
        <v>293</v>
      </c>
      <c r="B160" s="13">
        <f>credit_to_gdp_ALL_ctry!B160-credit_to_gdp_ALL_ctry!B148</f>
        <v>9.0999999999999943</v>
      </c>
      <c r="D160" s="13">
        <f>credit_to_gdp_ALL_ctry!D160-credit_to_gdp_ALL_ctry!D148</f>
        <v>29.800000000000011</v>
      </c>
      <c r="G160" s="13">
        <f>credit_to_gdp_ALL_ctry!G160-credit_to_gdp_ALL_ctry!G148</f>
        <v>18.400000000000006</v>
      </c>
      <c r="H160" s="13">
        <f>credit_to_gdp_ALL_ctry!H160-credit_to_gdp_ALL_ctry!H148</f>
        <v>-1.1000000000000227</v>
      </c>
      <c r="J160" s="13">
        <f>credit_to_gdp_ALL_ctry!J160-credit_to_gdp_ALL_ctry!J148</f>
        <v>21.599999999999994</v>
      </c>
      <c r="N160" s="13">
        <f>credit_to_gdp_ALL_ctry!N160-credit_to_gdp_ALL_ctry!N148</f>
        <v>33.599999999999994</v>
      </c>
      <c r="O160" s="13">
        <f>credit_to_gdp_ALL_ctry!O160-credit_to_gdp_ALL_ctry!O148</f>
        <v>61.100000000000023</v>
      </c>
      <c r="P160" s="13">
        <f>credit_to_gdp_ALL_ctry!P160-credit_to_gdp_ALL_ctry!P148</f>
        <v>18.799999999999983</v>
      </c>
      <c r="Q160" s="13">
        <f>credit_to_gdp_ALL_ctry!Q160-credit_to_gdp_ALL_ctry!Q148</f>
        <v>12.599999999999994</v>
      </c>
      <c r="R160" s="13">
        <f>credit_to_gdp_ALL_ctry!R160-credit_to_gdp_ALL_ctry!R148</f>
        <v>8.7999999999999829</v>
      </c>
    </row>
    <row r="161" spans="1:18" x14ac:dyDescent="0.45">
      <c r="A161" t="s">
        <v>294</v>
      </c>
      <c r="B161" s="13">
        <f>credit_to_gdp_ALL_ctry!B161-credit_to_gdp_ALL_ctry!B149</f>
        <v>7.9000000000000057</v>
      </c>
      <c r="D161" s="13">
        <f>credit_to_gdp_ALL_ctry!D161-credit_to_gdp_ALL_ctry!D149</f>
        <v>29</v>
      </c>
      <c r="G161" s="13">
        <f>credit_to_gdp_ALL_ctry!G161-credit_to_gdp_ALL_ctry!G149</f>
        <v>18.299999999999983</v>
      </c>
      <c r="H161" s="13">
        <f>credit_to_gdp_ALL_ctry!H161-credit_to_gdp_ALL_ctry!H149</f>
        <v>0.59999999999999432</v>
      </c>
      <c r="J161" s="13">
        <f>credit_to_gdp_ALL_ctry!J161-credit_to_gdp_ALL_ctry!J149</f>
        <v>20.100000000000009</v>
      </c>
      <c r="N161" s="13">
        <f>credit_to_gdp_ALL_ctry!N161-credit_to_gdp_ALL_ctry!N149</f>
        <v>28.400000000000006</v>
      </c>
      <c r="O161" s="13">
        <f>credit_to_gdp_ALL_ctry!O161-credit_to_gdp_ALL_ctry!O149</f>
        <v>61.699999999999989</v>
      </c>
      <c r="P161" s="13">
        <f>credit_to_gdp_ALL_ctry!P161-credit_to_gdp_ALL_ctry!P149</f>
        <v>19.599999999999994</v>
      </c>
      <c r="Q161" s="13">
        <f>credit_to_gdp_ALL_ctry!Q161-credit_to_gdp_ALL_ctry!Q149</f>
        <v>12.5</v>
      </c>
      <c r="R161" s="13">
        <f>credit_to_gdp_ALL_ctry!R161-credit_to_gdp_ALL_ctry!R149</f>
        <v>5.5999999999999943</v>
      </c>
    </row>
    <row r="162" spans="1:18" x14ac:dyDescent="0.45">
      <c r="A162" t="s">
        <v>295</v>
      </c>
      <c r="B162" s="13">
        <f>credit_to_gdp_ALL_ctry!B162-credit_to_gdp_ALL_ctry!B150</f>
        <v>6.7000000000000171</v>
      </c>
      <c r="D162" s="13">
        <f>credit_to_gdp_ALL_ctry!D162-credit_to_gdp_ALL_ctry!D150</f>
        <v>22.5</v>
      </c>
      <c r="G162" s="13">
        <f>credit_to_gdp_ALL_ctry!G162-credit_to_gdp_ALL_ctry!G150</f>
        <v>17.300000000000011</v>
      </c>
      <c r="H162" s="13">
        <f>credit_to_gdp_ALL_ctry!H162-credit_to_gdp_ALL_ctry!H150</f>
        <v>1.4000000000000057</v>
      </c>
      <c r="J162" s="13">
        <f>credit_to_gdp_ALL_ctry!J162-credit_to_gdp_ALL_ctry!J150</f>
        <v>19.5</v>
      </c>
      <c r="N162" s="13">
        <f>credit_to_gdp_ALL_ctry!N162-credit_to_gdp_ALL_ctry!N150</f>
        <v>26.200000000000017</v>
      </c>
      <c r="O162" s="13">
        <f>credit_to_gdp_ALL_ctry!O162-credit_to_gdp_ALL_ctry!O150</f>
        <v>55.599999999999994</v>
      </c>
      <c r="P162" s="13">
        <f>credit_to_gdp_ALL_ctry!P162-credit_to_gdp_ALL_ctry!P150</f>
        <v>13.400000000000006</v>
      </c>
      <c r="Q162" s="13">
        <f>credit_to_gdp_ALL_ctry!Q162-credit_to_gdp_ALL_ctry!Q150</f>
        <v>15.199999999999989</v>
      </c>
      <c r="R162" s="13">
        <f>credit_to_gdp_ALL_ctry!R162-credit_to_gdp_ALL_ctry!R150</f>
        <v>2.5999999999999943</v>
      </c>
    </row>
    <row r="163" spans="1:18" x14ac:dyDescent="0.45">
      <c r="A163" t="s">
        <v>296</v>
      </c>
      <c r="B163" s="13">
        <f>credit_to_gdp_ALL_ctry!B163-credit_to_gdp_ALL_ctry!B151</f>
        <v>2.5</v>
      </c>
      <c r="D163" s="13">
        <f>credit_to_gdp_ALL_ctry!D163-credit_to_gdp_ALL_ctry!D151</f>
        <v>22.5</v>
      </c>
      <c r="G163" s="13">
        <f>credit_to_gdp_ALL_ctry!G163-credit_to_gdp_ALL_ctry!G151</f>
        <v>14.400000000000006</v>
      </c>
      <c r="H163" s="13">
        <f>credit_to_gdp_ALL_ctry!H163-credit_to_gdp_ALL_ctry!H151</f>
        <v>1.6999999999999886</v>
      </c>
      <c r="J163" s="13">
        <f>credit_to_gdp_ALL_ctry!J163-credit_to_gdp_ALL_ctry!J151</f>
        <v>17.200000000000003</v>
      </c>
      <c r="N163" s="13">
        <f>credit_to_gdp_ALL_ctry!N163-credit_to_gdp_ALL_ctry!N151</f>
        <v>21.200000000000017</v>
      </c>
      <c r="O163" s="13">
        <f>credit_to_gdp_ALL_ctry!O163-credit_to_gdp_ALL_ctry!O151</f>
        <v>48.799999999999983</v>
      </c>
      <c r="P163" s="13">
        <f>credit_to_gdp_ALL_ctry!P163-credit_to_gdp_ALL_ctry!P151</f>
        <v>14.399999999999977</v>
      </c>
      <c r="Q163" s="13">
        <f>credit_to_gdp_ALL_ctry!Q163-credit_to_gdp_ALL_ctry!Q151</f>
        <v>10.800000000000011</v>
      </c>
      <c r="R163" s="13">
        <f>credit_to_gdp_ALL_ctry!R163-credit_to_gdp_ALL_ctry!R151</f>
        <v>-2.5</v>
      </c>
    </row>
    <row r="164" spans="1:18" x14ac:dyDescent="0.45">
      <c r="A164" t="s">
        <v>297</v>
      </c>
      <c r="B164" s="13">
        <f>credit_to_gdp_ALL_ctry!B164-credit_to_gdp_ALL_ctry!B152</f>
        <v>-3.9000000000000057</v>
      </c>
      <c r="D164" s="13">
        <f>credit_to_gdp_ALL_ctry!D164-credit_to_gdp_ALL_ctry!D152</f>
        <v>19.599999999999994</v>
      </c>
      <c r="G164" s="13">
        <f>credit_to_gdp_ALL_ctry!G164-credit_to_gdp_ALL_ctry!G152</f>
        <v>13.099999999999994</v>
      </c>
      <c r="H164" s="13">
        <f>credit_to_gdp_ALL_ctry!H164-credit_to_gdp_ALL_ctry!H152</f>
        <v>2</v>
      </c>
      <c r="J164" s="13">
        <f>credit_to_gdp_ALL_ctry!J164-credit_to_gdp_ALL_ctry!J152</f>
        <v>16.5</v>
      </c>
      <c r="N164" s="13">
        <f>credit_to_gdp_ALL_ctry!N164-credit_to_gdp_ALL_ctry!N152</f>
        <v>17.799999999999983</v>
      </c>
      <c r="O164" s="13">
        <f>credit_to_gdp_ALL_ctry!O164-credit_to_gdp_ALL_ctry!O152</f>
        <v>42.400000000000006</v>
      </c>
      <c r="P164" s="13">
        <f>credit_to_gdp_ALL_ctry!P164-credit_to_gdp_ALL_ctry!P152</f>
        <v>13.899999999999977</v>
      </c>
      <c r="Q164" s="13">
        <f>credit_to_gdp_ALL_ctry!Q164-credit_to_gdp_ALL_ctry!Q152</f>
        <v>7</v>
      </c>
      <c r="R164" s="13">
        <f>credit_to_gdp_ALL_ctry!R164-credit_to_gdp_ALL_ctry!R152</f>
        <v>-6.2999999999999829</v>
      </c>
    </row>
    <row r="165" spans="1:18" x14ac:dyDescent="0.45">
      <c r="A165" t="s">
        <v>298</v>
      </c>
      <c r="B165" s="13">
        <f>credit_to_gdp_ALL_ctry!B165-credit_to_gdp_ALL_ctry!B153</f>
        <v>-9.5</v>
      </c>
      <c r="D165" s="13">
        <f>credit_to_gdp_ALL_ctry!D165-credit_to_gdp_ALL_ctry!D153</f>
        <v>18.099999999999994</v>
      </c>
      <c r="G165" s="13">
        <f>credit_to_gdp_ALL_ctry!G165-credit_to_gdp_ALL_ctry!G153</f>
        <v>14.599999999999994</v>
      </c>
      <c r="H165" s="13">
        <f>credit_to_gdp_ALL_ctry!H165-credit_to_gdp_ALL_ctry!H153</f>
        <v>-0.20000000000001705</v>
      </c>
      <c r="J165" s="13">
        <f>credit_to_gdp_ALL_ctry!J165-credit_to_gdp_ALL_ctry!J153</f>
        <v>12.799999999999997</v>
      </c>
      <c r="N165" s="13">
        <f>credit_to_gdp_ALL_ctry!N165-credit_to_gdp_ALL_ctry!N153</f>
        <v>14.599999999999994</v>
      </c>
      <c r="O165" s="13">
        <f>credit_to_gdp_ALL_ctry!O165-credit_to_gdp_ALL_ctry!O153</f>
        <v>31.299999999999983</v>
      </c>
      <c r="P165" s="13">
        <f>credit_to_gdp_ALL_ctry!P165-credit_to_gdp_ALL_ctry!P153</f>
        <v>12.299999999999983</v>
      </c>
      <c r="Q165" s="13">
        <f>credit_to_gdp_ALL_ctry!Q165-credit_to_gdp_ALL_ctry!Q153</f>
        <v>1</v>
      </c>
      <c r="R165" s="13">
        <f>credit_to_gdp_ALL_ctry!R165-credit_to_gdp_ALL_ctry!R153</f>
        <v>-9.9000000000000057</v>
      </c>
    </row>
    <row r="166" spans="1:18" x14ac:dyDescent="0.45">
      <c r="A166" t="s">
        <v>299</v>
      </c>
      <c r="B166" s="13">
        <f>credit_to_gdp_ALL_ctry!B166-credit_to_gdp_ALL_ctry!B154</f>
        <v>-12</v>
      </c>
      <c r="D166" s="13">
        <f>credit_to_gdp_ALL_ctry!D166-credit_to_gdp_ALL_ctry!D154</f>
        <v>15.300000000000011</v>
      </c>
      <c r="G166" s="13">
        <f>credit_to_gdp_ALL_ctry!G166-credit_to_gdp_ALL_ctry!G154</f>
        <v>14.200000000000017</v>
      </c>
      <c r="H166" s="13">
        <f>credit_to_gdp_ALL_ctry!H166-credit_to_gdp_ALL_ctry!H154</f>
        <v>-3.0999999999999943</v>
      </c>
      <c r="J166" s="13">
        <f>credit_to_gdp_ALL_ctry!J166-credit_to_gdp_ALL_ctry!J154</f>
        <v>9</v>
      </c>
      <c r="N166" s="13">
        <f>credit_to_gdp_ALL_ctry!N166-credit_to_gdp_ALL_ctry!N154</f>
        <v>13.199999999999989</v>
      </c>
      <c r="O166" s="13">
        <f>credit_to_gdp_ALL_ctry!O166-credit_to_gdp_ALL_ctry!O154</f>
        <v>26.400000000000006</v>
      </c>
      <c r="P166" s="13">
        <f>credit_to_gdp_ALL_ctry!P166-credit_to_gdp_ALL_ctry!P154</f>
        <v>20.099999999999994</v>
      </c>
      <c r="Q166" s="13">
        <f>credit_to_gdp_ALL_ctry!Q166-credit_to_gdp_ALL_ctry!Q154</f>
        <v>-3.1999999999999886</v>
      </c>
      <c r="R166" s="13">
        <f>credit_to_gdp_ALL_ctry!R166-credit_to_gdp_ALL_ctry!R154</f>
        <v>-12.400000000000006</v>
      </c>
    </row>
    <row r="167" spans="1:18" x14ac:dyDescent="0.45">
      <c r="A167" t="s">
        <v>300</v>
      </c>
      <c r="B167" s="13">
        <f>credit_to_gdp_ALL_ctry!B167-credit_to_gdp_ALL_ctry!B155</f>
        <v>-14</v>
      </c>
      <c r="D167" s="13">
        <f>credit_to_gdp_ALL_ctry!D167-credit_to_gdp_ALL_ctry!D155</f>
        <v>16.400000000000006</v>
      </c>
      <c r="G167" s="13">
        <f>credit_to_gdp_ALL_ctry!G167-credit_to_gdp_ALL_ctry!G155</f>
        <v>14.099999999999994</v>
      </c>
      <c r="H167" s="13">
        <f>credit_to_gdp_ALL_ctry!H167-credit_to_gdp_ALL_ctry!H155</f>
        <v>-4</v>
      </c>
      <c r="J167" s="13">
        <f>credit_to_gdp_ALL_ctry!J167-credit_to_gdp_ALL_ctry!J155</f>
        <v>8.7999999999999972</v>
      </c>
      <c r="N167" s="13">
        <f>credit_to_gdp_ALL_ctry!N167-credit_to_gdp_ALL_ctry!N155</f>
        <v>10</v>
      </c>
      <c r="O167" s="13">
        <f>credit_to_gdp_ALL_ctry!O167-credit_to_gdp_ALL_ctry!O155</f>
        <v>19.900000000000006</v>
      </c>
      <c r="P167" s="13">
        <f>credit_to_gdp_ALL_ctry!P167-credit_to_gdp_ALL_ctry!P155</f>
        <v>14.700000000000017</v>
      </c>
      <c r="Q167" s="13">
        <f>credit_to_gdp_ALL_ctry!Q167-credit_to_gdp_ALL_ctry!Q155</f>
        <v>-3.2999999999999829</v>
      </c>
      <c r="R167" s="13">
        <f>credit_to_gdp_ALL_ctry!R167-credit_to_gdp_ALL_ctry!R155</f>
        <v>-13.5</v>
      </c>
    </row>
    <row r="168" spans="1:18" x14ac:dyDescent="0.45">
      <c r="A168" t="s">
        <v>301</v>
      </c>
      <c r="B168" s="13">
        <f>credit_to_gdp_ALL_ctry!B168-credit_to_gdp_ALL_ctry!B156</f>
        <v>-13.300000000000011</v>
      </c>
      <c r="D168" s="13">
        <f>credit_to_gdp_ALL_ctry!D168-credit_to_gdp_ALL_ctry!D156</f>
        <v>17.400000000000006</v>
      </c>
      <c r="G168" s="13">
        <f>credit_to_gdp_ALL_ctry!G168-credit_to_gdp_ALL_ctry!G156</f>
        <v>14</v>
      </c>
      <c r="H168" s="13">
        <f>credit_to_gdp_ALL_ctry!H168-credit_to_gdp_ALL_ctry!H156</f>
        <v>-3.5999999999999943</v>
      </c>
      <c r="J168" s="13">
        <f>credit_to_gdp_ALL_ctry!J168-credit_to_gdp_ALL_ctry!J156</f>
        <v>8.2999999999999972</v>
      </c>
      <c r="N168" s="13">
        <f>credit_to_gdp_ALL_ctry!N168-credit_to_gdp_ALL_ctry!N156</f>
        <v>7.5</v>
      </c>
      <c r="O168" s="13">
        <f>credit_to_gdp_ALL_ctry!O168-credit_to_gdp_ALL_ctry!O156</f>
        <v>16</v>
      </c>
      <c r="P168" s="13">
        <f>credit_to_gdp_ALL_ctry!P168-credit_to_gdp_ALL_ctry!P156</f>
        <v>16.800000000000011</v>
      </c>
      <c r="Q168" s="13">
        <f>credit_to_gdp_ALL_ctry!Q168-credit_to_gdp_ALL_ctry!Q156</f>
        <v>-5</v>
      </c>
      <c r="R168" s="13">
        <f>credit_to_gdp_ALL_ctry!R168-credit_to_gdp_ALL_ctry!R156</f>
        <v>-15.199999999999989</v>
      </c>
    </row>
    <row r="169" spans="1:18" x14ac:dyDescent="0.45">
      <c r="A169" t="s">
        <v>302</v>
      </c>
      <c r="B169" s="13">
        <f>credit_to_gdp_ALL_ctry!B169-credit_to_gdp_ALL_ctry!B157</f>
        <v>-14.599999999999994</v>
      </c>
      <c r="D169" s="13">
        <f>credit_to_gdp_ALL_ctry!D169-credit_to_gdp_ALL_ctry!D157</f>
        <v>12</v>
      </c>
      <c r="G169" s="13">
        <f>credit_to_gdp_ALL_ctry!G169-credit_to_gdp_ALL_ctry!G157</f>
        <v>14.099999999999994</v>
      </c>
      <c r="H169" s="13">
        <f>credit_to_gdp_ALL_ctry!H169-credit_to_gdp_ALL_ctry!H157</f>
        <v>-5.3000000000000114</v>
      </c>
      <c r="J169" s="13">
        <f>credit_to_gdp_ALL_ctry!J169-credit_to_gdp_ALL_ctry!J157</f>
        <v>8</v>
      </c>
      <c r="N169" s="13">
        <f>credit_to_gdp_ALL_ctry!N169-credit_to_gdp_ALL_ctry!N157</f>
        <v>5</v>
      </c>
      <c r="O169" s="13">
        <f>credit_to_gdp_ALL_ctry!O169-credit_to_gdp_ALL_ctry!O157</f>
        <v>6.5</v>
      </c>
      <c r="P169" s="13">
        <f>credit_to_gdp_ALL_ctry!P169-credit_to_gdp_ALL_ctry!P157</f>
        <v>21.699999999999989</v>
      </c>
      <c r="Q169" s="13">
        <f>credit_to_gdp_ALL_ctry!Q169-credit_to_gdp_ALL_ctry!Q157</f>
        <v>-12.900000000000006</v>
      </c>
      <c r="R169" s="13">
        <f>credit_to_gdp_ALL_ctry!R169-credit_to_gdp_ALL_ctry!R157</f>
        <v>-14.599999999999994</v>
      </c>
    </row>
    <row r="170" spans="1:18" x14ac:dyDescent="0.45">
      <c r="A170" t="s">
        <v>303</v>
      </c>
      <c r="B170" s="13">
        <f>credit_to_gdp_ALL_ctry!B170-credit_to_gdp_ALL_ctry!B158</f>
        <v>-12.299999999999983</v>
      </c>
      <c r="D170" s="13">
        <f>credit_to_gdp_ALL_ctry!D170-credit_to_gdp_ALL_ctry!D158</f>
        <v>8.9000000000000057</v>
      </c>
      <c r="G170" s="13">
        <f>credit_to_gdp_ALL_ctry!G170-credit_to_gdp_ALL_ctry!G158</f>
        <v>13.599999999999994</v>
      </c>
      <c r="H170" s="13">
        <f>credit_to_gdp_ALL_ctry!H170-credit_to_gdp_ALL_ctry!H158</f>
        <v>-7.4000000000000057</v>
      </c>
      <c r="J170" s="13">
        <f>credit_to_gdp_ALL_ctry!J170-credit_to_gdp_ALL_ctry!J158</f>
        <v>5.2000000000000028</v>
      </c>
      <c r="N170" s="13">
        <f>credit_to_gdp_ALL_ctry!N170-credit_to_gdp_ALL_ctry!N158</f>
        <v>2.9000000000000057</v>
      </c>
      <c r="O170" s="13">
        <f>credit_to_gdp_ALL_ctry!O170-credit_to_gdp_ALL_ctry!O158</f>
        <v>10</v>
      </c>
      <c r="P170" s="13">
        <f>credit_to_gdp_ALL_ctry!P170-credit_to_gdp_ALL_ctry!P158</f>
        <v>19.800000000000011</v>
      </c>
      <c r="Q170" s="13">
        <f>credit_to_gdp_ALL_ctry!Q170-credit_to_gdp_ALL_ctry!Q158</f>
        <v>-10.400000000000006</v>
      </c>
      <c r="R170" s="13">
        <f>credit_to_gdp_ALL_ctry!R170-credit_to_gdp_ALL_ctry!R158</f>
        <v>-15.800000000000011</v>
      </c>
    </row>
    <row r="171" spans="1:18" x14ac:dyDescent="0.45">
      <c r="A171" t="s">
        <v>304</v>
      </c>
      <c r="B171" s="13">
        <f>credit_to_gdp_ALL_ctry!B171-credit_to_gdp_ALL_ctry!B159</f>
        <v>-10</v>
      </c>
      <c r="D171" s="13">
        <f>credit_to_gdp_ALL_ctry!D171-credit_to_gdp_ALL_ctry!D159</f>
        <v>5</v>
      </c>
      <c r="G171" s="13">
        <f>credit_to_gdp_ALL_ctry!G171-credit_to_gdp_ALL_ctry!G159</f>
        <v>13.599999999999994</v>
      </c>
      <c r="H171" s="13">
        <f>credit_to_gdp_ALL_ctry!H171-credit_to_gdp_ALL_ctry!H159</f>
        <v>-8.5999999999999943</v>
      </c>
      <c r="J171" s="13">
        <f>credit_to_gdp_ALL_ctry!J171-credit_to_gdp_ALL_ctry!J159</f>
        <v>2</v>
      </c>
      <c r="N171" s="13">
        <f>credit_to_gdp_ALL_ctry!N171-credit_to_gdp_ALL_ctry!N159</f>
        <v>0.69999999999998863</v>
      </c>
      <c r="O171" s="13">
        <f>credit_to_gdp_ALL_ctry!O171-credit_to_gdp_ALL_ctry!O159</f>
        <v>4.6999999999999886</v>
      </c>
      <c r="P171" s="13">
        <f>credit_to_gdp_ALL_ctry!P171-credit_to_gdp_ALL_ctry!P159</f>
        <v>15.900000000000006</v>
      </c>
      <c r="Q171" s="13">
        <f>credit_to_gdp_ALL_ctry!Q171-credit_to_gdp_ALL_ctry!Q159</f>
        <v>-6.1999999999999886</v>
      </c>
      <c r="R171" s="13">
        <f>credit_to_gdp_ALL_ctry!R171-credit_to_gdp_ALL_ctry!R159</f>
        <v>-17.5</v>
      </c>
    </row>
    <row r="172" spans="1:18" x14ac:dyDescent="0.45">
      <c r="A172" t="s">
        <v>305</v>
      </c>
      <c r="B172" s="13">
        <f>credit_to_gdp_ALL_ctry!B172-credit_to_gdp_ALL_ctry!B160</f>
        <v>-10.800000000000011</v>
      </c>
      <c r="D172" s="13">
        <f>credit_to_gdp_ALL_ctry!D172-credit_to_gdp_ALL_ctry!D160</f>
        <v>1.8999999999999773</v>
      </c>
      <c r="G172" s="13">
        <f>credit_to_gdp_ALL_ctry!G172-credit_to_gdp_ALL_ctry!G160</f>
        <v>12.099999999999994</v>
      </c>
      <c r="H172" s="13">
        <f>credit_to_gdp_ALL_ctry!H172-credit_to_gdp_ALL_ctry!H160</f>
        <v>-9</v>
      </c>
      <c r="J172" s="13">
        <f>credit_to_gdp_ALL_ctry!J172-credit_to_gdp_ALL_ctry!J160</f>
        <v>1.7000000000000028</v>
      </c>
      <c r="N172" s="13">
        <f>credit_to_gdp_ALL_ctry!N172-credit_to_gdp_ALL_ctry!N160</f>
        <v>-2.5999999999999943</v>
      </c>
      <c r="O172" s="13">
        <f>credit_to_gdp_ALL_ctry!O172-credit_to_gdp_ALL_ctry!O160</f>
        <v>4.3999999999999773</v>
      </c>
      <c r="P172" s="13">
        <f>credit_to_gdp_ALL_ctry!P172-credit_to_gdp_ALL_ctry!P160</f>
        <v>16.5</v>
      </c>
      <c r="Q172" s="13">
        <f>credit_to_gdp_ALL_ctry!Q172-credit_to_gdp_ALL_ctry!Q160</f>
        <v>-9.6999999999999886</v>
      </c>
      <c r="R172" s="13">
        <f>credit_to_gdp_ALL_ctry!R172-credit_to_gdp_ALL_ctry!R160</f>
        <v>-18.099999999999994</v>
      </c>
    </row>
    <row r="173" spans="1:18" x14ac:dyDescent="0.45">
      <c r="A173" t="s">
        <v>306</v>
      </c>
      <c r="B173" s="13">
        <f>credit_to_gdp_ALL_ctry!B173-credit_to_gdp_ALL_ctry!B161</f>
        <v>-10.900000000000006</v>
      </c>
      <c r="D173" s="13">
        <f>credit_to_gdp_ALL_ctry!D173-credit_to_gdp_ALL_ctry!D161</f>
        <v>1.6000000000000227</v>
      </c>
      <c r="G173" s="13">
        <f>credit_to_gdp_ALL_ctry!G173-credit_to_gdp_ALL_ctry!G161</f>
        <v>11.400000000000006</v>
      </c>
      <c r="H173" s="13">
        <f>credit_to_gdp_ALL_ctry!H173-credit_to_gdp_ALL_ctry!H161</f>
        <v>-9.5999999999999943</v>
      </c>
      <c r="J173" s="13">
        <f>credit_to_gdp_ALL_ctry!J173-credit_to_gdp_ALL_ctry!J161</f>
        <v>1.6999999999999886</v>
      </c>
      <c r="N173" s="13">
        <f>credit_to_gdp_ALL_ctry!N173-credit_to_gdp_ALL_ctry!N161</f>
        <v>-12</v>
      </c>
      <c r="O173" s="13">
        <f>credit_to_gdp_ALL_ctry!O173-credit_to_gdp_ALL_ctry!O161</f>
        <v>-5.3000000000000114</v>
      </c>
      <c r="P173" s="13">
        <f>credit_to_gdp_ALL_ctry!P173-credit_to_gdp_ALL_ctry!P161</f>
        <v>14.5</v>
      </c>
      <c r="Q173" s="13">
        <f>credit_to_gdp_ALL_ctry!Q173-credit_to_gdp_ALL_ctry!Q161</f>
        <v>-12</v>
      </c>
      <c r="R173" s="13">
        <f>credit_to_gdp_ALL_ctry!R173-credit_to_gdp_ALL_ctry!R161</f>
        <v>-16.800000000000011</v>
      </c>
    </row>
    <row r="174" spans="1:18" x14ac:dyDescent="0.45">
      <c r="A174" t="s">
        <v>307</v>
      </c>
      <c r="B174" s="13">
        <f>credit_to_gdp_ALL_ctry!B174-credit_to_gdp_ALL_ctry!B162</f>
        <v>-10.099999999999994</v>
      </c>
      <c r="D174" s="13">
        <f>credit_to_gdp_ALL_ctry!D174-credit_to_gdp_ALL_ctry!D162</f>
        <v>5.0999999999999943</v>
      </c>
      <c r="G174" s="13">
        <f>credit_to_gdp_ALL_ctry!G174-credit_to_gdp_ALL_ctry!G162</f>
        <v>11.5</v>
      </c>
      <c r="H174" s="13">
        <f>credit_to_gdp_ALL_ctry!H174-credit_to_gdp_ALL_ctry!H162</f>
        <v>-7</v>
      </c>
      <c r="J174" s="13">
        <f>credit_to_gdp_ALL_ctry!J174-credit_to_gdp_ALL_ctry!J162</f>
        <v>0.90000000000000568</v>
      </c>
      <c r="N174" s="13">
        <f>credit_to_gdp_ALL_ctry!N174-credit_to_gdp_ALL_ctry!N162</f>
        <v>-16.099999999999994</v>
      </c>
      <c r="O174" s="13">
        <f>credit_to_gdp_ALL_ctry!O174-credit_to_gdp_ALL_ctry!O162</f>
        <v>0.79999999999998295</v>
      </c>
      <c r="P174" s="13">
        <f>credit_to_gdp_ALL_ctry!P174-credit_to_gdp_ALL_ctry!P162</f>
        <v>14.5</v>
      </c>
      <c r="Q174" s="13">
        <f>credit_to_gdp_ALL_ctry!Q174-credit_to_gdp_ALL_ctry!Q162</f>
        <v>-15.299999999999983</v>
      </c>
      <c r="R174" s="13">
        <f>credit_to_gdp_ALL_ctry!R174-credit_to_gdp_ALL_ctry!R162</f>
        <v>-16</v>
      </c>
    </row>
    <row r="175" spans="1:18" x14ac:dyDescent="0.45">
      <c r="A175" t="s">
        <v>308</v>
      </c>
      <c r="B175" s="13">
        <f>credit_to_gdp_ALL_ctry!B175-credit_to_gdp_ALL_ctry!B163</f>
        <v>-5.1000000000000227</v>
      </c>
      <c r="D175" s="13">
        <f>credit_to_gdp_ALL_ctry!D175-credit_to_gdp_ALL_ctry!D163</f>
        <v>7.1000000000000227</v>
      </c>
      <c r="G175" s="13">
        <f>credit_to_gdp_ALL_ctry!G175-credit_to_gdp_ALL_ctry!G163</f>
        <v>10.299999999999983</v>
      </c>
      <c r="H175" s="13">
        <f>credit_to_gdp_ALL_ctry!H175-credit_to_gdp_ALL_ctry!H163</f>
        <v>-6.1999999999999886</v>
      </c>
      <c r="J175" s="13">
        <f>credit_to_gdp_ALL_ctry!J175-credit_to_gdp_ALL_ctry!J163</f>
        <v>0.19999999999998863</v>
      </c>
      <c r="N175" s="13">
        <f>credit_to_gdp_ALL_ctry!N175-credit_to_gdp_ALL_ctry!N163</f>
        <v>-21.100000000000023</v>
      </c>
      <c r="O175" s="13">
        <f>credit_to_gdp_ALL_ctry!O175-credit_to_gdp_ALL_ctry!O163</f>
        <v>5</v>
      </c>
      <c r="P175" s="13">
        <f>credit_to_gdp_ALL_ctry!P175-credit_to_gdp_ALL_ctry!P163</f>
        <v>12.100000000000023</v>
      </c>
      <c r="Q175" s="13">
        <f>credit_to_gdp_ALL_ctry!Q175-credit_to_gdp_ALL_ctry!Q163</f>
        <v>-10.300000000000011</v>
      </c>
      <c r="R175" s="13">
        <f>credit_to_gdp_ALL_ctry!R175-credit_to_gdp_ALL_ctry!R163</f>
        <v>-13.400000000000006</v>
      </c>
    </row>
    <row r="176" spans="1:18" x14ac:dyDescent="0.45">
      <c r="A176" t="s">
        <v>309</v>
      </c>
      <c r="B176" s="13">
        <f>credit_to_gdp_ALL_ctry!B176-credit_to_gdp_ALL_ctry!B164</f>
        <v>-2.4000000000000057</v>
      </c>
      <c r="D176" s="13">
        <f>credit_to_gdp_ALL_ctry!D176-credit_to_gdp_ALL_ctry!D164</f>
        <v>9.1999999999999886</v>
      </c>
      <c r="G176" s="13">
        <f>credit_to_gdp_ALL_ctry!G176-credit_to_gdp_ALL_ctry!G164</f>
        <v>10.900000000000006</v>
      </c>
      <c r="H176" s="13">
        <f>credit_to_gdp_ALL_ctry!H176-credit_to_gdp_ALL_ctry!H164</f>
        <v>-5</v>
      </c>
      <c r="J176" s="13">
        <f>credit_to_gdp_ALL_ctry!J176-credit_to_gdp_ALL_ctry!J164</f>
        <v>-0.39999999999999147</v>
      </c>
      <c r="N176" s="13">
        <f>credit_to_gdp_ALL_ctry!N176-credit_to_gdp_ALL_ctry!N164</f>
        <v>-22</v>
      </c>
      <c r="O176" s="13">
        <f>credit_to_gdp_ALL_ctry!O176-credit_to_gdp_ALL_ctry!O164</f>
        <v>5.5999999999999943</v>
      </c>
      <c r="P176" s="13">
        <f>credit_to_gdp_ALL_ctry!P176-credit_to_gdp_ALL_ctry!P164</f>
        <v>12</v>
      </c>
      <c r="Q176" s="13">
        <f>credit_to_gdp_ALL_ctry!Q176-credit_to_gdp_ALL_ctry!Q164</f>
        <v>-12.200000000000017</v>
      </c>
      <c r="R176" s="13">
        <f>credit_to_gdp_ALL_ctry!R176-credit_to_gdp_ALL_ctry!R164</f>
        <v>-11.300000000000011</v>
      </c>
    </row>
    <row r="177" spans="1:18" x14ac:dyDescent="0.45">
      <c r="A177" t="s">
        <v>310</v>
      </c>
      <c r="B177" s="13">
        <f>credit_to_gdp_ALL_ctry!B177-credit_to_gdp_ALL_ctry!B165</f>
        <v>3.5</v>
      </c>
      <c r="D177" s="13">
        <f>credit_to_gdp_ALL_ctry!D177-credit_to_gdp_ALL_ctry!D165</f>
        <v>10.300000000000011</v>
      </c>
      <c r="G177" s="13">
        <f>credit_to_gdp_ALL_ctry!G177-credit_to_gdp_ALL_ctry!G165</f>
        <v>8.8000000000000114</v>
      </c>
      <c r="H177" s="13">
        <f>credit_to_gdp_ALL_ctry!H177-credit_to_gdp_ALL_ctry!H165</f>
        <v>-3.0999999999999943</v>
      </c>
      <c r="J177" s="13">
        <f>credit_to_gdp_ALL_ctry!J177-credit_to_gdp_ALL_ctry!J165</f>
        <v>-1.0999999999999943</v>
      </c>
      <c r="N177" s="13">
        <f>credit_to_gdp_ALL_ctry!N177-credit_to_gdp_ALL_ctry!N165</f>
        <v>-23</v>
      </c>
      <c r="O177" s="13">
        <f>credit_to_gdp_ALL_ctry!O177-credit_to_gdp_ALL_ctry!O165</f>
        <v>10.400000000000006</v>
      </c>
      <c r="P177" s="13">
        <f>credit_to_gdp_ALL_ctry!P177-credit_to_gdp_ALL_ctry!P165</f>
        <v>16.099999999999994</v>
      </c>
      <c r="Q177" s="13">
        <f>credit_to_gdp_ALL_ctry!Q177-credit_to_gdp_ALL_ctry!Q165</f>
        <v>-9.7999999999999829</v>
      </c>
      <c r="R177" s="13">
        <f>credit_to_gdp_ALL_ctry!R177-credit_to_gdp_ALL_ctry!R165</f>
        <v>-9.0999999999999943</v>
      </c>
    </row>
    <row r="178" spans="1:18" x14ac:dyDescent="0.45">
      <c r="A178" t="s">
        <v>311</v>
      </c>
      <c r="B178" s="13">
        <f>credit_to_gdp_ALL_ctry!B178-credit_to_gdp_ALL_ctry!B166</f>
        <v>3.8000000000000114</v>
      </c>
      <c r="D178" s="13">
        <f>credit_to_gdp_ALL_ctry!D178-credit_to_gdp_ALL_ctry!D166</f>
        <v>11.699999999999989</v>
      </c>
      <c r="G178" s="13">
        <f>credit_to_gdp_ALL_ctry!G178-credit_to_gdp_ALL_ctry!G166</f>
        <v>10.299999999999983</v>
      </c>
      <c r="H178" s="13">
        <f>credit_to_gdp_ALL_ctry!H178-credit_to_gdp_ALL_ctry!H166</f>
        <v>-0.30000000000001137</v>
      </c>
      <c r="J178" s="13">
        <f>credit_to_gdp_ALL_ctry!J178-credit_to_gdp_ALL_ctry!J166</f>
        <v>-1.3000000000000114</v>
      </c>
      <c r="N178" s="13">
        <f>credit_to_gdp_ALL_ctry!N178-credit_to_gdp_ALL_ctry!N166</f>
        <v>-24.099999999999994</v>
      </c>
      <c r="O178" s="13">
        <f>credit_to_gdp_ALL_ctry!O178-credit_to_gdp_ALL_ctry!O166</f>
        <v>15.099999999999994</v>
      </c>
      <c r="P178" s="13">
        <f>credit_to_gdp_ALL_ctry!P178-credit_to_gdp_ALL_ctry!P166</f>
        <v>10.199999999999989</v>
      </c>
      <c r="Q178" s="13">
        <f>credit_to_gdp_ALL_ctry!Q178-credit_to_gdp_ALL_ctry!Q166</f>
        <v>-11.400000000000006</v>
      </c>
      <c r="R178" s="13">
        <f>credit_to_gdp_ALL_ctry!R178-credit_to_gdp_ALL_ctry!R166</f>
        <v>-7.5</v>
      </c>
    </row>
    <row r="179" spans="1:18" x14ac:dyDescent="0.45">
      <c r="A179" t="s">
        <v>312</v>
      </c>
      <c r="B179" s="13">
        <f>credit_to_gdp_ALL_ctry!B179-credit_to_gdp_ALL_ctry!B167</f>
        <v>7.7000000000000171</v>
      </c>
      <c r="D179" s="13">
        <f>credit_to_gdp_ALL_ctry!D179-credit_to_gdp_ALL_ctry!D167</f>
        <v>12.099999999999994</v>
      </c>
      <c r="G179" s="13">
        <f>credit_to_gdp_ALL_ctry!G179-credit_to_gdp_ALL_ctry!G167</f>
        <v>9.9000000000000057</v>
      </c>
      <c r="H179" s="13">
        <f>credit_to_gdp_ALL_ctry!H179-credit_to_gdp_ALL_ctry!H167</f>
        <v>0.59999999999999432</v>
      </c>
      <c r="J179" s="13">
        <f>credit_to_gdp_ALL_ctry!J179-credit_to_gdp_ALL_ctry!J167</f>
        <v>-1.5</v>
      </c>
      <c r="N179" s="13">
        <f>credit_to_gdp_ALL_ctry!N179-credit_to_gdp_ALL_ctry!N167</f>
        <v>-26.5</v>
      </c>
      <c r="O179" s="13">
        <f>credit_to_gdp_ALL_ctry!O179-credit_to_gdp_ALL_ctry!O167</f>
        <v>12.900000000000006</v>
      </c>
      <c r="P179" s="13">
        <f>credit_to_gdp_ALL_ctry!P179-credit_to_gdp_ALL_ctry!P167</f>
        <v>13.299999999999983</v>
      </c>
      <c r="Q179" s="13">
        <f>credit_to_gdp_ALL_ctry!Q179-credit_to_gdp_ALL_ctry!Q167</f>
        <v>-13.100000000000023</v>
      </c>
      <c r="R179" s="13">
        <f>credit_to_gdp_ALL_ctry!R179-credit_to_gdp_ALL_ctry!R167</f>
        <v>-6.5</v>
      </c>
    </row>
    <row r="180" spans="1:18" x14ac:dyDescent="0.45">
      <c r="A180" t="s">
        <v>313</v>
      </c>
      <c r="B180" s="13">
        <f>credit_to_gdp_ALL_ctry!B180-credit_to_gdp_ALL_ctry!B168</f>
        <v>9.7000000000000171</v>
      </c>
      <c r="D180" s="13">
        <f>credit_to_gdp_ALL_ctry!D180-credit_to_gdp_ALL_ctry!D168</f>
        <v>12.5</v>
      </c>
      <c r="G180" s="13">
        <f>credit_to_gdp_ALL_ctry!G180-credit_to_gdp_ALL_ctry!G168</f>
        <v>8.9000000000000057</v>
      </c>
      <c r="H180" s="13">
        <f>credit_to_gdp_ALL_ctry!H180-credit_to_gdp_ALL_ctry!H168</f>
        <v>-1.5</v>
      </c>
      <c r="J180" s="13">
        <f>credit_to_gdp_ALL_ctry!J180-credit_to_gdp_ALL_ctry!J168</f>
        <v>-1.2999999999999972</v>
      </c>
      <c r="N180" s="13">
        <f>credit_to_gdp_ALL_ctry!N180-credit_to_gdp_ALL_ctry!N168</f>
        <v>-28.099999999999994</v>
      </c>
      <c r="O180" s="13">
        <f>credit_to_gdp_ALL_ctry!O180-credit_to_gdp_ALL_ctry!O168</f>
        <v>8.6999999999999886</v>
      </c>
      <c r="P180" s="13">
        <f>credit_to_gdp_ALL_ctry!P180-credit_to_gdp_ALL_ctry!P168</f>
        <v>8.2999999999999829</v>
      </c>
      <c r="Q180" s="13">
        <f>credit_to_gdp_ALL_ctry!Q180-credit_to_gdp_ALL_ctry!Q168</f>
        <v>-13.5</v>
      </c>
      <c r="R180" s="13">
        <f>credit_to_gdp_ALL_ctry!R180-credit_to_gdp_ALL_ctry!R168</f>
        <v>-6.4000000000000057</v>
      </c>
    </row>
    <row r="181" spans="1:18" x14ac:dyDescent="0.45">
      <c r="A181" t="s">
        <v>314</v>
      </c>
      <c r="B181" s="13">
        <f>credit_to_gdp_ALL_ctry!B181-credit_to_gdp_ALL_ctry!B169</f>
        <v>13.400000000000006</v>
      </c>
      <c r="D181" s="13">
        <f>credit_to_gdp_ALL_ctry!D181-credit_to_gdp_ALL_ctry!D169</f>
        <v>14.699999999999989</v>
      </c>
      <c r="G181" s="13">
        <f>credit_to_gdp_ALL_ctry!G181-credit_to_gdp_ALL_ctry!G169</f>
        <v>8.7000000000000171</v>
      </c>
      <c r="H181" s="13">
        <f>credit_to_gdp_ALL_ctry!H181-credit_to_gdp_ALL_ctry!H169</f>
        <v>-5.5999999999999943</v>
      </c>
      <c r="J181" s="13">
        <f>credit_to_gdp_ALL_ctry!J181-credit_to_gdp_ALL_ctry!J169</f>
        <v>-1.9000000000000057</v>
      </c>
      <c r="N181" s="13">
        <f>credit_to_gdp_ALL_ctry!N181-credit_to_gdp_ALL_ctry!N169</f>
        <v>-32.599999999999994</v>
      </c>
      <c r="O181" s="13">
        <f>credit_to_gdp_ALL_ctry!O181-credit_to_gdp_ALL_ctry!O169</f>
        <v>8.8000000000000114</v>
      </c>
      <c r="P181" s="13">
        <f>credit_to_gdp_ALL_ctry!P181-credit_to_gdp_ALL_ctry!P169</f>
        <v>8.6000000000000227</v>
      </c>
      <c r="Q181" s="13">
        <f>credit_to_gdp_ALL_ctry!Q181-credit_to_gdp_ALL_ctry!Q169</f>
        <v>-13.200000000000017</v>
      </c>
      <c r="R181" s="13">
        <f>credit_to_gdp_ALL_ctry!R181-credit_to_gdp_ALL_ctry!R169</f>
        <v>-5.5</v>
      </c>
    </row>
    <row r="182" spans="1:18" x14ac:dyDescent="0.45">
      <c r="A182" t="s">
        <v>315</v>
      </c>
      <c r="B182" s="13">
        <f>credit_to_gdp_ALL_ctry!B182-credit_to_gdp_ALL_ctry!B170</f>
        <v>17.599999999999994</v>
      </c>
      <c r="D182" s="13">
        <f>credit_to_gdp_ALL_ctry!D182-credit_to_gdp_ALL_ctry!D170</f>
        <v>20.5</v>
      </c>
      <c r="G182" s="13">
        <f>credit_to_gdp_ALL_ctry!G182-credit_to_gdp_ALL_ctry!G170</f>
        <v>9.2000000000000171</v>
      </c>
      <c r="H182" s="13">
        <f>credit_to_gdp_ALL_ctry!H182-credit_to_gdp_ALL_ctry!H170</f>
        <v>-4.5</v>
      </c>
      <c r="J182" s="13">
        <f>credit_to_gdp_ALL_ctry!J182-credit_to_gdp_ALL_ctry!J170</f>
        <v>-2.5</v>
      </c>
      <c r="N182" s="13">
        <f>credit_to_gdp_ALL_ctry!N182-credit_to_gdp_ALL_ctry!N170</f>
        <v>-35.600000000000023</v>
      </c>
      <c r="O182" s="13">
        <f>credit_to_gdp_ALL_ctry!O182-credit_to_gdp_ALL_ctry!O170</f>
        <v>5.4000000000000057</v>
      </c>
      <c r="P182" s="13">
        <f>credit_to_gdp_ALL_ctry!P182-credit_to_gdp_ALL_ctry!P170</f>
        <v>7.9000000000000057</v>
      </c>
      <c r="Q182" s="13">
        <f>credit_to_gdp_ALL_ctry!Q182-credit_to_gdp_ALL_ctry!Q170</f>
        <v>-14.800000000000011</v>
      </c>
      <c r="R182" s="13">
        <f>credit_to_gdp_ALL_ctry!R182-credit_to_gdp_ALL_ctry!R170</f>
        <v>-4.5999999999999943</v>
      </c>
    </row>
    <row r="183" spans="1:18" x14ac:dyDescent="0.45">
      <c r="A183" t="s">
        <v>316</v>
      </c>
      <c r="B183" s="13">
        <f>credit_to_gdp_ALL_ctry!B183-credit_to_gdp_ALL_ctry!B171</f>
        <v>19.199999999999989</v>
      </c>
      <c r="D183" s="13">
        <f>credit_to_gdp_ALL_ctry!D183-credit_to_gdp_ALL_ctry!D171</f>
        <v>21</v>
      </c>
      <c r="G183" s="13">
        <f>credit_to_gdp_ALL_ctry!G183-credit_to_gdp_ALL_ctry!G171</f>
        <v>7.4000000000000057</v>
      </c>
      <c r="H183" s="13">
        <f>credit_to_gdp_ALL_ctry!H183-credit_to_gdp_ALL_ctry!H171</f>
        <v>-4.6999999999999886</v>
      </c>
      <c r="J183" s="13">
        <f>credit_to_gdp_ALL_ctry!J183-credit_to_gdp_ALL_ctry!J171</f>
        <v>-3.7999999999999972</v>
      </c>
      <c r="N183" s="13">
        <f>credit_to_gdp_ALL_ctry!N183-credit_to_gdp_ALL_ctry!N171</f>
        <v>-39.299999999999983</v>
      </c>
      <c r="O183" s="13">
        <f>credit_to_gdp_ALL_ctry!O183-credit_to_gdp_ALL_ctry!O171</f>
        <v>3.7000000000000171</v>
      </c>
      <c r="P183" s="13">
        <f>credit_to_gdp_ALL_ctry!P183-credit_to_gdp_ALL_ctry!P171</f>
        <v>5.9000000000000057</v>
      </c>
      <c r="Q183" s="13">
        <f>credit_to_gdp_ALL_ctry!Q183-credit_to_gdp_ALL_ctry!Q171</f>
        <v>-19</v>
      </c>
      <c r="R183" s="13">
        <f>credit_to_gdp_ALL_ctry!R183-credit_to_gdp_ALL_ctry!R171</f>
        <v>-2.7000000000000171</v>
      </c>
    </row>
    <row r="184" spans="1:18" x14ac:dyDescent="0.45">
      <c r="A184" t="s">
        <v>317</v>
      </c>
      <c r="B184" s="13">
        <f>credit_to_gdp_ALL_ctry!B184-credit_to_gdp_ALL_ctry!B172</f>
        <v>21.400000000000006</v>
      </c>
      <c r="D184" s="13">
        <f>credit_to_gdp_ALL_ctry!D184-credit_to_gdp_ALL_ctry!D172</f>
        <v>22.800000000000011</v>
      </c>
      <c r="G184" s="13">
        <f>credit_to_gdp_ALL_ctry!G184-credit_to_gdp_ALL_ctry!G172</f>
        <v>8.1000000000000227</v>
      </c>
      <c r="H184" s="13">
        <f>credit_to_gdp_ALL_ctry!H184-credit_to_gdp_ALL_ctry!H172</f>
        <v>-4.2999999999999829</v>
      </c>
      <c r="J184" s="13">
        <f>credit_to_gdp_ALL_ctry!J184-credit_to_gdp_ALL_ctry!J172</f>
        <v>-4.7999999999999972</v>
      </c>
      <c r="N184" s="13">
        <f>credit_to_gdp_ALL_ctry!N184-credit_to_gdp_ALL_ctry!N172</f>
        <v>-42.400000000000006</v>
      </c>
      <c r="O184" s="13">
        <f>credit_to_gdp_ALL_ctry!O184-credit_to_gdp_ALL_ctry!O172</f>
        <v>-0.79999999999998295</v>
      </c>
      <c r="P184" s="13">
        <f>credit_to_gdp_ALL_ctry!P184-credit_to_gdp_ALL_ctry!P172</f>
        <v>4.5</v>
      </c>
      <c r="Q184" s="13">
        <f>credit_to_gdp_ALL_ctry!Q184-credit_to_gdp_ALL_ctry!Q172</f>
        <v>-18.599999999999994</v>
      </c>
      <c r="R184" s="13">
        <f>credit_to_gdp_ALL_ctry!R184-credit_to_gdp_ALL_ctry!R172</f>
        <v>-2</v>
      </c>
    </row>
    <row r="185" spans="1:18" x14ac:dyDescent="0.45">
      <c r="A185" t="s">
        <v>318</v>
      </c>
      <c r="B185" s="13">
        <f>credit_to_gdp_ALL_ctry!B185-credit_to_gdp_ALL_ctry!B173</f>
        <v>21.599999999999994</v>
      </c>
      <c r="D185" s="13">
        <f>credit_to_gdp_ALL_ctry!D185-credit_to_gdp_ALL_ctry!D173</f>
        <v>24.5</v>
      </c>
      <c r="G185" s="13">
        <f>credit_to_gdp_ALL_ctry!G185-credit_to_gdp_ALL_ctry!G173</f>
        <v>9.5999999999999943</v>
      </c>
      <c r="H185" s="13">
        <f>credit_to_gdp_ALL_ctry!H185-credit_to_gdp_ALL_ctry!H173</f>
        <v>-4.3000000000000114</v>
      </c>
      <c r="J185" s="13">
        <f>credit_to_gdp_ALL_ctry!J185-credit_to_gdp_ALL_ctry!J173</f>
        <v>-7.8999999999999915</v>
      </c>
      <c r="N185" s="13">
        <f>credit_to_gdp_ALL_ctry!N185-credit_to_gdp_ALL_ctry!N173</f>
        <v>-37.900000000000006</v>
      </c>
      <c r="O185" s="13">
        <f>credit_to_gdp_ALL_ctry!O185-credit_to_gdp_ALL_ctry!O173</f>
        <v>9.7000000000000171</v>
      </c>
      <c r="P185" s="13">
        <f>credit_to_gdp_ALL_ctry!P185-credit_to_gdp_ALL_ctry!P173</f>
        <v>6.2000000000000171</v>
      </c>
      <c r="Q185" s="13">
        <f>credit_to_gdp_ALL_ctry!Q185-credit_to_gdp_ALL_ctry!Q173</f>
        <v>-15.900000000000006</v>
      </c>
      <c r="R185" s="13">
        <f>credit_to_gdp_ALL_ctry!R185-credit_to_gdp_ALL_ctry!R173</f>
        <v>-1.8999999999999773</v>
      </c>
    </row>
    <row r="186" spans="1:18" x14ac:dyDescent="0.45">
      <c r="A186" t="s">
        <v>319</v>
      </c>
      <c r="B186" s="13">
        <f>credit_to_gdp_ALL_ctry!B186-credit_to_gdp_ALL_ctry!B174</f>
        <v>23</v>
      </c>
      <c r="D186" s="13">
        <f>credit_to_gdp_ALL_ctry!D186-credit_to_gdp_ALL_ctry!D174</f>
        <v>21.400000000000006</v>
      </c>
      <c r="G186" s="13">
        <f>credit_to_gdp_ALL_ctry!G186-credit_to_gdp_ALL_ctry!G174</f>
        <v>8.7999999999999829</v>
      </c>
      <c r="H186" s="13">
        <f>credit_to_gdp_ALL_ctry!H186-credit_to_gdp_ALL_ctry!H174</f>
        <v>-4.6999999999999886</v>
      </c>
      <c r="J186" s="13">
        <f>credit_to_gdp_ALL_ctry!J186-credit_to_gdp_ALL_ctry!J174</f>
        <v>-8.5</v>
      </c>
      <c r="N186" s="13">
        <f>credit_to_gdp_ALL_ctry!N186-credit_to_gdp_ALL_ctry!N174</f>
        <v>-37.300000000000011</v>
      </c>
      <c r="O186" s="13">
        <f>credit_to_gdp_ALL_ctry!O186-credit_to_gdp_ALL_ctry!O174</f>
        <v>0.70000000000001705</v>
      </c>
      <c r="P186" s="13">
        <f>credit_to_gdp_ALL_ctry!P186-credit_to_gdp_ALL_ctry!P174</f>
        <v>11.200000000000017</v>
      </c>
      <c r="Q186" s="13">
        <f>credit_to_gdp_ALL_ctry!Q186-credit_to_gdp_ALL_ctry!Q174</f>
        <v>-13.099999999999994</v>
      </c>
      <c r="R186" s="13">
        <f>credit_to_gdp_ALL_ctry!R186-credit_to_gdp_ALL_ctry!R174</f>
        <v>-9.9999999999994316E-2</v>
      </c>
    </row>
    <row r="187" spans="1:18" x14ac:dyDescent="0.45">
      <c r="A187" t="s">
        <v>320</v>
      </c>
      <c r="B187" s="13">
        <f>credit_to_gdp_ALL_ctry!B187-credit_to_gdp_ALL_ctry!B175</f>
        <v>20.900000000000006</v>
      </c>
      <c r="D187" s="13">
        <f>credit_to_gdp_ALL_ctry!D187-credit_to_gdp_ALL_ctry!D175</f>
        <v>22.799999999999983</v>
      </c>
      <c r="G187" s="13">
        <f>credit_to_gdp_ALL_ctry!G187-credit_to_gdp_ALL_ctry!G175</f>
        <v>13</v>
      </c>
      <c r="H187" s="13">
        <f>credit_to_gdp_ALL_ctry!H187-credit_to_gdp_ALL_ctry!H175</f>
        <v>-4.8000000000000114</v>
      </c>
      <c r="J187" s="13">
        <f>credit_to_gdp_ALL_ctry!J187-credit_to_gdp_ALL_ctry!J175</f>
        <v>-7.8999999999999915</v>
      </c>
      <c r="N187" s="13">
        <f>credit_to_gdp_ALL_ctry!N187-credit_to_gdp_ALL_ctry!N175</f>
        <v>-36</v>
      </c>
      <c r="O187" s="13">
        <f>credit_to_gdp_ALL_ctry!O187-credit_to_gdp_ALL_ctry!O175</f>
        <v>-0.29999999999998295</v>
      </c>
      <c r="P187" s="13">
        <f>credit_to_gdp_ALL_ctry!P187-credit_to_gdp_ALL_ctry!P175</f>
        <v>10.799999999999983</v>
      </c>
      <c r="Q187" s="13">
        <f>credit_to_gdp_ALL_ctry!Q187-credit_to_gdp_ALL_ctry!Q175</f>
        <v>-10.900000000000006</v>
      </c>
      <c r="R187" s="13">
        <f>credit_to_gdp_ALL_ctry!R187-credit_to_gdp_ALL_ctry!R175</f>
        <v>0.5</v>
      </c>
    </row>
    <row r="188" spans="1:18" x14ac:dyDescent="0.45">
      <c r="A188" t="s">
        <v>321</v>
      </c>
      <c r="B188" s="13">
        <f>credit_to_gdp_ALL_ctry!B188-credit_to_gdp_ALL_ctry!B176</f>
        <v>21</v>
      </c>
      <c r="D188" s="13">
        <f>credit_to_gdp_ALL_ctry!D188-credit_to_gdp_ALL_ctry!D176</f>
        <v>24.300000000000011</v>
      </c>
      <c r="G188" s="13">
        <f>credit_to_gdp_ALL_ctry!G188-credit_to_gdp_ALL_ctry!G176</f>
        <v>13.900000000000006</v>
      </c>
      <c r="H188" s="13">
        <f>credit_to_gdp_ALL_ctry!H188-credit_to_gdp_ALL_ctry!H176</f>
        <v>-4.1999999999999886</v>
      </c>
      <c r="J188" s="13">
        <f>credit_to_gdp_ALL_ctry!J188-credit_to_gdp_ALL_ctry!J176</f>
        <v>-8.4000000000000057</v>
      </c>
      <c r="N188" s="13">
        <f>credit_to_gdp_ALL_ctry!N188-credit_to_gdp_ALL_ctry!N176</f>
        <v>-36.399999999999977</v>
      </c>
      <c r="O188" s="13">
        <f>credit_to_gdp_ALL_ctry!O188-credit_to_gdp_ALL_ctry!O176</f>
        <v>3.7000000000000171</v>
      </c>
      <c r="P188" s="13">
        <f>credit_to_gdp_ALL_ctry!P188-credit_to_gdp_ALL_ctry!P176</f>
        <v>13.100000000000023</v>
      </c>
      <c r="Q188" s="13">
        <f>credit_to_gdp_ALL_ctry!Q188-credit_to_gdp_ALL_ctry!Q176</f>
        <v>-6.3999999999999773</v>
      </c>
      <c r="R188" s="13">
        <f>credit_to_gdp_ALL_ctry!R188-credit_to_gdp_ALL_ctry!R176</f>
        <v>1.4000000000000057</v>
      </c>
    </row>
    <row r="189" spans="1:18" x14ac:dyDescent="0.45">
      <c r="A189" t="s">
        <v>322</v>
      </c>
      <c r="B189" s="13">
        <f>credit_to_gdp_ALL_ctry!B189-credit_to_gdp_ALL_ctry!B177</f>
        <v>17.5</v>
      </c>
      <c r="D189" s="13">
        <f>credit_to_gdp_ALL_ctry!D189-credit_to_gdp_ALL_ctry!D177</f>
        <v>23.5</v>
      </c>
      <c r="G189" s="13">
        <f>credit_to_gdp_ALL_ctry!G189-credit_to_gdp_ALL_ctry!G177</f>
        <v>16.199999999999989</v>
      </c>
      <c r="H189" s="13">
        <f>credit_to_gdp_ALL_ctry!H189-credit_to_gdp_ALL_ctry!H177</f>
        <v>-3.9000000000000057</v>
      </c>
      <c r="J189" s="13">
        <f>credit_to_gdp_ALL_ctry!J189-credit_to_gdp_ALL_ctry!J177</f>
        <v>-9.7000000000000028</v>
      </c>
      <c r="N189" s="13">
        <f>credit_to_gdp_ALL_ctry!N189-credit_to_gdp_ALL_ctry!N177</f>
        <v>-35.800000000000011</v>
      </c>
      <c r="O189" s="13">
        <f>credit_to_gdp_ALL_ctry!O189-credit_to_gdp_ALL_ctry!O177</f>
        <v>5.0999999999999943</v>
      </c>
      <c r="P189" s="13">
        <f>credit_to_gdp_ALL_ctry!P189-credit_to_gdp_ALL_ctry!P177</f>
        <v>12.200000000000017</v>
      </c>
      <c r="Q189" s="13">
        <f>credit_to_gdp_ALL_ctry!Q189-credit_to_gdp_ALL_ctry!Q177</f>
        <v>-4.8000000000000114</v>
      </c>
      <c r="R189" s="13">
        <f>credit_to_gdp_ALL_ctry!R189-credit_to_gdp_ALL_ctry!R177</f>
        <v>0.90000000000000568</v>
      </c>
    </row>
    <row r="190" spans="1:18" x14ac:dyDescent="0.45">
      <c r="A190" t="s">
        <v>323</v>
      </c>
      <c r="B190" s="13">
        <f>credit_to_gdp_ALL_ctry!B190-credit_to_gdp_ALL_ctry!B178</f>
        <v>15.199999999999989</v>
      </c>
      <c r="D190" s="13">
        <f>credit_to_gdp_ALL_ctry!D190-credit_to_gdp_ALL_ctry!D178</f>
        <v>22.5</v>
      </c>
      <c r="G190" s="13">
        <f>credit_to_gdp_ALL_ctry!G190-credit_to_gdp_ALL_ctry!G178</f>
        <v>16.400000000000006</v>
      </c>
      <c r="H190" s="13">
        <f>credit_to_gdp_ALL_ctry!H190-credit_to_gdp_ALL_ctry!H178</f>
        <v>-2.6999999999999886</v>
      </c>
      <c r="J190" s="13">
        <f>credit_to_gdp_ALL_ctry!J190-credit_to_gdp_ALL_ctry!J178</f>
        <v>-9.5999999999999943</v>
      </c>
      <c r="N190" s="13">
        <f>credit_to_gdp_ALL_ctry!N190-credit_to_gdp_ALL_ctry!N178</f>
        <v>-34.400000000000006</v>
      </c>
      <c r="O190" s="13">
        <f>credit_to_gdp_ALL_ctry!O190-credit_to_gdp_ALL_ctry!O178</f>
        <v>4.8000000000000114</v>
      </c>
      <c r="P190" s="13">
        <f>credit_to_gdp_ALL_ctry!P190-credit_to_gdp_ALL_ctry!P178</f>
        <v>13.700000000000017</v>
      </c>
      <c r="Q190" s="13">
        <f>credit_to_gdp_ALL_ctry!Q190-credit_to_gdp_ALL_ctry!Q178</f>
        <v>-1.5</v>
      </c>
      <c r="R190" s="13">
        <f>credit_to_gdp_ALL_ctry!R190-credit_to_gdp_ALL_ctry!R178</f>
        <v>1.1999999999999886</v>
      </c>
    </row>
    <row r="191" spans="1:18" x14ac:dyDescent="0.45">
      <c r="A191" t="s">
        <v>324</v>
      </c>
      <c r="B191" s="13">
        <f>credit_to_gdp_ALL_ctry!B191-credit_to_gdp_ALL_ctry!B179</f>
        <v>13</v>
      </c>
      <c r="D191" s="13">
        <f>credit_to_gdp_ALL_ctry!D191-credit_to_gdp_ALL_ctry!D179</f>
        <v>21.900000000000006</v>
      </c>
      <c r="G191" s="13">
        <f>credit_to_gdp_ALL_ctry!G191-credit_to_gdp_ALL_ctry!G179</f>
        <v>14.400000000000006</v>
      </c>
      <c r="H191" s="13">
        <f>credit_to_gdp_ALL_ctry!H191-credit_to_gdp_ALL_ctry!H179</f>
        <v>-3.1999999999999886</v>
      </c>
      <c r="J191" s="13">
        <f>credit_to_gdp_ALL_ctry!J191-credit_to_gdp_ALL_ctry!J179</f>
        <v>-10.599999999999994</v>
      </c>
      <c r="N191" s="13">
        <f>credit_to_gdp_ALL_ctry!N191-credit_to_gdp_ALL_ctry!N179</f>
        <v>-34.299999999999983</v>
      </c>
      <c r="O191" s="13">
        <f>credit_to_gdp_ALL_ctry!O191-credit_to_gdp_ALL_ctry!O179</f>
        <v>6.1999999999999886</v>
      </c>
      <c r="P191" s="13">
        <f>credit_to_gdp_ALL_ctry!P191-credit_to_gdp_ALL_ctry!P179</f>
        <v>17</v>
      </c>
      <c r="Q191" s="13">
        <f>credit_to_gdp_ALL_ctry!Q191-credit_to_gdp_ALL_ctry!Q179</f>
        <v>-0.79999999999998295</v>
      </c>
      <c r="R191" s="13">
        <f>credit_to_gdp_ALL_ctry!R191-credit_to_gdp_ALL_ctry!R179</f>
        <v>2.2000000000000171</v>
      </c>
    </row>
    <row r="192" spans="1:18" x14ac:dyDescent="0.45">
      <c r="A192" t="s">
        <v>325</v>
      </c>
      <c r="B192" s="13">
        <f>credit_to_gdp_ALL_ctry!B192-credit_to_gdp_ALL_ctry!B180</f>
        <v>9.3999999999999773</v>
      </c>
      <c r="D192" s="13">
        <f>credit_to_gdp_ALL_ctry!D192-credit_to_gdp_ALL_ctry!D180</f>
        <v>19.599999999999994</v>
      </c>
      <c r="G192" s="13">
        <f>credit_to_gdp_ALL_ctry!G192-credit_to_gdp_ALL_ctry!G180</f>
        <v>12.899999999999977</v>
      </c>
      <c r="H192" s="13">
        <f>credit_to_gdp_ALL_ctry!H192-credit_to_gdp_ALL_ctry!H180</f>
        <v>-2.4000000000000057</v>
      </c>
      <c r="J192" s="13">
        <f>credit_to_gdp_ALL_ctry!J192-credit_to_gdp_ALL_ctry!J180</f>
        <v>-11.899999999999991</v>
      </c>
      <c r="N192" s="13">
        <f>credit_to_gdp_ALL_ctry!N192-credit_to_gdp_ALL_ctry!N180</f>
        <v>-34.699999999999989</v>
      </c>
      <c r="O192" s="13">
        <f>credit_to_gdp_ALL_ctry!O192-credit_to_gdp_ALL_ctry!O180</f>
        <v>8.5999999999999943</v>
      </c>
      <c r="P192" s="13">
        <f>credit_to_gdp_ALL_ctry!P192-credit_to_gdp_ALL_ctry!P180</f>
        <v>20.300000000000011</v>
      </c>
      <c r="Q192" s="13">
        <f>credit_to_gdp_ALL_ctry!Q192-credit_to_gdp_ALL_ctry!Q180</f>
        <v>1.2999999999999829</v>
      </c>
      <c r="R192" s="13">
        <f>credit_to_gdp_ALL_ctry!R192-credit_to_gdp_ALL_ctry!R180</f>
        <v>3.0999999999999943</v>
      </c>
    </row>
    <row r="193" spans="1:18" x14ac:dyDescent="0.45">
      <c r="A193" t="s">
        <v>326</v>
      </c>
      <c r="B193" s="13">
        <f>credit_to_gdp_ALL_ctry!B193-credit_to_gdp_ALL_ctry!B181</f>
        <v>7.2999999999999829</v>
      </c>
      <c r="D193" s="13">
        <f>credit_to_gdp_ALL_ctry!D193-credit_to_gdp_ALL_ctry!D181</f>
        <v>19.5</v>
      </c>
      <c r="G193" s="13">
        <f>credit_to_gdp_ALL_ctry!G193-credit_to_gdp_ALL_ctry!G181</f>
        <v>12.199999999999989</v>
      </c>
      <c r="H193" s="13">
        <f>credit_to_gdp_ALL_ctry!H193-credit_to_gdp_ALL_ctry!H181</f>
        <v>1.5</v>
      </c>
      <c r="J193" s="13">
        <f>credit_to_gdp_ALL_ctry!J193-credit_to_gdp_ALL_ctry!J181</f>
        <v>-10.400000000000006</v>
      </c>
      <c r="N193" s="13">
        <f>credit_to_gdp_ALL_ctry!N193-credit_to_gdp_ALL_ctry!N181</f>
        <v>-32.100000000000023</v>
      </c>
      <c r="O193" s="13">
        <f>credit_to_gdp_ALL_ctry!O193-credit_to_gdp_ALL_ctry!O181</f>
        <v>9.9000000000000057</v>
      </c>
      <c r="P193" s="13">
        <f>credit_to_gdp_ALL_ctry!P193-credit_to_gdp_ALL_ctry!P181</f>
        <v>23</v>
      </c>
      <c r="Q193" s="13">
        <f>credit_to_gdp_ALL_ctry!Q193-credit_to_gdp_ALL_ctry!Q181</f>
        <v>3.6000000000000227</v>
      </c>
      <c r="R193" s="13">
        <f>credit_to_gdp_ALL_ctry!R193-credit_to_gdp_ALL_ctry!R181</f>
        <v>3.5</v>
      </c>
    </row>
    <row r="194" spans="1:18" x14ac:dyDescent="0.45">
      <c r="A194" t="s">
        <v>327</v>
      </c>
      <c r="B194" s="13">
        <f>credit_to_gdp_ALL_ctry!B194-credit_to_gdp_ALL_ctry!B182</f>
        <v>3.9000000000000057</v>
      </c>
      <c r="D194" s="13">
        <f>credit_to_gdp_ALL_ctry!D194-credit_to_gdp_ALL_ctry!D182</f>
        <v>13.400000000000006</v>
      </c>
      <c r="G194" s="13">
        <f>credit_to_gdp_ALL_ctry!G194-credit_to_gdp_ALL_ctry!G182</f>
        <v>10.899999999999977</v>
      </c>
      <c r="H194" s="13">
        <f>credit_to_gdp_ALL_ctry!H194-credit_to_gdp_ALL_ctry!H182</f>
        <v>0.40000000000000568</v>
      </c>
      <c r="J194" s="13">
        <f>credit_to_gdp_ALL_ctry!J194-credit_to_gdp_ALL_ctry!J182</f>
        <v>-11.400000000000006</v>
      </c>
      <c r="N194" s="13">
        <f>credit_to_gdp_ALL_ctry!N194-credit_to_gdp_ALL_ctry!N182</f>
        <v>-31.199999999999989</v>
      </c>
      <c r="O194" s="13">
        <f>credit_to_gdp_ALL_ctry!O194-credit_to_gdp_ALL_ctry!O182</f>
        <v>7.9000000000000057</v>
      </c>
      <c r="P194" s="13">
        <f>credit_to_gdp_ALL_ctry!P194-credit_to_gdp_ALL_ctry!P182</f>
        <v>26.799999999999983</v>
      </c>
      <c r="Q194" s="13">
        <f>credit_to_gdp_ALL_ctry!Q194-credit_to_gdp_ALL_ctry!Q182</f>
        <v>0.70000000000001705</v>
      </c>
      <c r="R194" s="13">
        <f>credit_to_gdp_ALL_ctry!R194-credit_to_gdp_ALL_ctry!R182</f>
        <v>3.4000000000000057</v>
      </c>
    </row>
    <row r="195" spans="1:18" x14ac:dyDescent="0.45">
      <c r="A195" t="s">
        <v>328</v>
      </c>
      <c r="B195" s="13">
        <f>credit_to_gdp_ALL_ctry!B195-credit_to_gdp_ALL_ctry!B183</f>
        <v>0.59999999999999432</v>
      </c>
      <c r="D195" s="13">
        <f>credit_to_gdp_ALL_ctry!D195-credit_to_gdp_ALL_ctry!D183</f>
        <v>13.200000000000017</v>
      </c>
      <c r="G195" s="13">
        <f>credit_to_gdp_ALL_ctry!G195-credit_to_gdp_ALL_ctry!G183</f>
        <v>12.599999999999994</v>
      </c>
      <c r="H195" s="13">
        <f>credit_to_gdp_ALL_ctry!H195-credit_to_gdp_ALL_ctry!H183</f>
        <v>1.5</v>
      </c>
      <c r="J195" s="13">
        <f>credit_to_gdp_ALL_ctry!J195-credit_to_gdp_ALL_ctry!J183</f>
        <v>-10.5</v>
      </c>
      <c r="N195" s="13">
        <f>credit_to_gdp_ALL_ctry!N195-credit_to_gdp_ALL_ctry!N183</f>
        <v>-28</v>
      </c>
      <c r="O195" s="13">
        <f>credit_to_gdp_ALL_ctry!O195-credit_to_gdp_ALL_ctry!O183</f>
        <v>10.199999999999989</v>
      </c>
      <c r="P195" s="13">
        <f>credit_to_gdp_ALL_ctry!P195-credit_to_gdp_ALL_ctry!P183</f>
        <v>20.599999999999994</v>
      </c>
      <c r="Q195" s="13">
        <f>credit_to_gdp_ALL_ctry!Q195-credit_to_gdp_ALL_ctry!Q183</f>
        <v>3.2999999999999829</v>
      </c>
      <c r="R195" s="13">
        <f>credit_to_gdp_ALL_ctry!R195-credit_to_gdp_ALL_ctry!R183</f>
        <v>3.2000000000000171</v>
      </c>
    </row>
    <row r="196" spans="1:18" x14ac:dyDescent="0.45">
      <c r="A196" t="s">
        <v>329</v>
      </c>
      <c r="B196" s="13">
        <f>credit_to_gdp_ALL_ctry!B196-credit_to_gdp_ALL_ctry!B184</f>
        <v>-1.7999999999999829</v>
      </c>
      <c r="D196" s="13">
        <f>credit_to_gdp_ALL_ctry!D196-credit_to_gdp_ALL_ctry!D184</f>
        <v>8.5</v>
      </c>
      <c r="G196" s="13">
        <f>credit_to_gdp_ALL_ctry!G196-credit_to_gdp_ALL_ctry!G184</f>
        <v>12.799999999999983</v>
      </c>
      <c r="H196" s="13">
        <f>credit_to_gdp_ALL_ctry!H196-credit_to_gdp_ALL_ctry!H184</f>
        <v>2.2999999999999829</v>
      </c>
      <c r="J196" s="13">
        <f>credit_to_gdp_ALL_ctry!J196-credit_to_gdp_ALL_ctry!J184</f>
        <v>-10.100000000000009</v>
      </c>
      <c r="N196" s="13">
        <f>credit_to_gdp_ALL_ctry!N196-credit_to_gdp_ALL_ctry!N184</f>
        <v>-25.5</v>
      </c>
      <c r="O196" s="13">
        <f>credit_to_gdp_ALL_ctry!O196-credit_to_gdp_ALL_ctry!O184</f>
        <v>10.900000000000006</v>
      </c>
      <c r="P196" s="13">
        <f>credit_to_gdp_ALL_ctry!P196-credit_to_gdp_ALL_ctry!P184</f>
        <v>16.099999999999994</v>
      </c>
      <c r="Q196" s="13">
        <f>credit_to_gdp_ALL_ctry!Q196-credit_to_gdp_ALL_ctry!Q184</f>
        <v>1.0999999999999943</v>
      </c>
      <c r="R196" s="13">
        <f>credit_to_gdp_ALL_ctry!R196-credit_to_gdp_ALL_ctry!R184</f>
        <v>2.4000000000000057</v>
      </c>
    </row>
    <row r="197" spans="1:18" x14ac:dyDescent="0.45">
      <c r="A197" t="s">
        <v>330</v>
      </c>
      <c r="B197" s="13">
        <f>credit_to_gdp_ALL_ctry!B197-credit_to_gdp_ALL_ctry!B185</f>
        <v>-3.2999999999999829</v>
      </c>
      <c r="D197" s="13">
        <f>credit_to_gdp_ALL_ctry!D197-credit_to_gdp_ALL_ctry!D185</f>
        <v>6.7999999999999829</v>
      </c>
      <c r="G197" s="13">
        <f>credit_to_gdp_ALL_ctry!G197-credit_to_gdp_ALL_ctry!G185</f>
        <v>11.5</v>
      </c>
      <c r="H197" s="13">
        <f>credit_to_gdp_ALL_ctry!H197-credit_to_gdp_ALL_ctry!H185</f>
        <v>2.1000000000000227</v>
      </c>
      <c r="J197" s="13">
        <f>credit_to_gdp_ALL_ctry!J197-credit_to_gdp_ALL_ctry!J185</f>
        <v>-8.2000000000000028</v>
      </c>
      <c r="N197" s="13">
        <f>credit_to_gdp_ALL_ctry!N197-credit_to_gdp_ALL_ctry!N185</f>
        <v>-23.900000000000006</v>
      </c>
      <c r="O197" s="13">
        <f>credit_to_gdp_ALL_ctry!O197-credit_to_gdp_ALL_ctry!O185</f>
        <v>4.5999999999999943</v>
      </c>
      <c r="P197" s="13">
        <f>credit_to_gdp_ALL_ctry!P197-credit_to_gdp_ALL_ctry!P185</f>
        <v>10.299999999999983</v>
      </c>
      <c r="Q197" s="13">
        <f>credit_to_gdp_ALL_ctry!Q197-credit_to_gdp_ALL_ctry!Q185</f>
        <v>9.9999999999994316E-2</v>
      </c>
      <c r="R197" s="13">
        <f>credit_to_gdp_ALL_ctry!R197-credit_to_gdp_ALL_ctry!R185</f>
        <v>2.5999999999999943</v>
      </c>
    </row>
    <row r="198" spans="1:18" x14ac:dyDescent="0.45">
      <c r="A198" t="s">
        <v>331</v>
      </c>
      <c r="B198" s="13">
        <f>credit_to_gdp_ALL_ctry!B198-credit_to_gdp_ALL_ctry!B186</f>
        <v>-5.6000000000000227</v>
      </c>
      <c r="D198" s="13">
        <f>credit_to_gdp_ALL_ctry!D198-credit_to_gdp_ALL_ctry!D186</f>
        <v>8.4000000000000057</v>
      </c>
      <c r="G198" s="13">
        <f>credit_to_gdp_ALL_ctry!G198-credit_to_gdp_ALL_ctry!G186</f>
        <v>14.200000000000017</v>
      </c>
      <c r="H198" s="13">
        <f>credit_to_gdp_ALL_ctry!H198-credit_to_gdp_ALL_ctry!H186</f>
        <v>2.5</v>
      </c>
      <c r="J198" s="13">
        <f>credit_to_gdp_ALL_ctry!J198-credit_to_gdp_ALL_ctry!J186</f>
        <v>-7.7999999999999972</v>
      </c>
      <c r="N198" s="13">
        <f>credit_to_gdp_ALL_ctry!N198-credit_to_gdp_ALL_ctry!N186</f>
        <v>-22.400000000000006</v>
      </c>
      <c r="O198" s="13">
        <f>credit_to_gdp_ALL_ctry!O198-credit_to_gdp_ALL_ctry!O186</f>
        <v>16</v>
      </c>
      <c r="P198" s="13">
        <f>credit_to_gdp_ALL_ctry!P198-credit_to_gdp_ALL_ctry!P186</f>
        <v>7.7999999999999829</v>
      </c>
      <c r="Q198" s="13">
        <f>credit_to_gdp_ALL_ctry!Q198-credit_to_gdp_ALL_ctry!Q186</f>
        <v>-3.1000000000000227</v>
      </c>
      <c r="R198" s="13">
        <f>credit_to_gdp_ALL_ctry!R198-credit_to_gdp_ALL_ctry!R186</f>
        <v>1.9000000000000057</v>
      </c>
    </row>
    <row r="199" spans="1:18" x14ac:dyDescent="0.45">
      <c r="A199" t="s">
        <v>332</v>
      </c>
      <c r="B199" s="13">
        <f>credit_to_gdp_ALL_ctry!B199-credit_to_gdp_ALL_ctry!B187</f>
        <v>-8</v>
      </c>
      <c r="D199" s="13">
        <f>credit_to_gdp_ALL_ctry!D199-credit_to_gdp_ALL_ctry!D187</f>
        <v>7.4000000000000057</v>
      </c>
      <c r="G199" s="13">
        <f>credit_to_gdp_ALL_ctry!G199-credit_to_gdp_ALL_ctry!G187</f>
        <v>13.599999999999994</v>
      </c>
      <c r="H199" s="13">
        <f>credit_to_gdp_ALL_ctry!H199-credit_to_gdp_ALL_ctry!H187</f>
        <v>3.3000000000000114</v>
      </c>
      <c r="J199" s="13">
        <f>credit_to_gdp_ALL_ctry!J199-credit_to_gdp_ALL_ctry!J187</f>
        <v>-8</v>
      </c>
      <c r="N199" s="13">
        <f>credit_to_gdp_ALL_ctry!N199-credit_to_gdp_ALL_ctry!N187</f>
        <v>-21.799999999999983</v>
      </c>
      <c r="O199" s="13">
        <f>credit_to_gdp_ALL_ctry!O199-credit_to_gdp_ALL_ctry!O187</f>
        <v>15.5</v>
      </c>
      <c r="P199" s="13">
        <f>credit_to_gdp_ALL_ctry!P199-credit_to_gdp_ALL_ctry!P187</f>
        <v>12.300000000000011</v>
      </c>
      <c r="Q199" s="13">
        <f>credit_to_gdp_ALL_ctry!Q199-credit_to_gdp_ALL_ctry!Q187</f>
        <v>-5.2999999999999829</v>
      </c>
      <c r="R199" s="13">
        <f>credit_to_gdp_ALL_ctry!R199-credit_to_gdp_ALL_ctry!R187</f>
        <v>1.5</v>
      </c>
    </row>
    <row r="200" spans="1:18" x14ac:dyDescent="0.45">
      <c r="A200" t="s">
        <v>333</v>
      </c>
      <c r="B200" s="13">
        <f>credit_to_gdp_ALL_ctry!B200-credit_to_gdp_ALL_ctry!B188</f>
        <v>-9.2999999999999829</v>
      </c>
      <c r="D200" s="13">
        <f>credit_to_gdp_ALL_ctry!D200-credit_to_gdp_ALL_ctry!D188</f>
        <v>6.7999999999999829</v>
      </c>
      <c r="G200" s="13">
        <f>credit_to_gdp_ALL_ctry!G200-credit_to_gdp_ALL_ctry!G188</f>
        <v>14.5</v>
      </c>
      <c r="H200" s="13">
        <f>credit_to_gdp_ALL_ctry!H200-credit_to_gdp_ALL_ctry!H188</f>
        <v>2.8000000000000114</v>
      </c>
      <c r="J200" s="13">
        <f>credit_to_gdp_ALL_ctry!J200-credit_to_gdp_ALL_ctry!J188</f>
        <v>-6.8999999999999915</v>
      </c>
      <c r="N200" s="13">
        <f>credit_to_gdp_ALL_ctry!N200-credit_to_gdp_ALL_ctry!N188</f>
        <v>-20.100000000000023</v>
      </c>
      <c r="O200" s="13">
        <f>credit_to_gdp_ALL_ctry!O200-credit_to_gdp_ALL_ctry!O188</f>
        <v>14.299999999999983</v>
      </c>
      <c r="P200" s="13">
        <f>credit_to_gdp_ALL_ctry!P200-credit_to_gdp_ALL_ctry!P188</f>
        <v>17.5</v>
      </c>
      <c r="Q200" s="13">
        <f>credit_to_gdp_ALL_ctry!Q200-credit_to_gdp_ALL_ctry!Q188</f>
        <v>-6</v>
      </c>
      <c r="R200" s="13">
        <f>credit_to_gdp_ALL_ctry!R200-credit_to_gdp_ALL_ctry!R188</f>
        <v>0.69999999999998863</v>
      </c>
    </row>
    <row r="201" spans="1:18" x14ac:dyDescent="0.45">
      <c r="A201" t="s">
        <v>334</v>
      </c>
      <c r="B201" s="13">
        <f>credit_to_gdp_ALL_ctry!B201-credit_to_gdp_ALL_ctry!B189</f>
        <v>-9.3000000000000114</v>
      </c>
      <c r="D201" s="13">
        <f>credit_to_gdp_ALL_ctry!D201-credit_to_gdp_ALL_ctry!D189</f>
        <v>7.3999999999999773</v>
      </c>
      <c r="G201" s="13">
        <f>credit_to_gdp_ALL_ctry!G201-credit_to_gdp_ALL_ctry!G189</f>
        <v>13</v>
      </c>
      <c r="H201" s="13">
        <f>credit_to_gdp_ALL_ctry!H201-credit_to_gdp_ALL_ctry!H189</f>
        <v>2.9000000000000057</v>
      </c>
      <c r="J201" s="13">
        <f>credit_to_gdp_ALL_ctry!J201-credit_to_gdp_ALL_ctry!J189</f>
        <v>-5.3999999999999915</v>
      </c>
      <c r="N201" s="13">
        <f>credit_to_gdp_ALL_ctry!N201-credit_to_gdp_ALL_ctry!N189</f>
        <v>-20.299999999999983</v>
      </c>
      <c r="O201" s="13">
        <f>credit_to_gdp_ALL_ctry!O201-credit_to_gdp_ALL_ctry!O189</f>
        <v>13.200000000000017</v>
      </c>
      <c r="P201" s="13">
        <f>credit_to_gdp_ALL_ctry!P201-credit_to_gdp_ALL_ctry!P189</f>
        <v>24.700000000000017</v>
      </c>
      <c r="Q201" s="13">
        <f>credit_to_gdp_ALL_ctry!Q201-credit_to_gdp_ALL_ctry!Q189</f>
        <v>-7</v>
      </c>
      <c r="R201" s="13">
        <f>credit_to_gdp_ALL_ctry!R201-credit_to_gdp_ALL_ctry!R189</f>
        <v>0.59999999999999432</v>
      </c>
    </row>
    <row r="202" spans="1:18" x14ac:dyDescent="0.45">
      <c r="A202" t="s">
        <v>335</v>
      </c>
      <c r="B202" s="13">
        <f>credit_to_gdp_ALL_ctry!B202-credit_to_gdp_ALL_ctry!B190</f>
        <v>-2.8000000000000114</v>
      </c>
      <c r="D202" s="13">
        <f>credit_to_gdp_ALL_ctry!D202-credit_to_gdp_ALL_ctry!D190</f>
        <v>11.199999999999989</v>
      </c>
      <c r="G202" s="13">
        <f>credit_to_gdp_ALL_ctry!G202-credit_to_gdp_ALL_ctry!G190</f>
        <v>15.099999999999994</v>
      </c>
      <c r="H202" s="13">
        <f>credit_to_gdp_ALL_ctry!H202-credit_to_gdp_ALL_ctry!H190</f>
        <v>3.8000000000000114</v>
      </c>
      <c r="J202" s="13">
        <f>credit_to_gdp_ALL_ctry!J202-credit_to_gdp_ALL_ctry!J190</f>
        <v>-3.4000000000000057</v>
      </c>
      <c r="N202" s="13">
        <f>credit_to_gdp_ALL_ctry!N202-credit_to_gdp_ALL_ctry!N190</f>
        <v>-17.699999999999989</v>
      </c>
      <c r="O202" s="13">
        <f>credit_to_gdp_ALL_ctry!O202-credit_to_gdp_ALL_ctry!O190</f>
        <v>14.699999999999989</v>
      </c>
      <c r="P202" s="13">
        <f>credit_to_gdp_ALL_ctry!P202-credit_to_gdp_ALL_ctry!P190</f>
        <v>22.199999999999989</v>
      </c>
      <c r="Q202" s="13">
        <f>credit_to_gdp_ALL_ctry!Q202-credit_to_gdp_ALL_ctry!Q190</f>
        <v>-3.9000000000000057</v>
      </c>
      <c r="R202" s="13">
        <f>credit_to_gdp_ALL_ctry!R202-credit_to_gdp_ALL_ctry!R190</f>
        <v>3.5</v>
      </c>
    </row>
    <row r="203" spans="1:18" x14ac:dyDescent="0.45">
      <c r="A203" t="s">
        <v>336</v>
      </c>
      <c r="B203" s="13">
        <f>credit_to_gdp_ALL_ctry!B203-credit_to_gdp_ALL_ctry!B191</f>
        <v>-2.4000000000000057</v>
      </c>
      <c r="D203" s="13">
        <f>credit_to_gdp_ALL_ctry!D203-credit_to_gdp_ALL_ctry!D191</f>
        <v>22.899999999999977</v>
      </c>
      <c r="G203" s="13">
        <f>credit_to_gdp_ALL_ctry!G203-credit_to_gdp_ALL_ctry!G191</f>
        <v>29.699999999999989</v>
      </c>
      <c r="H203" s="13">
        <f>credit_to_gdp_ALL_ctry!H203-credit_to_gdp_ALL_ctry!H191</f>
        <v>9.8000000000000114</v>
      </c>
      <c r="J203" s="13">
        <f>credit_to_gdp_ALL_ctry!J203-credit_to_gdp_ALL_ctry!J191</f>
        <v>3.4000000000000057</v>
      </c>
      <c r="N203" s="13">
        <f>credit_to_gdp_ALL_ctry!N203-credit_to_gdp_ALL_ctry!N191</f>
        <v>-3.7000000000000171</v>
      </c>
      <c r="O203" s="13">
        <f>credit_to_gdp_ALL_ctry!O203-credit_to_gdp_ALL_ctry!O191</f>
        <v>19.800000000000011</v>
      </c>
      <c r="P203" s="13">
        <f>credit_to_gdp_ALL_ctry!P203-credit_to_gdp_ALL_ctry!P191</f>
        <v>25.400000000000034</v>
      </c>
      <c r="Q203" s="13">
        <f>credit_to_gdp_ALL_ctry!Q203-credit_to_gdp_ALL_ctry!Q191</f>
        <v>6.5</v>
      </c>
      <c r="R203" s="13">
        <f>credit_to_gdp_ALL_ctry!R203-credit_to_gdp_ALL_ctry!R191</f>
        <v>8.5999999999999943</v>
      </c>
    </row>
    <row r="204" spans="1:18" x14ac:dyDescent="0.45">
      <c r="A204" t="s">
        <v>337</v>
      </c>
      <c r="B204" s="13">
        <f>credit_to_gdp_ALL_ctry!B204-credit_to_gdp_ALL_ctry!B192</f>
        <v>-0.29999999999998295</v>
      </c>
      <c r="D204" s="13">
        <f>credit_to_gdp_ALL_ctry!D204-credit_to_gdp_ALL_ctry!D192</f>
        <v>27.700000000000017</v>
      </c>
      <c r="G204" s="13">
        <f>credit_to_gdp_ALL_ctry!G204-credit_to_gdp_ALL_ctry!G192</f>
        <v>34.5</v>
      </c>
      <c r="H204" s="13">
        <f>credit_to_gdp_ALL_ctry!H204-credit_to_gdp_ALL_ctry!H192</f>
        <v>12.800000000000011</v>
      </c>
      <c r="J204" s="13">
        <f>credit_to_gdp_ALL_ctry!J204-credit_to_gdp_ALL_ctry!J192</f>
        <v>8.0999999999999943</v>
      </c>
      <c r="N204" s="13">
        <f>credit_to_gdp_ALL_ctry!N204-credit_to_gdp_ALL_ctry!N192</f>
        <v>2</v>
      </c>
      <c r="O204" s="13">
        <f>credit_to_gdp_ALL_ctry!O204-credit_to_gdp_ALL_ctry!O192</f>
        <v>22.900000000000006</v>
      </c>
      <c r="P204" s="13">
        <f>credit_to_gdp_ALL_ctry!P204-credit_to_gdp_ALL_ctry!P192</f>
        <v>29.699999999999989</v>
      </c>
      <c r="Q204" s="13">
        <f>credit_to_gdp_ALL_ctry!Q204-credit_to_gdp_ALL_ctry!Q192</f>
        <v>9.2000000000000171</v>
      </c>
      <c r="R204" s="13">
        <f>credit_to_gdp_ALL_ctry!R204-credit_to_gdp_ALL_ctry!R192</f>
        <v>9.5</v>
      </c>
    </row>
    <row r="205" spans="1:18" x14ac:dyDescent="0.45">
      <c r="A205" t="s">
        <v>338</v>
      </c>
      <c r="B205" s="13">
        <f>credit_to_gdp_ALL_ctry!B205-credit_to_gdp_ALL_ctry!B193</f>
        <v>-2.2999999999999829</v>
      </c>
      <c r="D205" s="13">
        <f>credit_to_gdp_ALL_ctry!D205-credit_to_gdp_ALL_ctry!D193</f>
        <v>30.900000000000006</v>
      </c>
      <c r="G205" s="13">
        <f>credit_to_gdp_ALL_ctry!G205-credit_to_gdp_ALL_ctry!G193</f>
        <v>38.199999999999989</v>
      </c>
      <c r="H205" s="13">
        <f>credit_to_gdp_ALL_ctry!H205-credit_to_gdp_ALL_ctry!H193</f>
        <v>14.799999999999983</v>
      </c>
      <c r="J205" s="13">
        <f>credit_to_gdp_ALL_ctry!J205-credit_to_gdp_ALL_ctry!J193</f>
        <v>10</v>
      </c>
      <c r="N205" s="13">
        <f>credit_to_gdp_ALL_ctry!N205-credit_to_gdp_ALL_ctry!N193</f>
        <v>9.1000000000000227</v>
      </c>
      <c r="O205" s="13">
        <f>credit_to_gdp_ALL_ctry!O205-credit_to_gdp_ALL_ctry!O193</f>
        <v>21.099999999999966</v>
      </c>
      <c r="P205" s="13">
        <f>credit_to_gdp_ALL_ctry!P205-credit_to_gdp_ALL_ctry!P193</f>
        <v>24.5</v>
      </c>
      <c r="Q205" s="13">
        <f>credit_to_gdp_ALL_ctry!Q205-credit_to_gdp_ALL_ctry!Q193</f>
        <v>12</v>
      </c>
      <c r="R205" s="13">
        <f>credit_to_gdp_ALL_ctry!R205-credit_to_gdp_ALL_ctry!R193</f>
        <v>10.200000000000017</v>
      </c>
    </row>
    <row r="206" spans="1:18" x14ac:dyDescent="0.45">
      <c r="A206" t="s">
        <v>339</v>
      </c>
      <c r="B206" s="13">
        <f>credit_to_gdp_ALL_ctry!B206-credit_to_gdp_ALL_ctry!B194</f>
        <v>-4</v>
      </c>
      <c r="D206" s="13">
        <f>credit_to_gdp_ALL_ctry!D206-credit_to_gdp_ALL_ctry!D194</f>
        <v>29.299999999999983</v>
      </c>
      <c r="G206" s="13">
        <f>credit_to_gdp_ALL_ctry!G206-credit_to_gdp_ALL_ctry!G194</f>
        <v>35.200000000000017</v>
      </c>
      <c r="H206" s="13">
        <f>credit_to_gdp_ALL_ctry!H206-credit_to_gdp_ALL_ctry!H194</f>
        <v>17.699999999999989</v>
      </c>
      <c r="J206" s="13">
        <f>credit_to_gdp_ALL_ctry!J206-credit_to_gdp_ALL_ctry!J194</f>
        <v>10.800000000000011</v>
      </c>
      <c r="N206" s="13">
        <f>credit_to_gdp_ALL_ctry!N206-credit_to_gdp_ALL_ctry!N194</f>
        <v>12</v>
      </c>
      <c r="O206" s="13">
        <f>credit_to_gdp_ALL_ctry!O206-credit_to_gdp_ALL_ctry!O194</f>
        <v>25.799999999999983</v>
      </c>
      <c r="P206" s="13">
        <f>credit_to_gdp_ALL_ctry!P206-credit_to_gdp_ALL_ctry!P194</f>
        <v>31.000000000000028</v>
      </c>
      <c r="Q206" s="13">
        <f>credit_to_gdp_ALL_ctry!Q206-credit_to_gdp_ALL_ctry!Q194</f>
        <v>15.400000000000006</v>
      </c>
      <c r="R206" s="13">
        <f>credit_to_gdp_ALL_ctry!R206-credit_to_gdp_ALL_ctry!R194</f>
        <v>11.299999999999983</v>
      </c>
    </row>
    <row r="207" spans="1:18" x14ac:dyDescent="0.45">
      <c r="A207" t="s">
        <v>340</v>
      </c>
      <c r="B207" s="13">
        <f>credit_to_gdp_ALL_ctry!B207-credit_to_gdp_ALL_ctry!B195</f>
        <v>-8</v>
      </c>
      <c r="D207" s="13">
        <f>credit_to_gdp_ALL_ctry!D207-credit_to_gdp_ALL_ctry!D195</f>
        <v>21.099999999999994</v>
      </c>
      <c r="G207" s="13">
        <f>credit_to_gdp_ALL_ctry!G207-credit_to_gdp_ALL_ctry!G195</f>
        <v>26.600000000000023</v>
      </c>
      <c r="H207" s="13">
        <f>credit_to_gdp_ALL_ctry!H207-credit_to_gdp_ALL_ctry!H195</f>
        <v>14</v>
      </c>
      <c r="J207" s="13">
        <f>credit_to_gdp_ALL_ctry!J207-credit_to_gdp_ALL_ctry!J195</f>
        <v>6.1000000000000085</v>
      </c>
      <c r="N207" s="13">
        <f>credit_to_gdp_ALL_ctry!N207-credit_to_gdp_ALL_ctry!N195</f>
        <v>7.2999999999999829</v>
      </c>
      <c r="O207" s="13">
        <f>credit_to_gdp_ALL_ctry!O207-credit_to_gdp_ALL_ctry!O195</f>
        <v>22.199999999999989</v>
      </c>
      <c r="P207" s="13">
        <f>credit_to_gdp_ALL_ctry!P207-credit_to_gdp_ALL_ctry!P195</f>
        <v>34.800000000000011</v>
      </c>
      <c r="Q207" s="13">
        <f>credit_to_gdp_ALL_ctry!Q207-credit_to_gdp_ALL_ctry!Q195</f>
        <v>11.400000000000006</v>
      </c>
      <c r="R207" s="13">
        <f>credit_to_gdp_ALL_ctry!R207-credit_to_gdp_ALL_ctry!R195</f>
        <v>8.6999999999999886</v>
      </c>
    </row>
    <row r="208" spans="1:18" x14ac:dyDescent="0.45">
      <c r="A208" t="s">
        <v>341</v>
      </c>
      <c r="B208" s="13">
        <f>credit_to_gdp_ALL_ctry!B208-credit_to_gdp_ALL_ctry!B196</f>
        <v>-10.600000000000023</v>
      </c>
      <c r="D208" s="13">
        <f>credit_to_gdp_ALL_ctry!D208-credit_to_gdp_ALL_ctry!D196</f>
        <v>18.900000000000006</v>
      </c>
      <c r="G208" s="13">
        <f>credit_to_gdp_ALL_ctry!G208-credit_to_gdp_ALL_ctry!G196</f>
        <v>23.5</v>
      </c>
      <c r="H208" s="13">
        <f>credit_to_gdp_ALL_ctry!H208-credit_to_gdp_ALL_ctry!H196</f>
        <v>12.5</v>
      </c>
      <c r="J208" s="13">
        <f>credit_to_gdp_ALL_ctry!J208-credit_to_gdp_ALL_ctry!J196</f>
        <v>4.2000000000000028</v>
      </c>
      <c r="N208" s="13">
        <f>credit_to_gdp_ALL_ctry!N208-credit_to_gdp_ALL_ctry!N196</f>
        <v>4.9000000000000057</v>
      </c>
      <c r="O208" s="13">
        <f>credit_to_gdp_ALL_ctry!O208-credit_to_gdp_ALL_ctry!O196</f>
        <v>22.399999999999977</v>
      </c>
      <c r="P208" s="13">
        <f>credit_to_gdp_ALL_ctry!P208-credit_to_gdp_ALL_ctry!P196</f>
        <v>35.300000000000011</v>
      </c>
      <c r="Q208" s="13">
        <f>credit_to_gdp_ALL_ctry!Q208-credit_to_gdp_ALL_ctry!Q196</f>
        <v>10.400000000000006</v>
      </c>
      <c r="R208" s="13">
        <f>credit_to_gdp_ALL_ctry!R208-credit_to_gdp_ALL_ctry!R196</f>
        <v>7.4000000000000057</v>
      </c>
    </row>
    <row r="209" spans="1:18" x14ac:dyDescent="0.45">
      <c r="A209" t="s">
        <v>342</v>
      </c>
      <c r="B209" s="13">
        <f>credit_to_gdp_ALL_ctry!B209-credit_to_gdp_ALL_ctry!B197</f>
        <v>-12.400000000000006</v>
      </c>
      <c r="D209" s="13">
        <f>credit_to_gdp_ALL_ctry!D209-credit_to_gdp_ALL_ctry!D197</f>
        <v>14.599999999999994</v>
      </c>
      <c r="G209" s="13">
        <f>credit_to_gdp_ALL_ctry!G209-credit_to_gdp_ALL_ctry!G197</f>
        <v>21.600000000000023</v>
      </c>
      <c r="H209" s="13">
        <f>credit_to_gdp_ALL_ctry!H209-credit_to_gdp_ALL_ctry!H197</f>
        <v>12.699999999999989</v>
      </c>
      <c r="J209" s="13">
        <f>credit_to_gdp_ALL_ctry!J209-credit_to_gdp_ALL_ctry!J197</f>
        <v>4.0999999999999943</v>
      </c>
      <c r="N209" s="13">
        <f>credit_to_gdp_ALL_ctry!N209-credit_to_gdp_ALL_ctry!N197</f>
        <v>3</v>
      </c>
      <c r="O209" s="13">
        <f>credit_to_gdp_ALL_ctry!O209-credit_to_gdp_ALL_ctry!O197</f>
        <v>30.899999999999977</v>
      </c>
      <c r="P209" s="13">
        <f>credit_to_gdp_ALL_ctry!P209-credit_to_gdp_ALL_ctry!P197</f>
        <v>32.000000000000028</v>
      </c>
      <c r="Q209" s="13">
        <f>credit_to_gdp_ALL_ctry!Q209-credit_to_gdp_ALL_ctry!Q197</f>
        <v>7.2000000000000171</v>
      </c>
      <c r="R209" s="13">
        <f>credit_to_gdp_ALL_ctry!R209-credit_to_gdp_ALL_ctry!R197</f>
        <v>6</v>
      </c>
    </row>
    <row r="210" spans="1:18" x14ac:dyDescent="0.45">
      <c r="A210" t="s">
        <v>343</v>
      </c>
      <c r="B210" s="13">
        <f>credit_to_gdp_ALL_ctry!B210-credit_to_gdp_ALL_ctry!B198</f>
        <v>-14.599999999999994</v>
      </c>
      <c r="D210" s="13">
        <f>credit_to_gdp_ALL_ctry!D210-credit_to_gdp_ALL_ctry!D198</f>
        <v>7.2999999999999829</v>
      </c>
      <c r="G210" s="13">
        <f>credit_to_gdp_ALL_ctry!G210-credit_to_gdp_ALL_ctry!G198</f>
        <v>18.299999999999983</v>
      </c>
      <c r="H210" s="13">
        <f>credit_to_gdp_ALL_ctry!H210-credit_to_gdp_ALL_ctry!H198</f>
        <v>10.899999999999977</v>
      </c>
      <c r="J210" s="13">
        <f>credit_to_gdp_ALL_ctry!J210-credit_to_gdp_ALL_ctry!J198</f>
        <v>2.2000000000000028</v>
      </c>
      <c r="N210" s="13">
        <f>credit_to_gdp_ALL_ctry!N210-credit_to_gdp_ALL_ctry!N198</f>
        <v>-1.2999999999999829</v>
      </c>
      <c r="O210" s="13">
        <f>credit_to_gdp_ALL_ctry!O210-credit_to_gdp_ALL_ctry!O198</f>
        <v>24.799999999999983</v>
      </c>
      <c r="P210" s="13">
        <f>credit_to_gdp_ALL_ctry!P210-credit_to_gdp_ALL_ctry!P198</f>
        <v>29.500000000000028</v>
      </c>
      <c r="Q210" s="13">
        <f>credit_to_gdp_ALL_ctry!Q210-credit_to_gdp_ALL_ctry!Q198</f>
        <v>4</v>
      </c>
      <c r="R210" s="13">
        <f>credit_to_gdp_ALL_ctry!R210-credit_to_gdp_ALL_ctry!R198</f>
        <v>4.7999999999999829</v>
      </c>
    </row>
    <row r="211" spans="1:18" x14ac:dyDescent="0.45">
      <c r="A211" t="s">
        <v>344</v>
      </c>
      <c r="B211" s="13">
        <f>credit_to_gdp_ALL_ctry!B211-credit_to_gdp_ALL_ctry!B199</f>
        <v>-14.799999999999983</v>
      </c>
      <c r="D211" s="13">
        <f>credit_to_gdp_ALL_ctry!D211-credit_to_gdp_ALL_ctry!D199</f>
        <v>-1.1999999999999886</v>
      </c>
      <c r="G211" s="13">
        <f>credit_to_gdp_ALL_ctry!G211-credit_to_gdp_ALL_ctry!G199</f>
        <v>15.600000000000023</v>
      </c>
      <c r="H211" s="13">
        <f>credit_to_gdp_ALL_ctry!H211-credit_to_gdp_ALL_ctry!H199</f>
        <v>9.3000000000000114</v>
      </c>
      <c r="J211" s="13">
        <f>credit_to_gdp_ALL_ctry!J211-credit_to_gdp_ALL_ctry!J199</f>
        <v>0.39999999999999147</v>
      </c>
      <c r="N211" s="13">
        <f>credit_to_gdp_ALL_ctry!N211-credit_to_gdp_ALL_ctry!N199</f>
        <v>-4.2000000000000171</v>
      </c>
      <c r="O211" s="13">
        <f>credit_to_gdp_ALL_ctry!O211-credit_to_gdp_ALL_ctry!O199</f>
        <v>22.099999999999994</v>
      </c>
      <c r="P211" s="13">
        <f>credit_to_gdp_ALL_ctry!P211-credit_to_gdp_ALL_ctry!P199</f>
        <v>24.200000000000017</v>
      </c>
      <c r="Q211" s="13">
        <f>credit_to_gdp_ALL_ctry!Q211-credit_to_gdp_ALL_ctry!Q199</f>
        <v>-0.59999999999999432</v>
      </c>
      <c r="R211" s="13">
        <f>credit_to_gdp_ALL_ctry!R211-credit_to_gdp_ALL_ctry!R199</f>
        <v>3.3000000000000114</v>
      </c>
    </row>
    <row r="212" spans="1:18" x14ac:dyDescent="0.45">
      <c r="A212" t="s">
        <v>345</v>
      </c>
      <c r="B212" s="13">
        <f>credit_to_gdp_ALL_ctry!B212-credit_to_gdp_ALL_ctry!B200</f>
        <v>-16.300000000000011</v>
      </c>
      <c r="D212" s="13">
        <f>credit_to_gdp_ALL_ctry!D212-credit_to_gdp_ALL_ctry!D200</f>
        <v>-5.1999999999999886</v>
      </c>
      <c r="G212" s="13">
        <f>credit_to_gdp_ALL_ctry!G212-credit_to_gdp_ALL_ctry!G200</f>
        <v>14.199999999999989</v>
      </c>
      <c r="H212" s="13">
        <f>credit_to_gdp_ALL_ctry!H212-credit_to_gdp_ALL_ctry!H200</f>
        <v>10.299999999999983</v>
      </c>
      <c r="J212" s="13">
        <f>credit_to_gdp_ALL_ctry!J212-credit_to_gdp_ALL_ctry!J200</f>
        <v>-1.3000000000000114</v>
      </c>
      <c r="N212" s="13">
        <f>credit_to_gdp_ALL_ctry!N212-credit_to_gdp_ALL_ctry!N200</f>
        <v>-6.5</v>
      </c>
      <c r="O212" s="13">
        <f>credit_to_gdp_ALL_ctry!O212-credit_to_gdp_ALL_ctry!O200</f>
        <v>23.400000000000006</v>
      </c>
      <c r="P212" s="13">
        <f>credit_to_gdp_ALL_ctry!P212-credit_to_gdp_ALL_ctry!P200</f>
        <v>14.699999999999989</v>
      </c>
      <c r="Q212" s="13">
        <f>credit_to_gdp_ALL_ctry!Q212-credit_to_gdp_ALL_ctry!Q200</f>
        <v>-3.9000000000000057</v>
      </c>
      <c r="R212" s="13">
        <f>credit_to_gdp_ALL_ctry!R212-credit_to_gdp_ALL_ctry!R200</f>
        <v>1.4000000000000057</v>
      </c>
    </row>
    <row r="213" spans="1:18" x14ac:dyDescent="0.45">
      <c r="A213" t="s">
        <v>346</v>
      </c>
      <c r="B213" s="13">
        <f>credit_to_gdp_ALL_ctry!B213-credit_to_gdp_ALL_ctry!B201</f>
        <v>-18.900000000000006</v>
      </c>
      <c r="D213" s="13">
        <f>credit_to_gdp_ALL_ctry!D213-credit_to_gdp_ALL_ctry!D201</f>
        <v>-7</v>
      </c>
      <c r="G213" s="13">
        <f>credit_to_gdp_ALL_ctry!G213-credit_to_gdp_ALL_ctry!G201</f>
        <v>12.900000000000006</v>
      </c>
      <c r="H213" s="13">
        <f>credit_to_gdp_ALL_ctry!H213-credit_to_gdp_ALL_ctry!H201</f>
        <v>8.5</v>
      </c>
      <c r="J213" s="13">
        <f>credit_to_gdp_ALL_ctry!J213-credit_to_gdp_ALL_ctry!J201</f>
        <v>-2.1000000000000085</v>
      </c>
      <c r="N213" s="13">
        <f>credit_to_gdp_ALL_ctry!N213-credit_to_gdp_ALL_ctry!N201</f>
        <v>-9.2000000000000171</v>
      </c>
      <c r="O213" s="13">
        <f>credit_to_gdp_ALL_ctry!O213-credit_to_gdp_ALL_ctry!O201</f>
        <v>25.499999999999972</v>
      </c>
      <c r="P213" s="13">
        <f>credit_to_gdp_ALL_ctry!P213-credit_to_gdp_ALL_ctry!P201</f>
        <v>0.69999999999998863</v>
      </c>
      <c r="Q213" s="13">
        <f>credit_to_gdp_ALL_ctry!Q213-credit_to_gdp_ALL_ctry!Q201</f>
        <v>-5.2999999999999829</v>
      </c>
      <c r="R213" s="13">
        <f>credit_to_gdp_ALL_ctry!R213-credit_to_gdp_ALL_ctry!R201</f>
        <v>0.40000000000000568</v>
      </c>
    </row>
    <row r="214" spans="1:18" x14ac:dyDescent="0.45">
      <c r="A214" t="s">
        <v>347</v>
      </c>
      <c r="B214" s="13">
        <f>credit_to_gdp_ALL_ctry!B214-credit_to_gdp_ALL_ctry!B202</f>
        <v>-23.799999999999983</v>
      </c>
      <c r="D214" s="13">
        <f>credit_to_gdp_ALL_ctry!D214-credit_to_gdp_ALL_ctry!D202</f>
        <v>-11.399999999999977</v>
      </c>
      <c r="G214" s="13">
        <f>credit_to_gdp_ALL_ctry!G214-credit_to_gdp_ALL_ctry!G202</f>
        <v>7</v>
      </c>
      <c r="H214" s="13">
        <f>credit_to_gdp_ALL_ctry!H214-credit_to_gdp_ALL_ctry!H202</f>
        <v>5.0999999999999943</v>
      </c>
      <c r="J214" s="13">
        <f>credit_to_gdp_ALL_ctry!J214-credit_to_gdp_ALL_ctry!J202</f>
        <v>-6.5</v>
      </c>
      <c r="N214" s="13">
        <f>credit_to_gdp_ALL_ctry!N214-credit_to_gdp_ALL_ctry!N202</f>
        <v>-14</v>
      </c>
      <c r="O214" s="13">
        <f>credit_to_gdp_ALL_ctry!O214-credit_to_gdp_ALL_ctry!O202</f>
        <v>-5.5</v>
      </c>
      <c r="P214" s="13">
        <f>credit_to_gdp_ALL_ctry!P214-credit_to_gdp_ALL_ctry!P202</f>
        <v>1.8999999999999773</v>
      </c>
      <c r="Q214" s="13">
        <f>credit_to_gdp_ALL_ctry!Q214-credit_to_gdp_ALL_ctry!Q202</f>
        <v>-12.799999999999983</v>
      </c>
      <c r="R214" s="13">
        <f>credit_to_gdp_ALL_ctry!R214-credit_to_gdp_ALL_ctry!R202</f>
        <v>-4.5</v>
      </c>
    </row>
    <row r="215" spans="1:18" x14ac:dyDescent="0.45">
      <c r="A215" t="s">
        <v>348</v>
      </c>
      <c r="B215" s="13">
        <f>credit_to_gdp_ALL_ctry!B215-credit_to_gdp_ALL_ctry!B203</f>
        <v>-24</v>
      </c>
      <c r="D215" s="13">
        <f>credit_to_gdp_ALL_ctry!D215-credit_to_gdp_ALL_ctry!D203</f>
        <v>-21.899999999999977</v>
      </c>
      <c r="G215" s="13">
        <f>credit_to_gdp_ALL_ctry!G215-credit_to_gdp_ALL_ctry!G203</f>
        <v>-10.699999999999989</v>
      </c>
      <c r="H215" s="13">
        <f>credit_to_gdp_ALL_ctry!H215-credit_to_gdp_ALL_ctry!H203</f>
        <v>-1.8000000000000114</v>
      </c>
      <c r="J215" s="13">
        <f>credit_to_gdp_ALL_ctry!J215-credit_to_gdp_ALL_ctry!J203</f>
        <v>-14.200000000000003</v>
      </c>
      <c r="N215" s="13">
        <f>credit_to_gdp_ALL_ctry!N215-credit_to_gdp_ALL_ctry!N203</f>
        <v>-28.099999999999994</v>
      </c>
      <c r="O215" s="13">
        <f>credit_to_gdp_ALL_ctry!O215-credit_to_gdp_ALL_ctry!O203</f>
        <v>-9.1000000000000227</v>
      </c>
      <c r="P215" s="13">
        <f>credit_to_gdp_ALL_ctry!P215-credit_to_gdp_ALL_ctry!P203</f>
        <v>-8.1000000000000227</v>
      </c>
      <c r="Q215" s="13">
        <f>credit_to_gdp_ALL_ctry!Q215-credit_to_gdp_ALL_ctry!Q203</f>
        <v>-25.300000000000011</v>
      </c>
      <c r="R215" s="13">
        <f>credit_to_gdp_ALL_ctry!R215-credit_to_gdp_ALL_ctry!R203</f>
        <v>-11.900000000000006</v>
      </c>
    </row>
    <row r="216" spans="1:18" x14ac:dyDescent="0.45">
      <c r="A216" t="s">
        <v>349</v>
      </c>
      <c r="B216" s="13">
        <f>credit_to_gdp_ALL_ctry!B216-credit_to_gdp_ALL_ctry!B204</f>
        <v>-24.400000000000006</v>
      </c>
      <c r="D216" s="13">
        <f>credit_to_gdp_ALL_ctry!D216-credit_to_gdp_ALL_ctry!D204</f>
        <v>-25.900000000000006</v>
      </c>
      <c r="G216" s="13">
        <f>credit_to_gdp_ALL_ctry!G216-credit_to_gdp_ALL_ctry!G204</f>
        <v>-17.599999999999994</v>
      </c>
      <c r="H216" s="13">
        <f>credit_to_gdp_ALL_ctry!H216-credit_to_gdp_ALL_ctry!H204</f>
        <v>-6.1000000000000227</v>
      </c>
      <c r="J216" s="13">
        <f>credit_to_gdp_ALL_ctry!J216-credit_to_gdp_ALL_ctry!J204</f>
        <v>-20.099999999999994</v>
      </c>
      <c r="N216" s="13">
        <f>credit_to_gdp_ALL_ctry!N216-credit_to_gdp_ALL_ctry!N204</f>
        <v>-34.200000000000017</v>
      </c>
      <c r="O216" s="13">
        <f>credit_to_gdp_ALL_ctry!O216-credit_to_gdp_ALL_ctry!O204</f>
        <v>-19.599999999999994</v>
      </c>
      <c r="P216" s="13">
        <f>credit_to_gdp_ALL_ctry!P216-credit_to_gdp_ALL_ctry!P204</f>
        <v>-13.800000000000011</v>
      </c>
      <c r="Q216" s="13">
        <f>credit_to_gdp_ALL_ctry!Q216-credit_to_gdp_ALL_ctry!Q204</f>
        <v>-29.600000000000023</v>
      </c>
      <c r="R216" s="13">
        <f>credit_to_gdp_ALL_ctry!R216-credit_to_gdp_ALL_ctry!R204</f>
        <v>-14.5</v>
      </c>
    </row>
    <row r="217" spans="1:18" x14ac:dyDescent="0.45">
      <c r="A217" t="s">
        <v>350</v>
      </c>
      <c r="B217" s="13">
        <f>credit_to_gdp_ALL_ctry!B217-credit_to_gdp_ALL_ctry!B205</f>
        <v>-22.600000000000023</v>
      </c>
      <c r="D217" s="13">
        <f>credit_to_gdp_ALL_ctry!D217-credit_to_gdp_ALL_ctry!D205</f>
        <v>-28.699999999999989</v>
      </c>
      <c r="G217" s="13">
        <f>credit_to_gdp_ALL_ctry!G217-credit_to_gdp_ALL_ctry!G205</f>
        <v>-23.099999999999994</v>
      </c>
      <c r="H217" s="13">
        <f>credit_to_gdp_ALL_ctry!H217-credit_to_gdp_ALL_ctry!H205</f>
        <v>-9.0999999999999943</v>
      </c>
      <c r="J217" s="13">
        <f>credit_to_gdp_ALL_ctry!J217-credit_to_gdp_ALL_ctry!J205</f>
        <v>-22.599999999999994</v>
      </c>
      <c r="N217" s="13">
        <f>credit_to_gdp_ALL_ctry!N217-credit_to_gdp_ALL_ctry!N205</f>
        <v>-40.700000000000017</v>
      </c>
      <c r="O217" s="13">
        <f>credit_to_gdp_ALL_ctry!O217-credit_to_gdp_ALL_ctry!O205</f>
        <v>-25.699999999999989</v>
      </c>
      <c r="P217" s="13">
        <f>credit_to_gdp_ALL_ctry!P217-credit_to_gdp_ALL_ctry!P205</f>
        <v>-18.100000000000023</v>
      </c>
      <c r="Q217" s="13">
        <f>credit_to_gdp_ALL_ctry!Q217-credit_to_gdp_ALL_ctry!Q205</f>
        <v>-34</v>
      </c>
      <c r="R217" s="13">
        <f>credit_to_gdp_ALL_ctry!R217-credit_to_gdp_ALL_ctry!R205</f>
        <v>-17.200000000000017</v>
      </c>
    </row>
    <row r="218" spans="1:18" x14ac:dyDescent="0.45">
      <c r="A218" t="s">
        <v>351</v>
      </c>
      <c r="B218" s="13">
        <f>credit_to_gdp_ALL_ctry!B218-credit_to_gdp_ALL_ctry!B206</f>
        <v>-20.599999999999994</v>
      </c>
      <c r="D218" s="13">
        <f>credit_to_gdp_ALL_ctry!D218-credit_to_gdp_ALL_ctry!D206</f>
        <v>-29.599999999999994</v>
      </c>
      <c r="G218" s="13">
        <f>credit_to_gdp_ALL_ctry!G218-credit_to_gdp_ALL_ctry!G206</f>
        <v>-23.700000000000017</v>
      </c>
      <c r="H218" s="13">
        <f>credit_to_gdp_ALL_ctry!H218-credit_to_gdp_ALL_ctry!H206</f>
        <v>-11.900000000000006</v>
      </c>
      <c r="J218" s="13">
        <f>credit_to_gdp_ALL_ctry!J218-credit_to_gdp_ALL_ctry!J206</f>
        <v>-23.800000000000011</v>
      </c>
      <c r="N218" s="13">
        <f>credit_to_gdp_ALL_ctry!N218-credit_to_gdp_ALL_ctry!N206</f>
        <v>-42.900000000000006</v>
      </c>
      <c r="O218" s="13">
        <f>credit_to_gdp_ALL_ctry!O218-credit_to_gdp_ALL_ctry!O206</f>
        <v>-20.799999999999983</v>
      </c>
      <c r="P218" s="13">
        <f>credit_to_gdp_ALL_ctry!P218-credit_to_gdp_ALL_ctry!P206</f>
        <v>-26.600000000000023</v>
      </c>
      <c r="Q218" s="13">
        <f>credit_to_gdp_ALL_ctry!Q218-credit_to_gdp_ALL_ctry!Q206</f>
        <v>-36.800000000000011</v>
      </c>
      <c r="R218" s="13">
        <f>credit_to_gdp_ALL_ctry!R218-credit_to_gdp_ALL_ctry!R206</f>
        <v>-18.5</v>
      </c>
    </row>
    <row r="219" spans="1:18" x14ac:dyDescent="0.45">
      <c r="A219" t="s">
        <v>352</v>
      </c>
      <c r="B219" s="13">
        <f>credit_to_gdp_ALL_ctry!B219-credit_to_gdp_ALL_ctry!B207</f>
        <v>-15.399999999999977</v>
      </c>
      <c r="D219" s="13">
        <f>credit_to_gdp_ALL_ctry!D219-credit_to_gdp_ALL_ctry!D207</f>
        <v>-23</v>
      </c>
      <c r="G219" s="13">
        <f>credit_to_gdp_ALL_ctry!G219-credit_to_gdp_ALL_ctry!G207</f>
        <v>-17</v>
      </c>
      <c r="H219" s="13">
        <f>credit_to_gdp_ALL_ctry!H219-credit_to_gdp_ALL_ctry!H207</f>
        <v>-9.5</v>
      </c>
      <c r="J219" s="13">
        <f>credit_to_gdp_ALL_ctry!J219-credit_to_gdp_ALL_ctry!J207</f>
        <v>-20.100000000000009</v>
      </c>
      <c r="N219" s="13">
        <f>credit_to_gdp_ALL_ctry!N219-credit_to_gdp_ALL_ctry!N207</f>
        <v>-38.699999999999989</v>
      </c>
      <c r="O219" s="13">
        <f>credit_to_gdp_ALL_ctry!O219-credit_to_gdp_ALL_ctry!O207</f>
        <v>-16.599999999999994</v>
      </c>
      <c r="P219" s="13">
        <f>credit_to_gdp_ALL_ctry!P219-credit_to_gdp_ALL_ctry!P207</f>
        <v>-19.800000000000011</v>
      </c>
      <c r="Q219" s="13">
        <f>credit_to_gdp_ALL_ctry!Q219-credit_to_gdp_ALL_ctry!Q207</f>
        <v>-33</v>
      </c>
      <c r="R219" s="13">
        <f>credit_to_gdp_ALL_ctry!R219-credit_to_gdp_ALL_ctry!R207</f>
        <v>-17.400000000000006</v>
      </c>
    </row>
    <row r="220" spans="1:18" x14ac:dyDescent="0.45">
      <c r="A220" t="s">
        <v>353</v>
      </c>
      <c r="B220" s="13">
        <f>credit_to_gdp_ALL_ctry!B220-credit_to_gdp_ALL_ctry!B208</f>
        <v>-12.399999999999977</v>
      </c>
      <c r="D220" s="13">
        <f>credit_to_gdp_ALL_ctry!D220-credit_to_gdp_ALL_ctry!D208</f>
        <v>-19</v>
      </c>
      <c r="G220" s="13">
        <f>credit_to_gdp_ALL_ctry!G220-credit_to_gdp_ALL_ctry!G208</f>
        <v>-15.699999999999989</v>
      </c>
      <c r="H220" s="13">
        <f>credit_to_gdp_ALL_ctry!H220-credit_to_gdp_ALL_ctry!H208</f>
        <v>-8.5999999999999943</v>
      </c>
      <c r="J220" s="13">
        <f>credit_to_gdp_ALL_ctry!J220-credit_to_gdp_ALL_ctry!J208</f>
        <v>-19</v>
      </c>
      <c r="N220" s="13">
        <f>credit_to_gdp_ALL_ctry!N220-credit_to_gdp_ALL_ctry!N208</f>
        <v>-36.200000000000017</v>
      </c>
      <c r="O220" s="13">
        <f>credit_to_gdp_ALL_ctry!O220-credit_to_gdp_ALL_ctry!O208</f>
        <v>-14.299999999999983</v>
      </c>
      <c r="P220" s="13">
        <f>credit_to_gdp_ALL_ctry!P220-credit_to_gdp_ALL_ctry!P208</f>
        <v>-20.300000000000011</v>
      </c>
      <c r="Q220" s="13">
        <f>credit_to_gdp_ALL_ctry!Q220-credit_to_gdp_ALL_ctry!Q208</f>
        <v>-31.700000000000017</v>
      </c>
      <c r="R220" s="13">
        <f>credit_to_gdp_ALL_ctry!R220-credit_to_gdp_ALL_ctry!R208</f>
        <v>-16.200000000000017</v>
      </c>
    </row>
    <row r="221" spans="1:18" x14ac:dyDescent="0.45">
      <c r="A221" t="s">
        <v>354</v>
      </c>
      <c r="B221" s="13">
        <f>credit_to_gdp_ALL_ctry!B221-credit_to_gdp_ALL_ctry!B209</f>
        <v>-7.7000000000000171</v>
      </c>
      <c r="D221" s="13">
        <f>credit_to_gdp_ALL_ctry!D221-credit_to_gdp_ALL_ctry!D209</f>
        <v>-16.399999999999977</v>
      </c>
      <c r="G221" s="13">
        <f>credit_to_gdp_ALL_ctry!G221-credit_to_gdp_ALL_ctry!G209</f>
        <v>-14</v>
      </c>
      <c r="H221" s="13">
        <f>credit_to_gdp_ALL_ctry!H221-credit_to_gdp_ALL_ctry!H209</f>
        <v>-8.9000000000000057</v>
      </c>
      <c r="J221" s="13">
        <f>credit_to_gdp_ALL_ctry!J221-credit_to_gdp_ALL_ctry!J209</f>
        <v>-18.099999999999994</v>
      </c>
      <c r="N221" s="13">
        <f>credit_to_gdp_ALL_ctry!N221-credit_to_gdp_ALL_ctry!N209</f>
        <v>-35.299999999999997</v>
      </c>
      <c r="O221" s="13">
        <f>credit_to_gdp_ALL_ctry!O221-credit_to_gdp_ALL_ctry!O209</f>
        <v>-23.499999999999972</v>
      </c>
      <c r="P221" s="13">
        <f>credit_to_gdp_ALL_ctry!P221-credit_to_gdp_ALL_ctry!P209</f>
        <v>-17.100000000000023</v>
      </c>
      <c r="Q221" s="13">
        <f>credit_to_gdp_ALL_ctry!Q221-credit_to_gdp_ALL_ctry!Q209</f>
        <v>-28.200000000000017</v>
      </c>
      <c r="R221" s="13">
        <f>credit_to_gdp_ALL_ctry!R221-credit_to_gdp_ALL_ctry!R209</f>
        <v>-16.900000000000006</v>
      </c>
    </row>
    <row r="222" spans="1:18" s="4" customFormat="1" x14ac:dyDescent="0.45">
      <c r="A222" s="40" t="s">
        <v>355</v>
      </c>
      <c r="B222" s="39">
        <f>credit_to_gdp_ALL_ctry!B222-credit_to_gdp_ALL_ctry!B210</f>
        <v>-4.0999999999999943</v>
      </c>
      <c r="C222" s="40"/>
      <c r="D222" s="39">
        <f>credit_to_gdp_ALL_ctry!D222-credit_to_gdp_ALL_ctry!D210</f>
        <v>-10.799999999999983</v>
      </c>
      <c r="E222" s="40"/>
      <c r="F222" s="40"/>
      <c r="G222" s="39">
        <f>credit_to_gdp_ALL_ctry!G222-credit_to_gdp_ALL_ctry!G210</f>
        <v>-11.5</v>
      </c>
      <c r="H222" s="39">
        <f>credit_to_gdp_ALL_ctry!H222-credit_to_gdp_ALL_ctry!H210</f>
        <v>-7.5</v>
      </c>
      <c r="I222" s="40"/>
      <c r="J222" s="39">
        <f>credit_to_gdp_ALL_ctry!J222-credit_to_gdp_ALL_ctry!J210</f>
        <v>-15.700000000000003</v>
      </c>
      <c r="K222" s="40"/>
      <c r="L222" s="40"/>
      <c r="M222" s="40"/>
      <c r="N222" s="39">
        <f>credit_to_gdp_ALL_ctry!N222-credit_to_gdp_ALL_ctry!N210</f>
        <v>-31.300000000000011</v>
      </c>
      <c r="O222" s="39">
        <f>credit_to_gdp_ALL_ctry!O222-credit_to_gdp_ALL_ctry!O210</f>
        <v>-32.799999999999983</v>
      </c>
      <c r="P222" s="39">
        <f>credit_to_gdp_ALL_ctry!P222-credit_to_gdp_ALL_ctry!P210</f>
        <v>-17.200000000000017</v>
      </c>
      <c r="Q222" s="39">
        <f>credit_to_gdp_ALL_ctry!Q222-credit_to_gdp_ALL_ctry!Q210</f>
        <v>-23.899999999999977</v>
      </c>
      <c r="R222" s="39">
        <f>credit_to_gdp_ALL_ctry!R222-credit_to_gdp_ALL_ctry!R210</f>
        <v>-16.599999999999994</v>
      </c>
    </row>
    <row r="223" spans="1:18" x14ac:dyDescent="0.45">
      <c r="A223" s="40" t="s">
        <v>356</v>
      </c>
      <c r="B223" s="39">
        <f>credit_to_gdp_ALL_ctry!B223-credit_to_gdp_ALL_ctry!B211</f>
        <v>-1.9000000000000057</v>
      </c>
      <c r="D223" s="39">
        <f>credit_to_gdp_ALL_ctry!D223-credit_to_gdp_ALL_ctry!D211</f>
        <v>-5.1000000000000227</v>
      </c>
      <c r="G223" s="39">
        <f>credit_to_gdp_ALL_ctry!G223-credit_to_gdp_ALL_ctry!G211</f>
        <v>-10.400000000000006</v>
      </c>
      <c r="H223" s="39">
        <f>credit_to_gdp_ALL_ctry!H223-credit_to_gdp_ALL_ctry!H211</f>
        <v>-7.4000000000000057</v>
      </c>
      <c r="J223" s="39">
        <f>credit_to_gdp_ALL_ctry!J223-credit_to_gdp_ALL_ctry!J211</f>
        <v>-13.599999999999994</v>
      </c>
      <c r="N223" s="39">
        <f>credit_to_gdp_ALL_ctry!N223-credit_to_gdp_ALL_ctry!N211</f>
        <v>-27.899999999999991</v>
      </c>
      <c r="O223" s="39">
        <f>credit_to_gdp_ALL_ctry!O223-credit_to_gdp_ALL_ctry!O211</f>
        <v>-35.300000000000011</v>
      </c>
      <c r="P223" s="39">
        <f>credit_to_gdp_ALL_ctry!P223-credit_to_gdp_ALL_ctry!P211</f>
        <v>-19.800000000000011</v>
      </c>
      <c r="Q223" s="39">
        <f>credit_to_gdp_ALL_ctry!Q223-credit_to_gdp_ALL_ctry!Q211</f>
        <v>-21.5</v>
      </c>
      <c r="R223" s="39">
        <f>credit_to_gdp_ALL_ctry!R223-credit_to_gdp_ALL_ctry!R211</f>
        <v>-16</v>
      </c>
    </row>
    <row r="224" spans="1:18" s="4" customFormat="1" x14ac:dyDescent="0.45">
      <c r="A224" s="4" t="s">
        <v>357</v>
      </c>
      <c r="B224" s="32">
        <f>credit_to_gdp_ALL_ctry!B224-credit_to_gdp_ALL_ctry!B212</f>
        <v>0.69999999999998863</v>
      </c>
      <c r="D224" s="32">
        <f>credit_to_gdp_ALL_ctry!D224-credit_to_gdp_ALL_ctry!D212</f>
        <v>2.1999999999999886</v>
      </c>
      <c r="G224" s="32">
        <f>credit_to_gdp_ALL_ctry!G224-credit_to_gdp_ALL_ctry!G212</f>
        <v>-10.900000000000006</v>
      </c>
      <c r="H224" s="32">
        <f>credit_to_gdp_ALL_ctry!H224-credit_to_gdp_ALL_ctry!H212</f>
        <v>-9</v>
      </c>
      <c r="J224" s="32">
        <f>credit_to_gdp_ALL_ctry!J224-credit_to_gdp_ALL_ctry!J212</f>
        <v>-12.699999999999989</v>
      </c>
      <c r="N224" s="32">
        <f>credit_to_gdp_ALL_ctry!N224-credit_to_gdp_ALL_ctry!N212</f>
        <v>-27.199999999999989</v>
      </c>
      <c r="O224" s="32">
        <f>credit_to_gdp_ALL_ctry!O224-credit_to_gdp_ALL_ctry!O212</f>
        <v>-37.900000000000006</v>
      </c>
      <c r="P224" s="32">
        <f>credit_to_gdp_ALL_ctry!P224-credit_to_gdp_ALL_ctry!P212</f>
        <v>-16.800000000000011</v>
      </c>
      <c r="Q224" s="32">
        <f>credit_to_gdp_ALL_ctry!Q224-credit_to_gdp_ALL_ctry!Q212</f>
        <v>-19.400000000000006</v>
      </c>
      <c r="R224" s="32">
        <f>credit_to_gdp_ALL_ctry!R224-credit_to_gdp_ALL_ctry!R212</f>
        <v>-14.699999999999989</v>
      </c>
    </row>
    <row r="225" spans="1:18" s="4" customFormat="1" x14ac:dyDescent="0.45">
      <c r="A225" s="4" t="s">
        <v>438</v>
      </c>
      <c r="B225" s="32">
        <f>credit_to_gdp_ALL_ctry!B225-credit_to_gdp_ALL_ctry!B213</f>
        <v>4.5</v>
      </c>
      <c r="D225" s="32">
        <f>credit_to_gdp_ALL_ctry!D225-credit_to_gdp_ALL_ctry!D213</f>
        <v>4</v>
      </c>
      <c r="G225" s="32">
        <f>credit_to_gdp_ALL_ctry!G225-credit_to_gdp_ALL_ctry!G213</f>
        <v>-9.8000000000000114</v>
      </c>
      <c r="H225" s="32">
        <f>credit_to_gdp_ALL_ctry!H225-credit_to_gdp_ALL_ctry!H213</f>
        <v>-7.5</v>
      </c>
      <c r="J225" s="32">
        <f>credit_to_gdp_ALL_ctry!J225-credit_to_gdp_ALL_ctry!J213</f>
        <v>-11.399999999999991</v>
      </c>
      <c r="N225" s="32">
        <f>credit_to_gdp_ALL_ctry!N225-credit_to_gdp_ALL_ctry!N213</f>
        <v>-22.699999999999989</v>
      </c>
      <c r="O225" s="32">
        <f>credit_to_gdp_ALL_ctry!O225-credit_to_gdp_ALL_ctry!O213</f>
        <v>-39.799999999999983</v>
      </c>
      <c r="P225" s="32">
        <f>credit_to_gdp_ALL_ctry!P225-credit_to_gdp_ALL_ctry!P213</f>
        <v>-11.600000000000023</v>
      </c>
      <c r="Q225" s="32">
        <f>credit_to_gdp_ALL_ctry!Q225-credit_to_gdp_ALL_ctry!Q213</f>
        <v>-16.300000000000011</v>
      </c>
      <c r="R225" s="32">
        <f>credit_to_gdp_ALL_ctry!R225-credit_to_gdp_ALL_ctry!R213</f>
        <v>-13.099999999999994</v>
      </c>
    </row>
    <row r="226" spans="1:18" x14ac:dyDescent="0.45">
      <c r="A226" t="s">
        <v>441</v>
      </c>
      <c r="B226" s="13">
        <v>4.5</v>
      </c>
      <c r="D226" s="13">
        <v>4</v>
      </c>
      <c r="G226" s="13">
        <v>-9.8000000000000007</v>
      </c>
      <c r="H226" s="13">
        <v>-7.5</v>
      </c>
      <c r="J226" s="13">
        <v>-11.4</v>
      </c>
      <c r="N226" s="13">
        <v>-22.7</v>
      </c>
      <c r="O226" s="13">
        <v>-39.799999999999997</v>
      </c>
      <c r="P226" s="13">
        <v>-11.6</v>
      </c>
      <c r="Q226" s="13">
        <v>-16.3</v>
      </c>
      <c r="R226" s="13">
        <v>-13.1</v>
      </c>
    </row>
  </sheetData>
  <phoneticPr fontId="3"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CC811-5A7A-4A2C-8C77-43C8820A4BC0}">
  <dimension ref="A1:AD226"/>
  <sheetViews>
    <sheetView workbookViewId="0">
      <pane xSplit="1" ySplit="1" topLeftCell="B215" activePane="bottomRight" state="frozen"/>
      <selection pane="topRight" activeCell="B1" sqref="B1"/>
      <selection pane="bottomLeft" activeCell="A2" sqref="A2"/>
      <selection pane="bottomRight" activeCell="L231" sqref="L231"/>
    </sheetView>
  </sheetViews>
  <sheetFormatPr defaultRowHeight="14.25" x14ac:dyDescent="0.45"/>
  <cols>
    <col min="2" max="2" width="9.19921875" style="13"/>
    <col min="4" max="4" width="9.19921875" style="13"/>
    <col min="7" max="7" width="9.19921875" style="13" customWidth="1"/>
    <col min="8" max="8" width="9.19921875" style="13"/>
    <col min="10" max="10" width="9.19921875" style="13"/>
    <col min="14" max="18" width="9.19921875" style="13"/>
  </cols>
  <sheetData>
    <row r="1" spans="1:30" x14ac:dyDescent="0.45">
      <c r="B1" s="13" t="s">
        <v>360</v>
      </c>
      <c r="C1" t="s">
        <v>361</v>
      </c>
      <c r="D1" s="13" t="s">
        <v>362</v>
      </c>
      <c r="E1" t="s">
        <v>363</v>
      </c>
      <c r="F1" t="s">
        <v>364</v>
      </c>
      <c r="G1" s="13" t="s">
        <v>365</v>
      </c>
      <c r="H1" s="13" t="s">
        <v>366</v>
      </c>
      <c r="I1" t="s">
        <v>367</v>
      </c>
      <c r="J1" s="13" t="s">
        <v>368</v>
      </c>
      <c r="K1" t="s">
        <v>369</v>
      </c>
      <c r="L1" t="s">
        <v>370</v>
      </c>
      <c r="M1" t="s">
        <v>371</v>
      </c>
      <c r="N1" s="13" t="s">
        <v>372</v>
      </c>
      <c r="O1" s="13" t="s">
        <v>373</v>
      </c>
      <c r="P1" s="13" t="s">
        <v>374</v>
      </c>
      <c r="Q1" s="13" t="s">
        <v>6</v>
      </c>
      <c r="R1" s="13" t="s">
        <v>375</v>
      </c>
      <c r="S1" t="s">
        <v>376</v>
      </c>
      <c r="T1" t="s">
        <v>377</v>
      </c>
      <c r="U1" t="s">
        <v>134</v>
      </c>
      <c r="V1" t="s">
        <v>378</v>
      </c>
      <c r="W1" t="s">
        <v>379</v>
      </c>
      <c r="X1" t="s">
        <v>380</v>
      </c>
      <c r="Y1" t="s">
        <v>381</v>
      </c>
      <c r="Z1" t="s">
        <v>382</v>
      </c>
      <c r="AA1" t="s">
        <v>383</v>
      </c>
      <c r="AB1" t="s">
        <v>384</v>
      </c>
      <c r="AC1" t="s">
        <v>385</v>
      </c>
      <c r="AD1" t="s">
        <v>386</v>
      </c>
    </row>
    <row r="2" spans="1:30" x14ac:dyDescent="0.45">
      <c r="A2" t="s">
        <v>135</v>
      </c>
      <c r="B2" s="13">
        <v>793.3</v>
      </c>
      <c r="D2" s="13">
        <v>952.1</v>
      </c>
      <c r="G2" s="13">
        <v>1278.3</v>
      </c>
      <c r="H2" s="13">
        <v>1473.3</v>
      </c>
      <c r="J2" s="13">
        <v>709.1</v>
      </c>
      <c r="N2" s="13">
        <v>501.1</v>
      </c>
      <c r="O2" s="13">
        <v>1012.5</v>
      </c>
      <c r="P2" s="13">
        <v>916.9</v>
      </c>
      <c r="Q2" s="13">
        <v>0</v>
      </c>
      <c r="R2" s="13">
        <v>3040.9</v>
      </c>
    </row>
    <row r="3" spans="1:30" x14ac:dyDescent="0.45">
      <c r="A3" t="s">
        <v>136</v>
      </c>
      <c r="B3" s="13">
        <v>793.3</v>
      </c>
      <c r="D3" s="13">
        <v>952.1</v>
      </c>
      <c r="G3" s="13">
        <v>1278.3</v>
      </c>
      <c r="H3" s="13">
        <v>1473.3</v>
      </c>
      <c r="J3" s="13">
        <v>709.1</v>
      </c>
      <c r="N3" s="13">
        <v>501.1</v>
      </c>
      <c r="O3" s="13">
        <v>1012.5</v>
      </c>
      <c r="P3" s="13">
        <v>916.9</v>
      </c>
      <c r="Q3" s="13">
        <v>0</v>
      </c>
      <c r="R3" s="13">
        <v>3040.9</v>
      </c>
    </row>
    <row r="4" spans="1:30" x14ac:dyDescent="0.45">
      <c r="A4" t="s">
        <v>137</v>
      </c>
      <c r="B4" s="13">
        <v>793.3</v>
      </c>
      <c r="D4" s="13">
        <v>952.1</v>
      </c>
      <c r="G4" s="13">
        <v>1278.3</v>
      </c>
      <c r="H4" s="13">
        <v>1473.3</v>
      </c>
      <c r="J4" s="13">
        <v>709.1</v>
      </c>
      <c r="N4" s="13">
        <v>501.1</v>
      </c>
      <c r="O4" s="13">
        <v>1012.5</v>
      </c>
      <c r="P4" s="13">
        <v>916.9</v>
      </c>
      <c r="Q4" s="13">
        <v>0</v>
      </c>
      <c r="R4" s="13">
        <v>3040.9</v>
      </c>
    </row>
    <row r="5" spans="1:30" x14ac:dyDescent="0.45">
      <c r="A5" t="s">
        <v>138</v>
      </c>
      <c r="B5" s="13">
        <v>793.3</v>
      </c>
      <c r="D5" s="13">
        <v>952.1</v>
      </c>
      <c r="G5" s="13">
        <v>1278.3</v>
      </c>
      <c r="H5" s="13">
        <v>1473.3</v>
      </c>
      <c r="J5" s="13">
        <v>709.1</v>
      </c>
      <c r="N5" s="13">
        <v>501.1</v>
      </c>
      <c r="O5" s="13">
        <v>1012.5</v>
      </c>
      <c r="P5" s="13">
        <v>916.9</v>
      </c>
      <c r="Q5" s="13">
        <v>0</v>
      </c>
      <c r="R5" s="13">
        <v>3040.9</v>
      </c>
    </row>
    <row r="6" spans="1:30" x14ac:dyDescent="0.45">
      <c r="A6" t="s">
        <v>139</v>
      </c>
      <c r="B6" s="13">
        <v>793.3</v>
      </c>
      <c r="D6" s="13">
        <v>952.1</v>
      </c>
      <c r="G6" s="13">
        <v>1278.3</v>
      </c>
      <c r="H6" s="13">
        <v>1473.3</v>
      </c>
      <c r="J6" s="13">
        <v>709.1</v>
      </c>
      <c r="N6" s="13">
        <v>501.1</v>
      </c>
      <c r="O6" s="13">
        <v>1012.5</v>
      </c>
      <c r="P6" s="13">
        <v>916.9</v>
      </c>
      <c r="Q6" s="13">
        <v>0</v>
      </c>
      <c r="R6" s="13">
        <v>3040.9</v>
      </c>
    </row>
    <row r="7" spans="1:30" x14ac:dyDescent="0.45">
      <c r="A7" t="s">
        <v>140</v>
      </c>
      <c r="B7" s="13">
        <v>793.3</v>
      </c>
      <c r="D7" s="13">
        <v>952.1</v>
      </c>
      <c r="G7" s="13">
        <v>1278.3</v>
      </c>
      <c r="H7" s="13">
        <v>1473.3</v>
      </c>
      <c r="J7" s="13">
        <v>709.1</v>
      </c>
      <c r="N7" s="13">
        <v>501.1</v>
      </c>
      <c r="O7" s="13">
        <v>1012.5</v>
      </c>
      <c r="P7" s="13">
        <v>916.9</v>
      </c>
      <c r="Q7" s="13">
        <v>0</v>
      </c>
      <c r="R7" s="13">
        <v>3040.9</v>
      </c>
    </row>
    <row r="8" spans="1:30" x14ac:dyDescent="0.45">
      <c r="A8" t="s">
        <v>141</v>
      </c>
      <c r="B8" s="13">
        <v>793.3</v>
      </c>
      <c r="D8" s="13">
        <v>952.1</v>
      </c>
      <c r="G8" s="13">
        <v>1278.3</v>
      </c>
      <c r="H8" s="13">
        <v>1473.3</v>
      </c>
      <c r="J8" s="13">
        <v>709.1</v>
      </c>
      <c r="N8" s="13">
        <v>501.1</v>
      </c>
      <c r="O8" s="13">
        <v>1012.5</v>
      </c>
      <c r="P8" s="13">
        <v>916.9</v>
      </c>
      <c r="Q8" s="13">
        <v>0</v>
      </c>
      <c r="R8" s="13">
        <v>3040.9</v>
      </c>
    </row>
    <row r="9" spans="1:30" x14ac:dyDescent="0.45">
      <c r="A9" t="s">
        <v>142</v>
      </c>
      <c r="B9" s="13">
        <v>793.3</v>
      </c>
      <c r="D9" s="13">
        <v>952.1</v>
      </c>
      <c r="G9" s="13">
        <v>1278.3</v>
      </c>
      <c r="H9" s="13">
        <v>1473.3</v>
      </c>
      <c r="J9" s="13">
        <v>709.1</v>
      </c>
      <c r="N9" s="13">
        <v>501.1</v>
      </c>
      <c r="O9" s="13">
        <v>1012.5</v>
      </c>
      <c r="P9" s="13">
        <v>916.9</v>
      </c>
      <c r="Q9" s="13">
        <v>0</v>
      </c>
      <c r="R9" s="13">
        <v>3040.9</v>
      </c>
    </row>
    <row r="10" spans="1:30" x14ac:dyDescent="0.45">
      <c r="A10" t="s">
        <v>143</v>
      </c>
      <c r="B10" s="13">
        <v>793.3</v>
      </c>
      <c r="D10" s="13">
        <v>952.1</v>
      </c>
      <c r="G10" s="13">
        <v>1278.3</v>
      </c>
      <c r="H10" s="13">
        <v>1473.3</v>
      </c>
      <c r="J10" s="13">
        <v>709.1</v>
      </c>
      <c r="N10" s="13">
        <v>501.1</v>
      </c>
      <c r="O10" s="13">
        <v>1012.5</v>
      </c>
      <c r="P10" s="13">
        <v>916.9</v>
      </c>
      <c r="Q10" s="13">
        <v>0</v>
      </c>
      <c r="R10" s="13">
        <v>3040.9</v>
      </c>
    </row>
    <row r="11" spans="1:30" x14ac:dyDescent="0.45">
      <c r="A11" t="s">
        <v>144</v>
      </c>
      <c r="B11" s="13">
        <v>793.3</v>
      </c>
      <c r="D11" s="13">
        <v>952.1</v>
      </c>
      <c r="G11" s="13">
        <v>1278.3</v>
      </c>
      <c r="H11" s="13">
        <v>1473.3</v>
      </c>
      <c r="J11" s="13">
        <v>709.1</v>
      </c>
      <c r="N11" s="13">
        <v>501.1</v>
      </c>
      <c r="O11" s="13">
        <v>1012.5</v>
      </c>
      <c r="P11" s="13">
        <v>916.9</v>
      </c>
      <c r="Q11" s="13">
        <v>0</v>
      </c>
      <c r="R11" s="13">
        <v>3040.9</v>
      </c>
    </row>
    <row r="12" spans="1:30" x14ac:dyDescent="0.45">
      <c r="A12" t="s">
        <v>145</v>
      </c>
      <c r="B12" s="13">
        <v>793.3</v>
      </c>
      <c r="D12" s="13">
        <v>952.1</v>
      </c>
      <c r="G12" s="13">
        <v>1278.3</v>
      </c>
      <c r="H12" s="13">
        <v>1473.3</v>
      </c>
      <c r="J12" s="13">
        <v>709.1</v>
      </c>
      <c r="N12" s="13">
        <v>501.1</v>
      </c>
      <c r="O12" s="13">
        <v>1012.5</v>
      </c>
      <c r="P12" s="13">
        <v>916.9</v>
      </c>
      <c r="Q12" s="13">
        <v>0</v>
      </c>
      <c r="R12" s="13">
        <v>3040.9</v>
      </c>
    </row>
    <row r="13" spans="1:30" x14ac:dyDescent="0.45">
      <c r="A13" t="s">
        <v>146</v>
      </c>
      <c r="B13" s="13">
        <v>793.3</v>
      </c>
      <c r="D13" s="13">
        <v>952.1</v>
      </c>
      <c r="G13" s="13">
        <v>1278.3</v>
      </c>
      <c r="H13" s="13">
        <v>1473.3</v>
      </c>
      <c r="J13" s="13">
        <v>709.1</v>
      </c>
      <c r="N13" s="13">
        <v>501.1</v>
      </c>
      <c r="O13" s="13">
        <v>1012.5</v>
      </c>
      <c r="P13" s="13">
        <v>916.9</v>
      </c>
      <c r="Q13" s="13">
        <v>0</v>
      </c>
      <c r="R13" s="13">
        <v>3040.9</v>
      </c>
    </row>
    <row r="14" spans="1:30" x14ac:dyDescent="0.45">
      <c r="A14" t="s">
        <v>147</v>
      </c>
      <c r="B14" s="13">
        <v>990.9</v>
      </c>
      <c r="D14" s="13">
        <v>1016.1</v>
      </c>
      <c r="G14" s="13">
        <v>1663.7</v>
      </c>
      <c r="H14" s="13">
        <v>1924.1</v>
      </c>
      <c r="J14" s="13">
        <v>946.5</v>
      </c>
      <c r="N14" s="13">
        <v>556.79999999999995</v>
      </c>
      <c r="O14" s="13">
        <v>1260.7</v>
      </c>
      <c r="P14" s="13">
        <v>1274.9000000000001</v>
      </c>
      <c r="Q14" s="13">
        <v>0</v>
      </c>
      <c r="R14" s="13">
        <v>3731.5</v>
      </c>
    </row>
    <row r="15" spans="1:30" x14ac:dyDescent="0.45">
      <c r="A15" t="s">
        <v>148</v>
      </c>
      <c r="B15" s="13">
        <v>990.9</v>
      </c>
      <c r="D15" s="13">
        <v>1016.1</v>
      </c>
      <c r="G15" s="13">
        <v>1663.7</v>
      </c>
      <c r="H15" s="13">
        <v>1924.1</v>
      </c>
      <c r="J15" s="13">
        <v>946.5</v>
      </c>
      <c r="N15" s="13">
        <v>556.79999999999995</v>
      </c>
      <c r="O15" s="13">
        <v>1260.7</v>
      </c>
      <c r="P15" s="13">
        <v>1274.9000000000001</v>
      </c>
      <c r="Q15" s="13">
        <v>0</v>
      </c>
      <c r="R15" s="13">
        <v>3731.5</v>
      </c>
    </row>
    <row r="16" spans="1:30" x14ac:dyDescent="0.45">
      <c r="A16" t="s">
        <v>149</v>
      </c>
      <c r="B16" s="13">
        <v>990.9</v>
      </c>
      <c r="D16" s="13">
        <v>1016.1</v>
      </c>
      <c r="G16" s="13">
        <v>1663.7</v>
      </c>
      <c r="H16" s="13">
        <v>1924.1</v>
      </c>
      <c r="J16" s="13">
        <v>946.5</v>
      </c>
      <c r="N16" s="13">
        <v>556.79999999999995</v>
      </c>
      <c r="O16" s="13">
        <v>1260.7</v>
      </c>
      <c r="P16" s="13">
        <v>1274.9000000000001</v>
      </c>
      <c r="Q16" s="13">
        <v>0</v>
      </c>
      <c r="R16" s="13">
        <v>3731.5</v>
      </c>
    </row>
    <row r="17" spans="1:18" x14ac:dyDescent="0.45">
      <c r="A17" t="s">
        <v>150</v>
      </c>
      <c r="B17" s="13">
        <v>990.9</v>
      </c>
      <c r="D17" s="13">
        <v>1016.1</v>
      </c>
      <c r="G17" s="13">
        <v>1663.7</v>
      </c>
      <c r="H17" s="13">
        <v>1924.1</v>
      </c>
      <c r="J17" s="13">
        <v>946.5</v>
      </c>
      <c r="N17" s="13">
        <v>556.79999999999995</v>
      </c>
      <c r="O17" s="13">
        <v>1260.7</v>
      </c>
      <c r="P17" s="13">
        <v>1274.9000000000001</v>
      </c>
      <c r="Q17" s="13">
        <v>0</v>
      </c>
      <c r="R17" s="13">
        <v>3731.5</v>
      </c>
    </row>
    <row r="18" spans="1:18" x14ac:dyDescent="0.45">
      <c r="A18" t="s">
        <v>151</v>
      </c>
      <c r="B18" s="13">
        <v>1402.7</v>
      </c>
      <c r="D18" s="13">
        <v>1143.2</v>
      </c>
      <c r="G18" s="13">
        <v>2141.9</v>
      </c>
      <c r="H18" s="13">
        <v>2398.3000000000002</v>
      </c>
      <c r="J18" s="13">
        <v>1195.0999999999999</v>
      </c>
      <c r="N18" s="13">
        <v>690.1</v>
      </c>
      <c r="O18" s="13">
        <v>1692.8</v>
      </c>
      <c r="P18" s="13">
        <v>1572.6</v>
      </c>
      <c r="Q18" s="13">
        <v>0</v>
      </c>
      <c r="R18" s="13">
        <v>4164.6000000000004</v>
      </c>
    </row>
    <row r="19" spans="1:18" x14ac:dyDescent="0.45">
      <c r="A19" t="s">
        <v>152</v>
      </c>
      <c r="B19" s="13">
        <v>1402.7</v>
      </c>
      <c r="D19" s="13">
        <v>1143.2</v>
      </c>
      <c r="G19" s="13">
        <v>2141.9</v>
      </c>
      <c r="H19" s="13">
        <v>2398.3000000000002</v>
      </c>
      <c r="J19" s="13">
        <v>1195.0999999999999</v>
      </c>
      <c r="N19" s="13">
        <v>690.1</v>
      </c>
      <c r="O19" s="13">
        <v>1692.8</v>
      </c>
      <c r="P19" s="13">
        <v>1572.6</v>
      </c>
      <c r="Q19" s="13">
        <v>0</v>
      </c>
      <c r="R19" s="13">
        <v>4164.6000000000004</v>
      </c>
    </row>
    <row r="20" spans="1:18" x14ac:dyDescent="0.45">
      <c r="A20" t="s">
        <v>153</v>
      </c>
      <c r="B20" s="13">
        <v>1402.7</v>
      </c>
      <c r="D20" s="13">
        <v>1143.2</v>
      </c>
      <c r="G20" s="13">
        <v>2141.9</v>
      </c>
      <c r="H20" s="13">
        <v>2398.3000000000002</v>
      </c>
      <c r="J20" s="13">
        <v>1195.0999999999999</v>
      </c>
      <c r="N20" s="13">
        <v>690.1</v>
      </c>
      <c r="O20" s="13">
        <v>1692.8</v>
      </c>
      <c r="P20" s="13">
        <v>1572.6</v>
      </c>
      <c r="Q20" s="13">
        <v>0</v>
      </c>
      <c r="R20" s="13">
        <v>4164.6000000000004</v>
      </c>
    </row>
    <row r="21" spans="1:18" x14ac:dyDescent="0.45">
      <c r="A21" t="s">
        <v>154</v>
      </c>
      <c r="B21" s="13">
        <v>1402.7</v>
      </c>
      <c r="D21" s="13">
        <v>1143.2</v>
      </c>
      <c r="G21" s="13">
        <v>2141.9</v>
      </c>
      <c r="H21" s="13">
        <v>2398.3000000000002</v>
      </c>
      <c r="J21" s="13">
        <v>1195.0999999999999</v>
      </c>
      <c r="N21" s="13">
        <v>690.1</v>
      </c>
      <c r="O21" s="13">
        <v>1692.8</v>
      </c>
      <c r="P21" s="13">
        <v>1572.6</v>
      </c>
      <c r="Q21" s="13">
        <v>0</v>
      </c>
      <c r="R21" s="13">
        <v>4164.6000000000004</v>
      </c>
    </row>
    <row r="22" spans="1:18" x14ac:dyDescent="0.45">
      <c r="A22" t="s">
        <v>155</v>
      </c>
      <c r="B22" s="13">
        <v>1402.4</v>
      </c>
      <c r="D22" s="13">
        <v>1197.5999999999999</v>
      </c>
      <c r="G22" s="13">
        <v>2578.1999999999998</v>
      </c>
      <c r="H22" s="13">
        <v>2878.6</v>
      </c>
      <c r="J22" s="13">
        <v>1247.5</v>
      </c>
      <c r="N22" s="13">
        <v>742.3</v>
      </c>
      <c r="O22" s="13">
        <v>1834.3</v>
      </c>
      <c r="P22" s="13">
        <v>1752.8</v>
      </c>
      <c r="Q22" s="13">
        <v>0</v>
      </c>
      <c r="R22" s="13">
        <v>3962.5</v>
      </c>
    </row>
    <row r="23" spans="1:18" x14ac:dyDescent="0.45">
      <c r="A23" t="s">
        <v>156</v>
      </c>
      <c r="B23" s="13">
        <v>1402.4</v>
      </c>
      <c r="D23" s="13">
        <v>1197.5999999999999</v>
      </c>
      <c r="G23" s="13">
        <v>2578.1999999999998</v>
      </c>
      <c r="H23" s="13">
        <v>2878.6</v>
      </c>
      <c r="J23" s="13">
        <v>1247.5</v>
      </c>
      <c r="N23" s="13">
        <v>742.3</v>
      </c>
      <c r="O23" s="13">
        <v>1834.3</v>
      </c>
      <c r="P23" s="13">
        <v>1752.8</v>
      </c>
      <c r="Q23" s="13">
        <v>0</v>
      </c>
      <c r="R23" s="13">
        <v>3962.5</v>
      </c>
    </row>
    <row r="24" spans="1:18" x14ac:dyDescent="0.45">
      <c r="A24" t="s">
        <v>157</v>
      </c>
      <c r="B24" s="13">
        <v>1402.4</v>
      </c>
      <c r="D24" s="13">
        <v>1197.5999999999999</v>
      </c>
      <c r="G24" s="13">
        <v>2578.1999999999998</v>
      </c>
      <c r="H24" s="13">
        <v>2878.6</v>
      </c>
      <c r="J24" s="13">
        <v>1247.5</v>
      </c>
      <c r="N24" s="13">
        <v>742.3</v>
      </c>
      <c r="O24" s="13">
        <v>1834.3</v>
      </c>
      <c r="P24" s="13">
        <v>1752.8</v>
      </c>
      <c r="Q24" s="13">
        <v>0</v>
      </c>
      <c r="R24" s="13">
        <v>3962.5</v>
      </c>
    </row>
    <row r="25" spans="1:18" x14ac:dyDescent="0.45">
      <c r="A25" t="s">
        <v>158</v>
      </c>
      <c r="B25" s="13">
        <v>1402.4</v>
      </c>
      <c r="D25" s="13">
        <v>1197.5999999999999</v>
      </c>
      <c r="G25" s="13">
        <v>2578.1999999999998</v>
      </c>
      <c r="H25" s="13">
        <v>2878.6</v>
      </c>
      <c r="J25" s="13">
        <v>1247.5</v>
      </c>
      <c r="N25" s="13">
        <v>742.3</v>
      </c>
      <c r="O25" s="13">
        <v>1834.3</v>
      </c>
      <c r="P25" s="13">
        <v>1752.8</v>
      </c>
      <c r="Q25" s="13">
        <v>0</v>
      </c>
      <c r="R25" s="13">
        <v>3962.5</v>
      </c>
    </row>
    <row r="26" spans="1:18" x14ac:dyDescent="0.45">
      <c r="A26" t="s">
        <v>159</v>
      </c>
      <c r="B26" s="13">
        <v>1259.5</v>
      </c>
      <c r="D26" s="13">
        <v>1131.9000000000001</v>
      </c>
      <c r="G26" s="13">
        <v>3142.4</v>
      </c>
      <c r="H26" s="13">
        <v>3335.8</v>
      </c>
      <c r="J26" s="13">
        <v>1493.1</v>
      </c>
      <c r="N26" s="13">
        <v>738.2</v>
      </c>
      <c r="O26" s="13">
        <v>1885.5</v>
      </c>
      <c r="P26" s="13">
        <v>1141.9000000000001</v>
      </c>
      <c r="Q26" s="13">
        <v>0</v>
      </c>
      <c r="R26" s="13">
        <v>4441.7</v>
      </c>
    </row>
    <row r="27" spans="1:18" x14ac:dyDescent="0.45">
      <c r="A27" t="s">
        <v>160</v>
      </c>
      <c r="B27" s="13">
        <v>1259.5</v>
      </c>
      <c r="D27" s="13">
        <v>1131.9000000000001</v>
      </c>
      <c r="G27" s="13">
        <v>3142.4</v>
      </c>
      <c r="H27" s="13">
        <v>3335.8</v>
      </c>
      <c r="J27" s="13">
        <v>1493.1</v>
      </c>
      <c r="N27" s="13">
        <v>738.2</v>
      </c>
      <c r="O27" s="13">
        <v>1885.5</v>
      </c>
      <c r="P27" s="13">
        <v>1141.9000000000001</v>
      </c>
      <c r="Q27" s="13">
        <v>0</v>
      </c>
      <c r="R27" s="13">
        <v>4441.7</v>
      </c>
    </row>
    <row r="28" spans="1:18" x14ac:dyDescent="0.45">
      <c r="A28" t="s">
        <v>161</v>
      </c>
      <c r="B28" s="13">
        <v>1259.5</v>
      </c>
      <c r="D28" s="13">
        <v>1131.9000000000001</v>
      </c>
      <c r="G28" s="13">
        <v>3142.4</v>
      </c>
      <c r="H28" s="13">
        <v>3335.8</v>
      </c>
      <c r="J28" s="13">
        <v>1493.1</v>
      </c>
      <c r="N28" s="13">
        <v>738.2</v>
      </c>
      <c r="O28" s="13">
        <v>1885.5</v>
      </c>
      <c r="P28" s="13">
        <v>1141.9000000000001</v>
      </c>
      <c r="Q28" s="13">
        <v>0</v>
      </c>
      <c r="R28" s="13">
        <v>4441.7</v>
      </c>
    </row>
    <row r="29" spans="1:18" x14ac:dyDescent="0.45">
      <c r="A29" t="s">
        <v>162</v>
      </c>
      <c r="B29" s="13">
        <v>1259.5</v>
      </c>
      <c r="D29" s="13">
        <v>1131.9000000000001</v>
      </c>
      <c r="G29" s="13">
        <v>3142.4</v>
      </c>
      <c r="H29" s="13">
        <v>3335.8</v>
      </c>
      <c r="J29" s="13">
        <v>1493.1</v>
      </c>
      <c r="N29" s="13">
        <v>738.2</v>
      </c>
      <c r="O29" s="13">
        <v>1885.5</v>
      </c>
      <c r="P29" s="13">
        <v>1141.9000000000001</v>
      </c>
      <c r="Q29" s="13">
        <v>0</v>
      </c>
      <c r="R29" s="13">
        <v>4441.7</v>
      </c>
    </row>
    <row r="30" spans="1:18" x14ac:dyDescent="0.45">
      <c r="A30" t="s">
        <v>163</v>
      </c>
      <c r="B30" s="13">
        <v>1331.5</v>
      </c>
      <c r="D30" s="13">
        <v>1225.0999999999999</v>
      </c>
      <c r="G30" s="13">
        <v>3776.2</v>
      </c>
      <c r="H30" s="13">
        <v>4384.7</v>
      </c>
      <c r="J30" s="13">
        <v>1713.9</v>
      </c>
      <c r="N30" s="13">
        <v>901.3</v>
      </c>
      <c r="O30" s="13">
        <v>2089.8000000000002</v>
      </c>
      <c r="P30" s="13">
        <v>1406.1</v>
      </c>
      <c r="Q30" s="13">
        <v>0</v>
      </c>
      <c r="R30" s="13">
        <v>5377.1</v>
      </c>
    </row>
    <row r="31" spans="1:18" x14ac:dyDescent="0.45">
      <c r="A31" t="s">
        <v>164</v>
      </c>
      <c r="B31" s="13">
        <v>1331.5</v>
      </c>
      <c r="D31" s="13">
        <v>1225.0999999999999</v>
      </c>
      <c r="G31" s="13">
        <v>3776.2</v>
      </c>
      <c r="H31" s="13">
        <v>4384.7</v>
      </c>
      <c r="J31" s="13">
        <v>1713.9</v>
      </c>
      <c r="N31" s="13">
        <v>901.3</v>
      </c>
      <c r="O31" s="13">
        <v>2089.8000000000002</v>
      </c>
      <c r="P31" s="13">
        <v>1406.1</v>
      </c>
      <c r="Q31" s="13">
        <v>0</v>
      </c>
      <c r="R31" s="13">
        <v>5377.1</v>
      </c>
    </row>
    <row r="32" spans="1:18" x14ac:dyDescent="0.45">
      <c r="A32" t="s">
        <v>165</v>
      </c>
      <c r="B32" s="13">
        <v>1331.5</v>
      </c>
      <c r="D32" s="13">
        <v>1225.0999999999999</v>
      </c>
      <c r="G32" s="13">
        <v>3776.2</v>
      </c>
      <c r="H32" s="13">
        <v>4384.7</v>
      </c>
      <c r="J32" s="13">
        <v>1713.9</v>
      </c>
      <c r="N32" s="13">
        <v>901.3</v>
      </c>
      <c r="O32" s="13">
        <v>2089.8000000000002</v>
      </c>
      <c r="P32" s="13">
        <v>1406.1</v>
      </c>
      <c r="Q32" s="13">
        <v>0</v>
      </c>
      <c r="R32" s="13">
        <v>5377.1</v>
      </c>
    </row>
    <row r="33" spans="1:18" x14ac:dyDescent="0.45">
      <c r="A33" t="s">
        <v>166</v>
      </c>
      <c r="B33" s="13">
        <v>1331.5</v>
      </c>
      <c r="D33" s="13">
        <v>1225.0999999999999</v>
      </c>
      <c r="G33" s="13">
        <v>3776.2</v>
      </c>
      <c r="H33" s="13">
        <v>4384.7</v>
      </c>
      <c r="J33" s="13">
        <v>1713.9</v>
      </c>
      <c r="N33" s="13">
        <v>901.3</v>
      </c>
      <c r="O33" s="13">
        <v>2089.8000000000002</v>
      </c>
      <c r="P33" s="13">
        <v>1406.1</v>
      </c>
      <c r="Q33" s="13">
        <v>0</v>
      </c>
      <c r="R33" s="13">
        <v>5377.1</v>
      </c>
    </row>
    <row r="34" spans="1:18" x14ac:dyDescent="0.45">
      <c r="A34" t="s">
        <v>167</v>
      </c>
      <c r="B34" s="13">
        <v>1646.7</v>
      </c>
      <c r="D34" s="13">
        <v>1413.6</v>
      </c>
      <c r="G34" s="13">
        <v>4857.1000000000004</v>
      </c>
      <c r="H34" s="13">
        <v>4990</v>
      </c>
      <c r="J34" s="13">
        <v>2154.1</v>
      </c>
      <c r="N34" s="13">
        <v>995.3</v>
      </c>
      <c r="O34" s="13">
        <v>2251.4</v>
      </c>
      <c r="P34" s="13">
        <v>1830</v>
      </c>
      <c r="Q34" s="13">
        <v>0</v>
      </c>
      <c r="R34" s="13">
        <v>5680</v>
      </c>
    </row>
    <row r="35" spans="1:18" x14ac:dyDescent="0.45">
      <c r="A35" t="s">
        <v>168</v>
      </c>
      <c r="B35" s="13">
        <v>1646.7</v>
      </c>
      <c r="D35" s="13">
        <v>1413.6</v>
      </c>
      <c r="G35" s="13">
        <v>4857.1000000000004</v>
      </c>
      <c r="H35" s="13">
        <v>4990</v>
      </c>
      <c r="J35" s="13">
        <v>2154.1</v>
      </c>
      <c r="N35" s="13">
        <v>995.3</v>
      </c>
      <c r="O35" s="13">
        <v>2251.4</v>
      </c>
      <c r="P35" s="13">
        <v>1830</v>
      </c>
      <c r="Q35" s="13">
        <v>0</v>
      </c>
      <c r="R35" s="13">
        <v>5680</v>
      </c>
    </row>
    <row r="36" spans="1:18" x14ac:dyDescent="0.45">
      <c r="A36" t="s">
        <v>169</v>
      </c>
      <c r="B36" s="13">
        <v>1646.7</v>
      </c>
      <c r="D36" s="13">
        <v>1413.6</v>
      </c>
      <c r="G36" s="13">
        <v>4857.1000000000004</v>
      </c>
      <c r="H36" s="13">
        <v>4990</v>
      </c>
      <c r="J36" s="13">
        <v>2154.1</v>
      </c>
      <c r="N36" s="13">
        <v>995.3</v>
      </c>
      <c r="O36" s="13">
        <v>2251.4</v>
      </c>
      <c r="P36" s="13">
        <v>1830</v>
      </c>
      <c r="Q36" s="13">
        <v>0</v>
      </c>
      <c r="R36" s="13">
        <v>5680</v>
      </c>
    </row>
    <row r="37" spans="1:18" x14ac:dyDescent="0.45">
      <c r="A37" t="s">
        <v>170</v>
      </c>
      <c r="B37" s="13">
        <v>1646.7</v>
      </c>
      <c r="D37" s="13">
        <v>1413.6</v>
      </c>
      <c r="G37" s="13">
        <v>4857.1000000000004</v>
      </c>
      <c r="H37" s="13">
        <v>4990</v>
      </c>
      <c r="J37" s="13">
        <v>2154.1</v>
      </c>
      <c r="N37" s="13">
        <v>995.3</v>
      </c>
      <c r="O37" s="13">
        <v>2251.4</v>
      </c>
      <c r="P37" s="13">
        <v>1830</v>
      </c>
      <c r="Q37" s="13">
        <v>0</v>
      </c>
      <c r="R37" s="13">
        <v>5680</v>
      </c>
    </row>
    <row r="38" spans="1:18" x14ac:dyDescent="0.45">
      <c r="A38" t="s">
        <v>171</v>
      </c>
      <c r="B38" s="13">
        <v>1785.9</v>
      </c>
      <c r="D38" s="13">
        <v>1629.7</v>
      </c>
      <c r="G38" s="13">
        <v>6420</v>
      </c>
      <c r="H38" s="13">
        <v>8947</v>
      </c>
      <c r="J38" s="13">
        <v>3104</v>
      </c>
      <c r="N38" s="13">
        <v>1203</v>
      </c>
      <c r="O38" s="13">
        <v>3259</v>
      </c>
      <c r="P38" s="13">
        <v>2650</v>
      </c>
      <c r="Q38" s="13">
        <v>0</v>
      </c>
      <c r="R38" s="13">
        <v>8500</v>
      </c>
    </row>
    <row r="39" spans="1:18" x14ac:dyDescent="0.45">
      <c r="A39" t="s">
        <v>172</v>
      </c>
      <c r="B39" s="13">
        <v>1785.9</v>
      </c>
      <c r="D39" s="13">
        <v>1629.7</v>
      </c>
      <c r="G39" s="13">
        <v>6420</v>
      </c>
      <c r="H39" s="13">
        <v>8947</v>
      </c>
      <c r="J39" s="13">
        <v>3104</v>
      </c>
      <c r="N39" s="13">
        <v>1203</v>
      </c>
      <c r="O39" s="13">
        <v>3259</v>
      </c>
      <c r="P39" s="13">
        <v>2650</v>
      </c>
      <c r="Q39" s="13">
        <v>0</v>
      </c>
      <c r="R39" s="13">
        <v>8500</v>
      </c>
    </row>
    <row r="40" spans="1:18" x14ac:dyDescent="0.45">
      <c r="A40" t="s">
        <v>173</v>
      </c>
      <c r="B40" s="13">
        <v>1785.9</v>
      </c>
      <c r="D40" s="13">
        <v>1629.7</v>
      </c>
      <c r="G40" s="13">
        <v>6420</v>
      </c>
      <c r="H40" s="13">
        <v>8947</v>
      </c>
      <c r="J40" s="13">
        <v>3104</v>
      </c>
      <c r="N40" s="13">
        <v>1203</v>
      </c>
      <c r="O40" s="13">
        <v>3259</v>
      </c>
      <c r="P40" s="13">
        <v>2650</v>
      </c>
      <c r="Q40" s="13">
        <v>0</v>
      </c>
      <c r="R40" s="13">
        <v>8500</v>
      </c>
    </row>
    <row r="41" spans="1:18" x14ac:dyDescent="0.45">
      <c r="A41" t="s">
        <v>174</v>
      </c>
      <c r="B41" s="13">
        <v>1785.9</v>
      </c>
      <c r="D41" s="13">
        <v>1629.7</v>
      </c>
      <c r="G41" s="13">
        <v>6420</v>
      </c>
      <c r="H41" s="13">
        <v>8947</v>
      </c>
      <c r="J41" s="13">
        <v>3104</v>
      </c>
      <c r="N41" s="13">
        <v>1203</v>
      </c>
      <c r="O41" s="13">
        <v>3259</v>
      </c>
      <c r="P41" s="13">
        <v>2650</v>
      </c>
      <c r="Q41" s="13">
        <v>0</v>
      </c>
      <c r="R41" s="13">
        <v>8500</v>
      </c>
    </row>
    <row r="42" spans="1:18" x14ac:dyDescent="0.45">
      <c r="A42" t="s">
        <v>175</v>
      </c>
      <c r="B42" s="13">
        <v>1895.6</v>
      </c>
      <c r="D42" s="13">
        <v>1762.4</v>
      </c>
      <c r="G42" s="13">
        <v>8342</v>
      </c>
      <c r="H42" s="13">
        <v>11797</v>
      </c>
      <c r="J42" s="13">
        <v>4414.3</v>
      </c>
      <c r="N42" s="13">
        <v>1770.8</v>
      </c>
      <c r="O42" s="13">
        <v>3773</v>
      </c>
      <c r="P42" s="13">
        <v>2906</v>
      </c>
      <c r="Q42" s="13">
        <v>0</v>
      </c>
      <c r="R42" s="13">
        <v>10593</v>
      </c>
    </row>
    <row r="43" spans="1:18" x14ac:dyDescent="0.45">
      <c r="A43" t="s">
        <v>176</v>
      </c>
      <c r="B43" s="13">
        <v>1895.6</v>
      </c>
      <c r="D43" s="13">
        <v>1762.4</v>
      </c>
      <c r="G43" s="13">
        <v>8342</v>
      </c>
      <c r="H43" s="13">
        <v>11797</v>
      </c>
      <c r="J43" s="13">
        <v>4414.3</v>
      </c>
      <c r="N43" s="13">
        <v>1770.8</v>
      </c>
      <c r="O43" s="13">
        <v>3773</v>
      </c>
      <c r="P43" s="13">
        <v>2906</v>
      </c>
      <c r="Q43" s="13">
        <v>0</v>
      </c>
      <c r="R43" s="13">
        <v>10593</v>
      </c>
    </row>
    <row r="44" spans="1:18" x14ac:dyDescent="0.45">
      <c r="A44" t="s">
        <v>177</v>
      </c>
      <c r="B44" s="13">
        <v>1895.6</v>
      </c>
      <c r="D44" s="13">
        <v>1762.4</v>
      </c>
      <c r="G44" s="13">
        <v>8342</v>
      </c>
      <c r="H44" s="13">
        <v>11797</v>
      </c>
      <c r="J44" s="13">
        <v>4414.3</v>
      </c>
      <c r="N44" s="13">
        <v>1770.8</v>
      </c>
      <c r="O44" s="13">
        <v>3773</v>
      </c>
      <c r="P44" s="13">
        <v>2906</v>
      </c>
      <c r="Q44" s="13">
        <v>0</v>
      </c>
      <c r="R44" s="13">
        <v>10593</v>
      </c>
    </row>
    <row r="45" spans="1:18" x14ac:dyDescent="0.45">
      <c r="A45" t="s">
        <v>178</v>
      </c>
      <c r="B45" s="13">
        <v>1895.6</v>
      </c>
      <c r="D45" s="13">
        <v>1762.4</v>
      </c>
      <c r="G45" s="13">
        <v>8342</v>
      </c>
      <c r="H45" s="13">
        <v>11797</v>
      </c>
      <c r="J45" s="13">
        <v>4414.3</v>
      </c>
      <c r="N45" s="13">
        <v>1770.8</v>
      </c>
      <c r="O45" s="13">
        <v>3773</v>
      </c>
      <c r="P45" s="13">
        <v>2906</v>
      </c>
      <c r="Q45" s="13">
        <v>0</v>
      </c>
      <c r="R45" s="13">
        <v>10593</v>
      </c>
    </row>
    <row r="46" spans="1:18" x14ac:dyDescent="0.45">
      <c r="A46" t="s">
        <v>179</v>
      </c>
      <c r="B46" s="13">
        <v>1731.2</v>
      </c>
      <c r="D46" s="13">
        <v>1702.4</v>
      </c>
      <c r="G46" s="13">
        <v>7293.8</v>
      </c>
      <c r="H46" s="13">
        <v>11108.4</v>
      </c>
      <c r="J46" s="13">
        <v>3520.4</v>
      </c>
      <c r="N46" s="13">
        <v>1581</v>
      </c>
      <c r="O46" s="13">
        <v>3244.3</v>
      </c>
      <c r="P46" s="13">
        <v>2972.5</v>
      </c>
      <c r="Q46" s="13">
        <v>0</v>
      </c>
      <c r="R46" s="13">
        <v>12479.9</v>
      </c>
    </row>
    <row r="47" spans="1:18" x14ac:dyDescent="0.45">
      <c r="A47" t="s">
        <v>180</v>
      </c>
      <c r="B47" s="13">
        <v>1731.2</v>
      </c>
      <c r="D47" s="13">
        <v>1702.4</v>
      </c>
      <c r="G47" s="13">
        <v>7293.8</v>
      </c>
      <c r="H47" s="13">
        <v>11108.4</v>
      </c>
      <c r="J47" s="13">
        <v>3520.4</v>
      </c>
      <c r="N47" s="13">
        <v>1581</v>
      </c>
      <c r="O47" s="13">
        <v>3244.3</v>
      </c>
      <c r="P47" s="13">
        <v>2972.5</v>
      </c>
      <c r="Q47" s="13">
        <v>0</v>
      </c>
      <c r="R47" s="13">
        <v>12479.9</v>
      </c>
    </row>
    <row r="48" spans="1:18" x14ac:dyDescent="0.45">
      <c r="A48" t="s">
        <v>181</v>
      </c>
      <c r="B48" s="13">
        <v>1731.2</v>
      </c>
      <c r="D48" s="13">
        <v>1702.4</v>
      </c>
      <c r="G48" s="13">
        <v>7293.8</v>
      </c>
      <c r="H48" s="13">
        <v>11108.4</v>
      </c>
      <c r="J48" s="13">
        <v>3520.4</v>
      </c>
      <c r="N48" s="13">
        <v>1581</v>
      </c>
      <c r="O48" s="13">
        <v>3244.3</v>
      </c>
      <c r="P48" s="13">
        <v>2972.5</v>
      </c>
      <c r="Q48" s="13">
        <v>0</v>
      </c>
      <c r="R48" s="13">
        <v>12479.9</v>
      </c>
    </row>
    <row r="49" spans="1:18" x14ac:dyDescent="0.45">
      <c r="A49" t="s">
        <v>182</v>
      </c>
      <c r="B49" s="13">
        <v>1731.2</v>
      </c>
      <c r="D49" s="13">
        <v>1702.4</v>
      </c>
      <c r="G49" s="13">
        <v>7293.8</v>
      </c>
      <c r="H49" s="13">
        <v>11108.4</v>
      </c>
      <c r="J49" s="13">
        <v>3520.4</v>
      </c>
      <c r="N49" s="13">
        <v>1581</v>
      </c>
      <c r="O49" s="13">
        <v>3244.3</v>
      </c>
      <c r="P49" s="13">
        <v>2972.5</v>
      </c>
      <c r="Q49" s="13">
        <v>0</v>
      </c>
      <c r="R49" s="13">
        <v>12479.9</v>
      </c>
    </row>
    <row r="50" spans="1:18" x14ac:dyDescent="0.45">
      <c r="A50" t="s">
        <v>183</v>
      </c>
      <c r="B50" s="13">
        <v>1827.7</v>
      </c>
      <c r="D50" s="13">
        <v>1491</v>
      </c>
      <c r="G50" s="13">
        <v>7829.8</v>
      </c>
      <c r="H50" s="13">
        <v>9465.2999999999993</v>
      </c>
      <c r="J50" s="13">
        <v>3546.1</v>
      </c>
      <c r="N50" s="13">
        <v>1681.7</v>
      </c>
      <c r="O50" s="13">
        <v>3378.3</v>
      </c>
      <c r="P50" s="13">
        <v>2084.5</v>
      </c>
      <c r="Q50" s="13">
        <v>0</v>
      </c>
      <c r="R50" s="13">
        <v>13045.2</v>
      </c>
    </row>
    <row r="51" spans="1:18" x14ac:dyDescent="0.45">
      <c r="A51" t="s">
        <v>184</v>
      </c>
      <c r="B51" s="13">
        <v>1827.7</v>
      </c>
      <c r="D51" s="13">
        <v>1491</v>
      </c>
      <c r="G51" s="13">
        <v>7829.8</v>
      </c>
      <c r="H51" s="13">
        <v>9465.2999999999993</v>
      </c>
      <c r="J51" s="13">
        <v>3546.1</v>
      </c>
      <c r="N51" s="13">
        <v>1681.7</v>
      </c>
      <c r="O51" s="13">
        <v>3378.3</v>
      </c>
      <c r="P51" s="13">
        <v>2084.5</v>
      </c>
      <c r="Q51" s="13">
        <v>0</v>
      </c>
      <c r="R51" s="13">
        <v>13045.2</v>
      </c>
    </row>
    <row r="52" spans="1:18" x14ac:dyDescent="0.45">
      <c r="A52" t="s">
        <v>185</v>
      </c>
      <c r="B52" s="13">
        <v>1827.7</v>
      </c>
      <c r="D52" s="13">
        <v>1491</v>
      </c>
      <c r="G52" s="13">
        <v>7829.8</v>
      </c>
      <c r="H52" s="13">
        <v>9465.2999999999993</v>
      </c>
      <c r="J52" s="13">
        <v>3546.1</v>
      </c>
      <c r="N52" s="13">
        <v>1681.7</v>
      </c>
      <c r="O52" s="13">
        <v>3378.3</v>
      </c>
      <c r="P52" s="13">
        <v>2084.5</v>
      </c>
      <c r="Q52" s="13">
        <v>0</v>
      </c>
      <c r="R52" s="13">
        <v>13045.2</v>
      </c>
    </row>
    <row r="53" spans="1:18" x14ac:dyDescent="0.45">
      <c r="A53" t="s">
        <v>186</v>
      </c>
      <c r="B53" s="13">
        <v>1827.7</v>
      </c>
      <c r="D53" s="13">
        <v>1491</v>
      </c>
      <c r="G53" s="13">
        <v>7829.8</v>
      </c>
      <c r="H53" s="13">
        <v>9465.2999999999993</v>
      </c>
      <c r="J53" s="13">
        <v>3546.1</v>
      </c>
      <c r="N53" s="13">
        <v>1681.7</v>
      </c>
      <c r="O53" s="13">
        <v>3378.3</v>
      </c>
      <c r="P53" s="13">
        <v>2084.5</v>
      </c>
      <c r="Q53" s="13">
        <v>0</v>
      </c>
      <c r="R53" s="13">
        <v>13045.2</v>
      </c>
    </row>
    <row r="54" spans="1:18" x14ac:dyDescent="0.45">
      <c r="A54" t="s">
        <v>187</v>
      </c>
      <c r="B54" s="13">
        <v>1420.3</v>
      </c>
      <c r="D54" s="13">
        <v>1407</v>
      </c>
      <c r="G54" s="13">
        <v>8527.2000000000007</v>
      </c>
      <c r="H54" s="13">
        <v>9164.1</v>
      </c>
      <c r="J54" s="13">
        <v>3474.5</v>
      </c>
      <c r="N54" s="13">
        <v>1871.2</v>
      </c>
      <c r="O54" s="13">
        <v>3640.9</v>
      </c>
      <c r="P54" s="13">
        <v>2096</v>
      </c>
      <c r="Q54" s="13">
        <v>0</v>
      </c>
      <c r="R54" s="13">
        <v>12679</v>
      </c>
    </row>
    <row r="55" spans="1:18" x14ac:dyDescent="0.45">
      <c r="A55" t="s">
        <v>188</v>
      </c>
      <c r="B55" s="13">
        <v>1420.3</v>
      </c>
      <c r="D55" s="13">
        <v>1407</v>
      </c>
      <c r="G55" s="13">
        <v>8527.2000000000007</v>
      </c>
      <c r="H55" s="13">
        <v>9164.1</v>
      </c>
      <c r="J55" s="13">
        <v>3474.5</v>
      </c>
      <c r="N55" s="13">
        <v>1871.2</v>
      </c>
      <c r="O55" s="13">
        <v>3640.9</v>
      </c>
      <c r="P55" s="13">
        <v>2096</v>
      </c>
      <c r="Q55" s="13">
        <v>0</v>
      </c>
      <c r="R55" s="13">
        <v>12679</v>
      </c>
    </row>
    <row r="56" spans="1:18" x14ac:dyDescent="0.45">
      <c r="A56" t="s">
        <v>189</v>
      </c>
      <c r="B56" s="13">
        <v>1420.3</v>
      </c>
      <c r="D56" s="13">
        <v>1407</v>
      </c>
      <c r="G56" s="13">
        <v>8527.2000000000007</v>
      </c>
      <c r="H56" s="13">
        <v>9164.1</v>
      </c>
      <c r="J56" s="13">
        <v>3474.5</v>
      </c>
      <c r="N56" s="13">
        <v>1871.2</v>
      </c>
      <c r="O56" s="13">
        <v>3640.9</v>
      </c>
      <c r="P56" s="13">
        <v>2096</v>
      </c>
      <c r="Q56" s="13">
        <v>0</v>
      </c>
      <c r="R56" s="13">
        <v>12679</v>
      </c>
    </row>
    <row r="57" spans="1:18" x14ac:dyDescent="0.45">
      <c r="A57" t="s">
        <v>190</v>
      </c>
      <c r="B57" s="13">
        <v>1420.3</v>
      </c>
      <c r="D57" s="13">
        <v>1407</v>
      </c>
      <c r="G57" s="13">
        <v>8527.2000000000007</v>
      </c>
      <c r="H57" s="13">
        <v>9164.1</v>
      </c>
      <c r="J57" s="13">
        <v>3474.5</v>
      </c>
      <c r="N57" s="13">
        <v>1871.2</v>
      </c>
      <c r="O57" s="13">
        <v>3640.9</v>
      </c>
      <c r="P57" s="13">
        <v>2096</v>
      </c>
      <c r="Q57" s="13">
        <v>0</v>
      </c>
      <c r="R57" s="13">
        <v>12679</v>
      </c>
    </row>
    <row r="58" spans="1:18" x14ac:dyDescent="0.45">
      <c r="A58" t="s">
        <v>191</v>
      </c>
      <c r="B58" s="13">
        <v>1578</v>
      </c>
      <c r="D58" s="13">
        <v>1573</v>
      </c>
      <c r="G58" s="13">
        <v>9394.7999999999993</v>
      </c>
      <c r="H58" s="13">
        <v>9874</v>
      </c>
      <c r="J58" s="13">
        <v>3815.2</v>
      </c>
      <c r="N58" s="13">
        <v>1756.2</v>
      </c>
      <c r="O58" s="13">
        <v>3857.3</v>
      </c>
      <c r="P58" s="13">
        <v>2085</v>
      </c>
      <c r="Q58" s="13">
        <v>0</v>
      </c>
      <c r="R58" s="13">
        <v>13702.4</v>
      </c>
    </row>
    <row r="59" spans="1:18" x14ac:dyDescent="0.45">
      <c r="A59" t="s">
        <v>192</v>
      </c>
      <c r="B59" s="13">
        <v>1578</v>
      </c>
      <c r="D59" s="13">
        <v>1573</v>
      </c>
      <c r="G59" s="13">
        <v>9394.7999999999993</v>
      </c>
      <c r="H59" s="13">
        <v>9874</v>
      </c>
      <c r="J59" s="13">
        <v>3815.2</v>
      </c>
      <c r="N59" s="13">
        <v>1756.2</v>
      </c>
      <c r="O59" s="13">
        <v>3857.3</v>
      </c>
      <c r="P59" s="13">
        <v>2085</v>
      </c>
      <c r="Q59" s="13">
        <v>0</v>
      </c>
      <c r="R59" s="13">
        <v>13702.4</v>
      </c>
    </row>
    <row r="60" spans="1:18" x14ac:dyDescent="0.45">
      <c r="A60" t="s">
        <v>193</v>
      </c>
      <c r="B60" s="13">
        <v>1578</v>
      </c>
      <c r="D60" s="13">
        <v>1573</v>
      </c>
      <c r="G60" s="13">
        <v>9394.7999999999993</v>
      </c>
      <c r="H60" s="13">
        <v>9874</v>
      </c>
      <c r="J60" s="13">
        <v>3815.2</v>
      </c>
      <c r="N60" s="13">
        <v>1756.2</v>
      </c>
      <c r="O60" s="13">
        <v>3857.3</v>
      </c>
      <c r="P60" s="13">
        <v>2085</v>
      </c>
      <c r="Q60" s="13">
        <v>0</v>
      </c>
      <c r="R60" s="13">
        <v>13702.4</v>
      </c>
    </row>
    <row r="61" spans="1:18" x14ac:dyDescent="0.45">
      <c r="A61" t="s">
        <v>194</v>
      </c>
      <c r="B61" s="13">
        <v>1578</v>
      </c>
      <c r="D61" s="13">
        <v>1573</v>
      </c>
      <c r="G61" s="13">
        <v>9394.7999999999993</v>
      </c>
      <c r="H61" s="13">
        <v>9874</v>
      </c>
      <c r="J61" s="13">
        <v>3815.2</v>
      </c>
      <c r="N61" s="13">
        <v>1756.2</v>
      </c>
      <c r="O61" s="13">
        <v>3857.3</v>
      </c>
      <c r="P61" s="13">
        <v>2085</v>
      </c>
      <c r="Q61" s="13">
        <v>0</v>
      </c>
      <c r="R61" s="13">
        <v>13702.4</v>
      </c>
    </row>
    <row r="62" spans="1:18" x14ac:dyDescent="0.45">
      <c r="A62" t="s">
        <v>195</v>
      </c>
      <c r="B62" s="13">
        <v>1785.5</v>
      </c>
      <c r="D62" s="13">
        <v>2231.9</v>
      </c>
      <c r="G62" s="13">
        <v>9974.4</v>
      </c>
      <c r="H62" s="13">
        <v>11531</v>
      </c>
      <c r="J62" s="13">
        <v>4468.6000000000004</v>
      </c>
      <c r="N62" s="13">
        <v>2067.1999999999998</v>
      </c>
      <c r="O62" s="13">
        <v>3872.8</v>
      </c>
      <c r="P62" s="13">
        <v>1704.6</v>
      </c>
      <c r="Q62" s="13">
        <v>0</v>
      </c>
      <c r="R62" s="13">
        <v>15121.8</v>
      </c>
    </row>
    <row r="63" spans="1:18" x14ac:dyDescent="0.45">
      <c r="A63" t="s">
        <v>196</v>
      </c>
      <c r="B63" s="13">
        <v>1785.5</v>
      </c>
      <c r="D63" s="13">
        <v>2231.9</v>
      </c>
      <c r="G63" s="13">
        <v>9974.4</v>
      </c>
      <c r="H63" s="13">
        <v>11531</v>
      </c>
      <c r="J63" s="13">
        <v>4468.6000000000004</v>
      </c>
      <c r="N63" s="13">
        <v>2067.1999999999998</v>
      </c>
      <c r="O63" s="13">
        <v>3872.8</v>
      </c>
      <c r="P63" s="13">
        <v>1704.6</v>
      </c>
      <c r="Q63" s="13">
        <v>0</v>
      </c>
      <c r="R63" s="13">
        <v>15121.8</v>
      </c>
    </row>
    <row r="64" spans="1:18" x14ac:dyDescent="0.45">
      <c r="A64" t="s">
        <v>197</v>
      </c>
      <c r="B64" s="13">
        <v>1785.5</v>
      </c>
      <c r="D64" s="13">
        <v>2231.9</v>
      </c>
      <c r="G64" s="13">
        <v>9974.4</v>
      </c>
      <c r="H64" s="13">
        <v>11531</v>
      </c>
      <c r="J64" s="13">
        <v>4468.6000000000004</v>
      </c>
      <c r="N64" s="13">
        <v>2067.1999999999998</v>
      </c>
      <c r="O64" s="13">
        <v>3872.8</v>
      </c>
      <c r="P64" s="13">
        <v>1704.6</v>
      </c>
      <c r="Q64" s="13">
        <v>0</v>
      </c>
      <c r="R64" s="13">
        <v>15121.8</v>
      </c>
    </row>
    <row r="65" spans="1:18" x14ac:dyDescent="0.45">
      <c r="A65" t="s">
        <v>198</v>
      </c>
      <c r="B65" s="13">
        <v>1785.5</v>
      </c>
      <c r="D65" s="13">
        <v>2231.9</v>
      </c>
      <c r="G65" s="13">
        <v>9974.4</v>
      </c>
      <c r="H65" s="13">
        <v>11531</v>
      </c>
      <c r="J65" s="13">
        <v>4468.6000000000004</v>
      </c>
      <c r="N65" s="13">
        <v>2067.1999999999998</v>
      </c>
      <c r="O65" s="13">
        <v>3872.8</v>
      </c>
      <c r="P65" s="13">
        <v>1704.6</v>
      </c>
      <c r="Q65" s="13">
        <v>0</v>
      </c>
      <c r="R65" s="13">
        <v>15121.8</v>
      </c>
    </row>
    <row r="66" spans="1:18" x14ac:dyDescent="0.45">
      <c r="A66" t="s">
        <v>199</v>
      </c>
      <c r="B66" s="13">
        <v>1801.9</v>
      </c>
      <c r="D66" s="13">
        <v>2481.6999999999998</v>
      </c>
      <c r="G66" s="13">
        <v>9099.6</v>
      </c>
      <c r="H66" s="13">
        <v>12540</v>
      </c>
      <c r="J66" s="13">
        <v>5069.1000000000004</v>
      </c>
      <c r="N66" s="13">
        <v>2889.2</v>
      </c>
      <c r="O66" s="13">
        <v>3403.6</v>
      </c>
      <c r="P66" s="13">
        <v>2306.4</v>
      </c>
      <c r="Q66" s="13">
        <v>0</v>
      </c>
      <c r="R66" s="13">
        <v>15311.6</v>
      </c>
    </row>
    <row r="67" spans="1:18" x14ac:dyDescent="0.45">
      <c r="A67" t="s">
        <v>200</v>
      </c>
      <c r="B67" s="13">
        <v>1801.9</v>
      </c>
      <c r="D67" s="13">
        <v>2481.6999999999998</v>
      </c>
      <c r="G67" s="13">
        <v>9099.6</v>
      </c>
      <c r="H67" s="13">
        <v>12540</v>
      </c>
      <c r="J67" s="13">
        <v>5069.1000000000004</v>
      </c>
      <c r="N67" s="13">
        <v>2889.2</v>
      </c>
      <c r="O67" s="13">
        <v>3403.6</v>
      </c>
      <c r="P67" s="13">
        <v>2306.4</v>
      </c>
      <c r="Q67" s="13">
        <v>0</v>
      </c>
      <c r="R67" s="13">
        <v>15311.6</v>
      </c>
    </row>
    <row r="68" spans="1:18" x14ac:dyDescent="0.45">
      <c r="A68" t="s">
        <v>201</v>
      </c>
      <c r="B68" s="13">
        <v>1801.9</v>
      </c>
      <c r="D68" s="13">
        <v>2481.6999999999998</v>
      </c>
      <c r="G68" s="13">
        <v>9099.6</v>
      </c>
      <c r="H68" s="13">
        <v>12540</v>
      </c>
      <c r="J68" s="13">
        <v>5069.1000000000004</v>
      </c>
      <c r="N68" s="13">
        <v>2889.2</v>
      </c>
      <c r="O68" s="13">
        <v>3403.6</v>
      </c>
      <c r="P68" s="13">
        <v>2306.4</v>
      </c>
      <c r="Q68" s="13">
        <v>0</v>
      </c>
      <c r="R68" s="13">
        <v>15311.6</v>
      </c>
    </row>
    <row r="69" spans="1:18" x14ac:dyDescent="0.45">
      <c r="A69" t="s">
        <v>202</v>
      </c>
      <c r="B69" s="13">
        <v>1801.9</v>
      </c>
      <c r="D69" s="13">
        <v>2481.6999999999998</v>
      </c>
      <c r="G69" s="13">
        <v>9099.6</v>
      </c>
      <c r="H69" s="13">
        <v>12540</v>
      </c>
      <c r="J69" s="13">
        <v>5069.1000000000004</v>
      </c>
      <c r="N69" s="13">
        <v>2889.2</v>
      </c>
      <c r="O69" s="13">
        <v>3403.6</v>
      </c>
      <c r="P69" s="13">
        <v>2306.4</v>
      </c>
      <c r="Q69" s="13">
        <v>0</v>
      </c>
      <c r="R69" s="13">
        <v>15311.6</v>
      </c>
    </row>
    <row r="70" spans="1:18" x14ac:dyDescent="0.45">
      <c r="A70" t="s">
        <v>203</v>
      </c>
      <c r="B70" s="13">
        <v>2008.8</v>
      </c>
      <c r="D70" s="13">
        <v>3181</v>
      </c>
      <c r="G70" s="13">
        <v>12834.4</v>
      </c>
      <c r="H70" s="13">
        <v>15440.3</v>
      </c>
      <c r="J70" s="13">
        <v>6802</v>
      </c>
      <c r="N70" s="13">
        <v>3713.1</v>
      </c>
      <c r="O70" s="13">
        <v>3826.8</v>
      </c>
      <c r="P70" s="13">
        <v>3022.1</v>
      </c>
      <c r="Q70" s="13">
        <v>0</v>
      </c>
      <c r="R70" s="13">
        <v>18195.400000000001</v>
      </c>
    </row>
    <row r="71" spans="1:18" x14ac:dyDescent="0.45">
      <c r="A71" t="s">
        <v>204</v>
      </c>
      <c r="B71" s="13">
        <v>2008.8</v>
      </c>
      <c r="D71" s="13">
        <v>3181</v>
      </c>
      <c r="G71" s="13">
        <v>12834.4</v>
      </c>
      <c r="H71" s="13">
        <v>15440.3</v>
      </c>
      <c r="J71" s="13">
        <v>6802</v>
      </c>
      <c r="N71" s="13">
        <v>3713.1</v>
      </c>
      <c r="O71" s="13">
        <v>3826.8</v>
      </c>
      <c r="P71" s="13">
        <v>3022.1</v>
      </c>
      <c r="Q71" s="13">
        <v>0</v>
      </c>
      <c r="R71" s="13">
        <v>18195.400000000001</v>
      </c>
    </row>
    <row r="72" spans="1:18" x14ac:dyDescent="0.45">
      <c r="A72" t="s">
        <v>205</v>
      </c>
      <c r="B72" s="13">
        <v>2008.8</v>
      </c>
      <c r="D72" s="13">
        <v>3181</v>
      </c>
      <c r="G72" s="13">
        <v>12834.4</v>
      </c>
      <c r="H72" s="13">
        <v>15440.3</v>
      </c>
      <c r="J72" s="13">
        <v>6802</v>
      </c>
      <c r="N72" s="13">
        <v>3713.1</v>
      </c>
      <c r="O72" s="13">
        <v>3826.8</v>
      </c>
      <c r="P72" s="13">
        <v>3022.1</v>
      </c>
      <c r="Q72" s="13">
        <v>0</v>
      </c>
      <c r="R72" s="13">
        <v>18195.400000000001</v>
      </c>
    </row>
    <row r="73" spans="1:18" x14ac:dyDescent="0.45">
      <c r="A73" t="s">
        <v>206</v>
      </c>
      <c r="B73" s="13">
        <v>2008.8</v>
      </c>
      <c r="D73" s="13">
        <v>3181</v>
      </c>
      <c r="G73" s="13">
        <v>12834.4</v>
      </c>
      <c r="H73" s="13">
        <v>15440.3</v>
      </c>
      <c r="J73" s="13">
        <v>6802</v>
      </c>
      <c r="N73" s="13">
        <v>3713.1</v>
      </c>
      <c r="O73" s="13">
        <v>3826.8</v>
      </c>
      <c r="P73" s="13">
        <v>3022.1</v>
      </c>
      <c r="Q73" s="13">
        <v>0</v>
      </c>
      <c r="R73" s="13">
        <v>18195.400000000001</v>
      </c>
    </row>
    <row r="74" spans="1:18" x14ac:dyDescent="0.45">
      <c r="A74" t="s">
        <v>207</v>
      </c>
      <c r="B74" s="13">
        <v>2450.3719366111304</v>
      </c>
      <c r="D74" s="13">
        <v>3626.0462060568298</v>
      </c>
      <c r="G74" s="13">
        <v>14713.4826613887</v>
      </c>
      <c r="H74" s="13">
        <v>16944.4761832197</v>
      </c>
      <c r="J74" s="13">
        <v>7304.7490661931897</v>
      </c>
      <c r="N74" s="13">
        <v>4955.6667450336099</v>
      </c>
      <c r="O74" s="13">
        <v>3904.4850298886399</v>
      </c>
      <c r="P74" s="13">
        <v>3299.36754025546</v>
      </c>
      <c r="Q74" s="13">
        <v>0</v>
      </c>
      <c r="R74" s="13">
        <v>19139.503726777901</v>
      </c>
    </row>
    <row r="75" spans="1:18" x14ac:dyDescent="0.45">
      <c r="A75" t="s">
        <v>208</v>
      </c>
      <c r="B75" s="13">
        <v>2450.3719366111304</v>
      </c>
      <c r="D75" s="13">
        <v>3626.0462060568298</v>
      </c>
      <c r="G75" s="13">
        <v>14713.4826613887</v>
      </c>
      <c r="H75" s="13">
        <v>16944.4761832197</v>
      </c>
      <c r="J75" s="13">
        <v>7304.7490661931897</v>
      </c>
      <c r="N75" s="13">
        <v>4955.6667450336099</v>
      </c>
      <c r="O75" s="13">
        <v>3904.4850298886399</v>
      </c>
      <c r="P75" s="13">
        <v>3299.36754025546</v>
      </c>
      <c r="Q75" s="13">
        <v>0</v>
      </c>
      <c r="R75" s="13">
        <v>19139.503726777901</v>
      </c>
    </row>
    <row r="76" spans="1:18" x14ac:dyDescent="0.45">
      <c r="A76" t="s">
        <v>209</v>
      </c>
      <c r="B76" s="13">
        <v>2450.3719366111304</v>
      </c>
      <c r="D76" s="13">
        <v>3626.0462060568298</v>
      </c>
      <c r="G76" s="13">
        <v>14713.4826613887</v>
      </c>
      <c r="H76" s="13">
        <v>16944.4761832197</v>
      </c>
      <c r="J76" s="13">
        <v>7304.7490661931897</v>
      </c>
      <c r="N76" s="13">
        <v>4955.6667450336099</v>
      </c>
      <c r="O76" s="13">
        <v>3904.4850298886399</v>
      </c>
      <c r="P76" s="13">
        <v>3299.36754025546</v>
      </c>
      <c r="Q76" s="13">
        <v>0</v>
      </c>
      <c r="R76" s="13">
        <v>19139.503726777901</v>
      </c>
    </row>
    <row r="77" spans="1:18" x14ac:dyDescent="0.45">
      <c r="A77" t="s">
        <v>210</v>
      </c>
      <c r="B77" s="13">
        <v>2450.3719366111304</v>
      </c>
      <c r="D77" s="13">
        <v>3626.0462060568298</v>
      </c>
      <c r="G77" s="13">
        <v>14713.4826613887</v>
      </c>
      <c r="H77" s="13">
        <v>16944.4761832197</v>
      </c>
      <c r="J77" s="13">
        <v>7304.7490661931897</v>
      </c>
      <c r="N77" s="13">
        <v>4955.6667450336099</v>
      </c>
      <c r="O77" s="13">
        <v>3904.4850298886399</v>
      </c>
      <c r="P77" s="13">
        <v>3299.36754025546</v>
      </c>
      <c r="Q77" s="13">
        <v>0</v>
      </c>
      <c r="R77" s="13">
        <v>19139.503726777901</v>
      </c>
    </row>
    <row r="78" spans="1:18" x14ac:dyDescent="0.45">
      <c r="A78" t="s">
        <v>211</v>
      </c>
      <c r="B78" s="13">
        <v>2799.9170447308102</v>
      </c>
      <c r="D78" s="13">
        <v>3547.53709159972</v>
      </c>
      <c r="G78" s="13">
        <v>15613.5053468925</v>
      </c>
      <c r="H78" s="13">
        <v>18245.001924578602</v>
      </c>
      <c r="J78" s="13">
        <v>7578.1307330865093</v>
      </c>
      <c r="N78" s="13">
        <v>5289.0283475498509</v>
      </c>
      <c r="O78" s="13">
        <v>3979.1122886287098</v>
      </c>
      <c r="P78" s="13">
        <v>3675.4403726278701</v>
      </c>
      <c r="Q78" s="13">
        <v>0</v>
      </c>
      <c r="R78" s="13">
        <v>20078.1661158813</v>
      </c>
    </row>
    <row r="79" spans="1:18" x14ac:dyDescent="0.45">
      <c r="A79" t="s">
        <v>212</v>
      </c>
      <c r="B79" s="13">
        <v>2799.9170447308102</v>
      </c>
      <c r="D79" s="13">
        <v>3547.53709159972</v>
      </c>
      <c r="G79" s="13">
        <v>15613.5053468925</v>
      </c>
      <c r="H79" s="13">
        <v>18245.001924578602</v>
      </c>
      <c r="J79" s="13">
        <v>7578.1307330865093</v>
      </c>
      <c r="N79" s="13">
        <v>5289.0283475498509</v>
      </c>
      <c r="O79" s="13">
        <v>3979.1122886287098</v>
      </c>
      <c r="P79" s="13">
        <v>3675.4403726278701</v>
      </c>
      <c r="Q79" s="13">
        <v>0</v>
      </c>
      <c r="R79" s="13">
        <v>20078.1661158813</v>
      </c>
    </row>
    <row r="80" spans="1:18" x14ac:dyDescent="0.45">
      <c r="A80" t="s">
        <v>213</v>
      </c>
      <c r="B80" s="13">
        <v>2799.9170447308102</v>
      </c>
      <c r="D80" s="13">
        <v>3547.53709159972</v>
      </c>
      <c r="G80" s="13">
        <v>15613.5053468925</v>
      </c>
      <c r="H80" s="13">
        <v>18245.001924578602</v>
      </c>
      <c r="J80" s="13">
        <v>7578.1307330865093</v>
      </c>
      <c r="N80" s="13">
        <v>5289.0283475498509</v>
      </c>
      <c r="O80" s="13">
        <v>3979.1122886287098</v>
      </c>
      <c r="P80" s="13">
        <v>3675.4403726278701</v>
      </c>
      <c r="Q80" s="13">
        <v>0</v>
      </c>
      <c r="R80" s="13">
        <v>20078.1661158813</v>
      </c>
    </row>
    <row r="81" spans="1:18" x14ac:dyDescent="0.45">
      <c r="A81" t="s">
        <v>214</v>
      </c>
      <c r="B81" s="13">
        <v>2799.9170447308102</v>
      </c>
      <c r="D81" s="13">
        <v>3547.53709159972</v>
      </c>
      <c r="G81" s="13">
        <v>15613.5053468925</v>
      </c>
      <c r="H81" s="13">
        <v>18245.001924578602</v>
      </c>
      <c r="J81" s="13">
        <v>7578.1307330865093</v>
      </c>
      <c r="N81" s="13">
        <v>5289.0283475498509</v>
      </c>
      <c r="O81" s="13">
        <v>3979.1122886287098</v>
      </c>
      <c r="P81" s="13">
        <v>3675.4403726278701</v>
      </c>
      <c r="Q81" s="13">
        <v>0</v>
      </c>
      <c r="R81" s="13">
        <v>20078.1661158813</v>
      </c>
    </row>
    <row r="82" spans="1:18" x14ac:dyDescent="0.45">
      <c r="A82" t="s">
        <v>215</v>
      </c>
      <c r="B82" s="13">
        <v>2957.0115848994001</v>
      </c>
      <c r="D82" s="13">
        <v>3380.5859989770597</v>
      </c>
      <c r="G82" s="13">
        <v>19450.981194923308</v>
      </c>
      <c r="H82" s="13">
        <v>23582.339308791401</v>
      </c>
      <c r="J82" s="13">
        <v>10034.877247409</v>
      </c>
      <c r="N82" s="13">
        <v>6875.54613608817</v>
      </c>
      <c r="O82" s="13">
        <v>4788.5010015008311</v>
      </c>
      <c r="P82" s="13">
        <v>4194.5134082822096</v>
      </c>
      <c r="Q82" s="13">
        <v>0</v>
      </c>
      <c r="R82" s="13">
        <v>23280.191303913398</v>
      </c>
    </row>
    <row r="83" spans="1:18" x14ac:dyDescent="0.45">
      <c r="A83" t="s">
        <v>216</v>
      </c>
      <c r="B83" s="13">
        <v>2957.0115848994001</v>
      </c>
      <c r="D83" s="13">
        <v>3380.5859989770597</v>
      </c>
      <c r="G83" s="13">
        <v>19450.981194923308</v>
      </c>
      <c r="H83" s="13">
        <v>23582.339308791401</v>
      </c>
      <c r="J83" s="13">
        <v>10034.877247409</v>
      </c>
      <c r="N83" s="13">
        <v>6875.54613608817</v>
      </c>
      <c r="O83" s="13">
        <v>4788.5010015008311</v>
      </c>
      <c r="P83" s="13">
        <v>4194.5134082822096</v>
      </c>
      <c r="Q83" s="13">
        <v>0</v>
      </c>
      <c r="R83" s="13">
        <v>23280.191303913398</v>
      </c>
    </row>
    <row r="84" spans="1:18" x14ac:dyDescent="0.45">
      <c r="A84" t="s">
        <v>217</v>
      </c>
      <c r="B84" s="13">
        <v>2957.0115848994001</v>
      </c>
      <c r="D84" s="13">
        <v>3380.5859989770597</v>
      </c>
      <c r="G84" s="13">
        <v>19450.981194923308</v>
      </c>
      <c r="H84" s="13">
        <v>23582.339308791401</v>
      </c>
      <c r="J84" s="13">
        <v>10034.877247409</v>
      </c>
      <c r="N84" s="13">
        <v>6875.54613608817</v>
      </c>
      <c r="O84" s="13">
        <v>4788.5010015008311</v>
      </c>
      <c r="P84" s="13">
        <v>4194.5134082822096</v>
      </c>
      <c r="Q84" s="13">
        <v>0</v>
      </c>
      <c r="R84" s="13">
        <v>23280.191303913398</v>
      </c>
    </row>
    <row r="85" spans="1:18" x14ac:dyDescent="0.45">
      <c r="A85" t="s">
        <v>218</v>
      </c>
      <c r="B85" s="13">
        <v>2957.0115848994001</v>
      </c>
      <c r="D85" s="13">
        <v>3380.5859989770597</v>
      </c>
      <c r="G85" s="13">
        <v>19450.981194923308</v>
      </c>
      <c r="H85" s="13">
        <v>23582.339308791401</v>
      </c>
      <c r="J85" s="13">
        <v>10034.877247409</v>
      </c>
      <c r="N85" s="13">
        <v>6875.54613608817</v>
      </c>
      <c r="O85" s="13">
        <v>4788.5010015008311</v>
      </c>
      <c r="P85" s="13">
        <v>4194.5134082822096</v>
      </c>
      <c r="Q85" s="13">
        <v>0</v>
      </c>
      <c r="R85" s="13">
        <v>23280.191303913398</v>
      </c>
    </row>
    <row r="86" spans="1:18" x14ac:dyDescent="0.45">
      <c r="A86" t="s">
        <v>219</v>
      </c>
      <c r="B86" s="13">
        <v>2386.6140829553779</v>
      </c>
      <c r="D86" s="13">
        <v>2996.1279395913502</v>
      </c>
      <c r="G86" s="13">
        <v>20402.511509965199</v>
      </c>
      <c r="H86" s="13">
        <v>25854.191189640598</v>
      </c>
      <c r="J86" s="13">
        <v>10895.5815797781</v>
      </c>
      <c r="N86" s="13">
        <v>7772.791577023454</v>
      </c>
      <c r="O86" s="13">
        <v>4362.4581445820531</v>
      </c>
      <c r="P86" s="13">
        <v>3722.2385604590195</v>
      </c>
      <c r="Q86" s="13">
        <v>0</v>
      </c>
      <c r="R86" s="13">
        <v>20136.539499110007</v>
      </c>
    </row>
    <row r="87" spans="1:18" x14ac:dyDescent="0.45">
      <c r="A87" t="s">
        <v>220</v>
      </c>
      <c r="B87" s="13">
        <v>2386.6140829553779</v>
      </c>
      <c r="D87" s="13">
        <v>2996.1279395913502</v>
      </c>
      <c r="G87" s="13">
        <v>20402.511509965199</v>
      </c>
      <c r="H87" s="13">
        <v>25854.191189640598</v>
      </c>
      <c r="J87" s="13">
        <v>10895.5815797781</v>
      </c>
      <c r="N87" s="13">
        <v>7772.791577023454</v>
      </c>
      <c r="O87" s="13">
        <v>4362.4581445820531</v>
      </c>
      <c r="P87" s="13">
        <v>3722.2385604590195</v>
      </c>
      <c r="Q87" s="13">
        <v>0</v>
      </c>
      <c r="R87" s="13">
        <v>20136.539499110007</v>
      </c>
    </row>
    <row r="88" spans="1:18" x14ac:dyDescent="0.45">
      <c r="A88" t="s">
        <v>221</v>
      </c>
      <c r="B88" s="13">
        <v>2386.6140829553779</v>
      </c>
      <c r="D88" s="13">
        <v>2996.1279395913502</v>
      </c>
      <c r="G88" s="13">
        <v>20402.511509965199</v>
      </c>
      <c r="H88" s="13">
        <v>25854.191189640598</v>
      </c>
      <c r="J88" s="13">
        <v>10895.5815797781</v>
      </c>
      <c r="N88" s="13">
        <v>7772.791577023454</v>
      </c>
      <c r="O88" s="13">
        <v>4362.4581445820531</v>
      </c>
      <c r="P88" s="13">
        <v>3722.2385604590195</v>
      </c>
      <c r="Q88" s="13">
        <v>0</v>
      </c>
      <c r="R88" s="13">
        <v>20136.539499110007</v>
      </c>
    </row>
    <row r="89" spans="1:18" x14ac:dyDescent="0.45">
      <c r="A89" t="s">
        <v>222</v>
      </c>
      <c r="B89" s="13">
        <v>2386.6140829553779</v>
      </c>
      <c r="D89" s="13">
        <v>2996.1279395913502</v>
      </c>
      <c r="G89" s="13">
        <v>20402.511509965199</v>
      </c>
      <c r="H89" s="13">
        <v>25854.191189640598</v>
      </c>
      <c r="J89" s="13">
        <v>10895.5815797781</v>
      </c>
      <c r="N89" s="13">
        <v>7772.791577023454</v>
      </c>
      <c r="O89" s="13">
        <v>4362.4581445820531</v>
      </c>
      <c r="P89" s="13">
        <v>3722.2385604590195</v>
      </c>
      <c r="Q89" s="13">
        <v>0</v>
      </c>
      <c r="R89" s="13">
        <v>20136.539499110007</v>
      </c>
    </row>
    <row r="90" spans="1:18" x14ac:dyDescent="0.45">
      <c r="A90" t="s">
        <v>223</v>
      </c>
      <c r="B90" s="13">
        <v>2424.186450406271</v>
      </c>
      <c r="D90" s="13">
        <v>2780.5092121213002</v>
      </c>
      <c r="G90" s="13">
        <v>20127.947379460998</v>
      </c>
      <c r="H90" s="13">
        <v>26410.5820390517</v>
      </c>
      <c r="J90" s="13">
        <v>10782.9355768478</v>
      </c>
      <c r="N90" s="13">
        <v>7963.646630151321</v>
      </c>
      <c r="O90" s="13">
        <v>4253.5025618529098</v>
      </c>
      <c r="P90" s="13">
        <v>3242.8212626410295</v>
      </c>
      <c r="Q90" s="13">
        <v>0</v>
      </c>
      <c r="R90" s="13">
        <v>21782.857703048801</v>
      </c>
    </row>
    <row r="91" spans="1:18" x14ac:dyDescent="0.45">
      <c r="A91" t="s">
        <v>224</v>
      </c>
      <c r="B91" s="13">
        <v>2424.186450406271</v>
      </c>
      <c r="D91" s="13">
        <v>2780.5092121213002</v>
      </c>
      <c r="G91" s="13">
        <v>20127.947379460998</v>
      </c>
      <c r="H91" s="13">
        <v>26410.5820390517</v>
      </c>
      <c r="J91" s="13">
        <v>10782.9355768478</v>
      </c>
      <c r="N91" s="13">
        <v>7963.646630151321</v>
      </c>
      <c r="O91" s="13">
        <v>4253.5025618529098</v>
      </c>
      <c r="P91" s="13">
        <v>3242.8212626410295</v>
      </c>
      <c r="Q91" s="13">
        <v>0</v>
      </c>
      <c r="R91" s="13">
        <v>21782.857703048801</v>
      </c>
    </row>
    <row r="92" spans="1:18" x14ac:dyDescent="0.45">
      <c r="A92" t="s">
        <v>225</v>
      </c>
      <c r="B92" s="13">
        <v>2424.186450406271</v>
      </c>
      <c r="D92" s="13">
        <v>2780.5092121213002</v>
      </c>
      <c r="G92" s="13">
        <v>20127.947379460998</v>
      </c>
      <c r="H92" s="13">
        <v>26410.5820390517</v>
      </c>
      <c r="J92" s="13">
        <v>10782.9355768478</v>
      </c>
      <c r="N92" s="13">
        <v>7963.646630151321</v>
      </c>
      <c r="O92" s="13">
        <v>4253.5025618529098</v>
      </c>
      <c r="P92" s="13">
        <v>3242.8212626410295</v>
      </c>
      <c r="Q92" s="13">
        <v>0</v>
      </c>
      <c r="R92" s="13">
        <v>21782.857703048801</v>
      </c>
    </row>
    <row r="93" spans="1:18" x14ac:dyDescent="0.45">
      <c r="A93" t="s">
        <v>226</v>
      </c>
      <c r="B93" s="13">
        <v>2424.186450406271</v>
      </c>
      <c r="D93" s="13">
        <v>2780.5092121213002</v>
      </c>
      <c r="G93" s="13">
        <v>20127.947379460998</v>
      </c>
      <c r="H93" s="13">
        <v>26410.5820390517</v>
      </c>
      <c r="J93" s="13">
        <v>10782.9355768478</v>
      </c>
      <c r="N93" s="13">
        <v>7963.646630151321</v>
      </c>
      <c r="O93" s="13">
        <v>4253.5025618529098</v>
      </c>
      <c r="P93" s="13">
        <v>3242.8212626410295</v>
      </c>
      <c r="Q93" s="13">
        <v>0</v>
      </c>
      <c r="R93" s="13">
        <v>21782.857703048801</v>
      </c>
    </row>
    <row r="94" spans="1:18" x14ac:dyDescent="0.45">
      <c r="A94" t="s">
        <v>227</v>
      </c>
      <c r="B94" s="13">
        <v>2399.26041385388</v>
      </c>
      <c r="D94" s="13">
        <v>2763.9816977609503</v>
      </c>
      <c r="G94" s="13">
        <v>16150.927043568701</v>
      </c>
      <c r="H94" s="13">
        <v>21504.36412484221</v>
      </c>
      <c r="J94" s="13">
        <v>8291.0385289667629</v>
      </c>
      <c r="N94" s="13">
        <v>6069.4144669123607</v>
      </c>
      <c r="O94" s="13">
        <v>4324.2238153817516</v>
      </c>
      <c r="P94" s="13">
        <v>3414.9829980924001</v>
      </c>
      <c r="Q94" s="13">
        <v>0</v>
      </c>
      <c r="R94" s="13">
        <v>23318.956925226503</v>
      </c>
    </row>
    <row r="95" spans="1:18" x14ac:dyDescent="0.45">
      <c r="A95" t="s">
        <v>228</v>
      </c>
      <c r="B95" s="13">
        <v>2399.26041385388</v>
      </c>
      <c r="D95" s="13">
        <v>2763.9816977609503</v>
      </c>
      <c r="G95" s="13">
        <v>16150.927043568701</v>
      </c>
      <c r="H95" s="13">
        <v>21504.36412484221</v>
      </c>
      <c r="J95" s="13">
        <v>8291.0385289667629</v>
      </c>
      <c r="N95" s="13">
        <v>6069.4144669123607</v>
      </c>
      <c r="O95" s="13">
        <v>4324.2238153817516</v>
      </c>
      <c r="P95" s="13">
        <v>3414.9829980924001</v>
      </c>
      <c r="Q95" s="13">
        <v>0</v>
      </c>
      <c r="R95" s="13">
        <v>23318.956925226503</v>
      </c>
    </row>
    <row r="96" spans="1:18" x14ac:dyDescent="0.45">
      <c r="A96" t="s">
        <v>229</v>
      </c>
      <c r="B96" s="13">
        <v>2399.26041385388</v>
      </c>
      <c r="D96" s="13">
        <v>2763.9816977609503</v>
      </c>
      <c r="G96" s="13">
        <v>16150.927043568701</v>
      </c>
      <c r="H96" s="13">
        <v>21504.36412484221</v>
      </c>
      <c r="J96" s="13">
        <v>8291.0385289667629</v>
      </c>
      <c r="N96" s="13">
        <v>6069.4144669123607</v>
      </c>
      <c r="O96" s="13">
        <v>4324.2238153817516</v>
      </c>
      <c r="P96" s="13">
        <v>3414.9829980924001</v>
      </c>
      <c r="Q96" s="13">
        <v>0</v>
      </c>
      <c r="R96" s="13">
        <v>23318.956925226503</v>
      </c>
    </row>
    <row r="97" spans="1:18" x14ac:dyDescent="0.45">
      <c r="A97" t="s">
        <v>230</v>
      </c>
      <c r="B97" s="13">
        <v>2399.26041385388</v>
      </c>
      <c r="D97" s="13">
        <v>2763.9816977609503</v>
      </c>
      <c r="G97" s="13">
        <v>16150.927043568701</v>
      </c>
      <c r="H97" s="13">
        <v>21504.36412484221</v>
      </c>
      <c r="J97" s="13">
        <v>8291.0385289667629</v>
      </c>
      <c r="N97" s="13">
        <v>6069.4144669123607</v>
      </c>
      <c r="O97" s="13">
        <v>4324.2238153817516</v>
      </c>
      <c r="P97" s="13">
        <v>3414.9829980924001</v>
      </c>
      <c r="Q97" s="13">
        <v>0</v>
      </c>
      <c r="R97" s="13">
        <v>23318.956925226503</v>
      </c>
    </row>
    <row r="98" spans="1:18" x14ac:dyDescent="0.45">
      <c r="A98" t="s">
        <v>231</v>
      </c>
      <c r="B98" s="13">
        <v>2946.916738827852</v>
      </c>
      <c r="D98" s="13">
        <v>2928.95821905605</v>
      </c>
      <c r="G98" s="13">
        <v>19100.016373086499</v>
      </c>
      <c r="H98" s="13">
        <v>24592.666206542199</v>
      </c>
      <c r="J98" s="13">
        <v>9649.4346249484151</v>
      </c>
      <c r="N98" s="13">
        <v>7346.6046651795696</v>
      </c>
      <c r="O98" s="13">
        <v>5134.4528271047375</v>
      </c>
      <c r="P98" s="13">
        <v>3770.1332845941802</v>
      </c>
      <c r="Q98" s="13">
        <v>0</v>
      </c>
      <c r="R98" s="13">
        <v>26553.439258106202</v>
      </c>
    </row>
    <row r="99" spans="1:18" x14ac:dyDescent="0.45">
      <c r="A99" t="s">
        <v>232</v>
      </c>
      <c r="B99" s="13">
        <v>2946.916738827852</v>
      </c>
      <c r="D99" s="13">
        <v>2928.95821905605</v>
      </c>
      <c r="G99" s="13">
        <v>19100.016373086499</v>
      </c>
      <c r="H99" s="13">
        <v>24592.666206542199</v>
      </c>
      <c r="J99" s="13">
        <v>9649.4346249484151</v>
      </c>
      <c r="N99" s="13">
        <v>7346.6046651795696</v>
      </c>
      <c r="O99" s="13">
        <v>5134.4528271047375</v>
      </c>
      <c r="P99" s="13">
        <v>3770.1332845941802</v>
      </c>
      <c r="Q99" s="13">
        <v>0</v>
      </c>
      <c r="R99" s="13">
        <v>26553.439258106202</v>
      </c>
    </row>
    <row r="100" spans="1:18" x14ac:dyDescent="0.45">
      <c r="A100" t="s">
        <v>233</v>
      </c>
      <c r="B100" s="13">
        <v>2946.916738827852</v>
      </c>
      <c r="D100" s="13">
        <v>2928.95821905605</v>
      </c>
      <c r="G100" s="13">
        <v>19100.016373086499</v>
      </c>
      <c r="H100" s="13">
        <v>24592.666206542199</v>
      </c>
      <c r="J100" s="13">
        <v>9649.4346249484151</v>
      </c>
      <c r="N100" s="13">
        <v>7346.6046651795696</v>
      </c>
      <c r="O100" s="13">
        <v>5134.4528271047375</v>
      </c>
      <c r="P100" s="13">
        <v>3770.1332845941802</v>
      </c>
      <c r="Q100" s="13">
        <v>0</v>
      </c>
      <c r="R100" s="13">
        <v>26553.439258106202</v>
      </c>
    </row>
    <row r="101" spans="1:18" x14ac:dyDescent="0.45">
      <c r="A101" t="s">
        <v>234</v>
      </c>
      <c r="B101" s="13">
        <v>2946.916738827852</v>
      </c>
      <c r="D101" s="13">
        <v>2928.95821905605</v>
      </c>
      <c r="G101" s="13">
        <v>19100.016373086499</v>
      </c>
      <c r="H101" s="13">
        <v>24592.666206542199</v>
      </c>
      <c r="J101" s="13">
        <v>9649.4346249484151</v>
      </c>
      <c r="N101" s="13">
        <v>7346.6046651795696</v>
      </c>
      <c r="O101" s="13">
        <v>5134.4528271047375</v>
      </c>
      <c r="P101" s="13">
        <v>3770.1332845941802</v>
      </c>
      <c r="Q101" s="13">
        <v>0</v>
      </c>
      <c r="R101" s="13">
        <v>26553.439258106202</v>
      </c>
    </row>
    <row r="102" spans="1:18" x14ac:dyDescent="0.45">
      <c r="A102" t="s">
        <v>235</v>
      </c>
      <c r="B102" s="13">
        <v>3311.9642170149295</v>
      </c>
      <c r="D102" s="13">
        <v>2856.7922849257498</v>
      </c>
      <c r="G102" s="13">
        <v>21979.598267487399</v>
      </c>
      <c r="H102" s="13">
        <v>29052.612241909013</v>
      </c>
      <c r="J102" s="13">
        <v>11402.488332335894</v>
      </c>
      <c r="N102" s="13">
        <v>9007.5204036626437</v>
      </c>
      <c r="O102" s="13">
        <v>5908.8476548879735</v>
      </c>
      <c r="P102" s="13">
        <v>4367.4345579895216</v>
      </c>
      <c r="Q102" s="13">
        <v>0</v>
      </c>
      <c r="R102" s="13">
        <v>29181.572491357194</v>
      </c>
    </row>
    <row r="103" spans="1:18" x14ac:dyDescent="0.45">
      <c r="A103" t="s">
        <v>236</v>
      </c>
      <c r="B103" s="13">
        <v>3311.9642170149295</v>
      </c>
      <c r="D103" s="13">
        <v>2856.7922849257498</v>
      </c>
      <c r="G103" s="13">
        <v>21979.598267487399</v>
      </c>
      <c r="H103" s="13">
        <v>29052.612241909013</v>
      </c>
      <c r="J103" s="13">
        <v>11402.488332335894</v>
      </c>
      <c r="N103" s="13">
        <v>9007.5204036626437</v>
      </c>
      <c r="O103" s="13">
        <v>5908.8476548879735</v>
      </c>
      <c r="P103" s="13">
        <v>4367.4345579895216</v>
      </c>
      <c r="Q103" s="13">
        <v>0</v>
      </c>
      <c r="R103" s="13">
        <v>29181.572491357194</v>
      </c>
    </row>
    <row r="104" spans="1:18" x14ac:dyDescent="0.45">
      <c r="A104" t="s">
        <v>237</v>
      </c>
      <c r="B104" s="13">
        <v>3311.9642170149295</v>
      </c>
      <c r="D104" s="13">
        <v>2856.7922849257498</v>
      </c>
      <c r="G104" s="13">
        <v>21979.598267487399</v>
      </c>
      <c r="H104" s="13">
        <v>29052.612241909013</v>
      </c>
      <c r="J104" s="13">
        <v>11402.488332335894</v>
      </c>
      <c r="N104" s="13">
        <v>9007.5204036626437</v>
      </c>
      <c r="O104" s="13">
        <v>5908.8476548879735</v>
      </c>
      <c r="P104" s="13">
        <v>4367.4345579895216</v>
      </c>
      <c r="Q104" s="13">
        <v>0</v>
      </c>
      <c r="R104" s="13">
        <v>29181.572491357194</v>
      </c>
    </row>
    <row r="105" spans="1:18" x14ac:dyDescent="0.45">
      <c r="A105" t="s">
        <v>238</v>
      </c>
      <c r="B105" s="13">
        <v>3311.9642170149295</v>
      </c>
      <c r="D105" s="13">
        <v>2856.7922849257498</v>
      </c>
      <c r="G105" s="13">
        <v>21979.598267487399</v>
      </c>
      <c r="H105" s="13">
        <v>29052.612241909013</v>
      </c>
      <c r="J105" s="13">
        <v>11402.488332335894</v>
      </c>
      <c r="N105" s="13">
        <v>9007.5204036626437</v>
      </c>
      <c r="O105" s="13">
        <v>5908.8476548879735</v>
      </c>
      <c r="P105" s="13">
        <v>4367.4345579895216</v>
      </c>
      <c r="Q105" s="13">
        <v>0</v>
      </c>
      <c r="R105" s="13">
        <v>29181.572491357194</v>
      </c>
    </row>
    <row r="106" spans="1:18" x14ac:dyDescent="0.45">
      <c r="A106" t="s">
        <v>239</v>
      </c>
      <c r="B106" s="13">
        <v>3865.5162405791102</v>
      </c>
      <c r="D106" s="13">
        <v>3073.8962576708414</v>
      </c>
      <c r="G106" s="13">
        <v>24173.861583803497</v>
      </c>
      <c r="H106" s="13">
        <v>29460.892829207198</v>
      </c>
      <c r="J106" s="13">
        <v>11466.195392806896</v>
      </c>
      <c r="N106" s="13">
        <v>9789.3398604728209</v>
      </c>
      <c r="O106" s="13">
        <v>6271.3276598063003</v>
      </c>
      <c r="P106" s="13">
        <v>5024.4692927769929</v>
      </c>
      <c r="Q106" s="13">
        <v>0</v>
      </c>
      <c r="R106" s="13">
        <v>31446.113665655499</v>
      </c>
    </row>
    <row r="107" spans="1:18" x14ac:dyDescent="0.45">
      <c r="A107" t="s">
        <v>240</v>
      </c>
      <c r="B107" s="13">
        <v>3865.5162405791102</v>
      </c>
      <c r="D107" s="13">
        <v>3073.8962576708414</v>
      </c>
      <c r="G107" s="13">
        <v>24173.861583803497</v>
      </c>
      <c r="H107" s="13">
        <v>29460.892829207198</v>
      </c>
      <c r="J107" s="13">
        <v>11466.195392806896</v>
      </c>
      <c r="N107" s="13">
        <v>9789.3398604728209</v>
      </c>
      <c r="O107" s="13">
        <v>6271.3276598063003</v>
      </c>
      <c r="P107" s="13">
        <v>5024.4692927769929</v>
      </c>
      <c r="Q107" s="13">
        <v>0</v>
      </c>
      <c r="R107" s="13">
        <v>31446.113665655499</v>
      </c>
    </row>
    <row r="108" spans="1:18" x14ac:dyDescent="0.45">
      <c r="A108" t="s">
        <v>241</v>
      </c>
      <c r="B108" s="13">
        <v>3865.5162405791102</v>
      </c>
      <c r="D108" s="13">
        <v>3073.8962576708414</v>
      </c>
      <c r="G108" s="13">
        <v>24173.861583803497</v>
      </c>
      <c r="H108" s="13">
        <v>29460.892829207198</v>
      </c>
      <c r="J108" s="13">
        <v>11466.195392806896</v>
      </c>
      <c r="N108" s="13">
        <v>9789.3398604728209</v>
      </c>
      <c r="O108" s="13">
        <v>6271.3276598063003</v>
      </c>
      <c r="P108" s="13">
        <v>5024.4692927769929</v>
      </c>
      <c r="Q108" s="13">
        <v>0</v>
      </c>
      <c r="R108" s="13">
        <v>31446.113665655499</v>
      </c>
    </row>
    <row r="109" spans="1:18" x14ac:dyDescent="0.45">
      <c r="A109" t="s">
        <v>242</v>
      </c>
      <c r="B109" s="13">
        <v>3865.5162405791102</v>
      </c>
      <c r="D109" s="13">
        <v>3073.8962576708414</v>
      </c>
      <c r="G109" s="13">
        <v>24173.861583803497</v>
      </c>
      <c r="H109" s="13">
        <v>29460.892829207198</v>
      </c>
      <c r="J109" s="13">
        <v>11466.195392806896</v>
      </c>
      <c r="N109" s="13">
        <v>9789.3398604728209</v>
      </c>
      <c r="O109" s="13">
        <v>6271.3276598063003</v>
      </c>
      <c r="P109" s="13">
        <v>5024.4692927769929</v>
      </c>
      <c r="Q109" s="13">
        <v>0</v>
      </c>
      <c r="R109" s="13">
        <v>31446.113665655499</v>
      </c>
    </row>
    <row r="110" spans="1:18" x14ac:dyDescent="0.45">
      <c r="A110" t="s">
        <v>243</v>
      </c>
      <c r="B110" s="13">
        <v>4019.2696394394784</v>
      </c>
      <c r="D110" s="13">
        <v>3532.2263494578315</v>
      </c>
      <c r="G110" s="13">
        <v>24225.502458532199</v>
      </c>
      <c r="H110" s="13">
        <v>30418.757463117818</v>
      </c>
      <c r="J110" s="13">
        <v>12229.876872376495</v>
      </c>
      <c r="N110" s="13">
        <v>9960.6174454494922</v>
      </c>
      <c r="O110" s="13">
        <v>6457.1551880821835</v>
      </c>
      <c r="P110" s="13">
        <v>5114.1274948341197</v>
      </c>
      <c r="Q110" s="13">
        <v>0</v>
      </c>
      <c r="R110" s="13">
        <v>35000.633467507731</v>
      </c>
    </row>
    <row r="111" spans="1:18" x14ac:dyDescent="0.45">
      <c r="A111" t="s">
        <v>244</v>
      </c>
      <c r="B111" s="13">
        <v>4019.2696394394784</v>
      </c>
      <c r="D111" s="13">
        <v>3532.2263494578315</v>
      </c>
      <c r="G111" s="13">
        <v>24225.502458532199</v>
      </c>
      <c r="H111" s="13">
        <v>30418.757463117818</v>
      </c>
      <c r="J111" s="13">
        <v>12229.876872376495</v>
      </c>
      <c r="N111" s="13">
        <v>9960.6174454494922</v>
      </c>
      <c r="O111" s="13">
        <v>6457.1551880821835</v>
      </c>
      <c r="P111" s="13">
        <v>5114.1274948341197</v>
      </c>
      <c r="Q111" s="13">
        <v>0</v>
      </c>
      <c r="R111" s="13">
        <v>35000.633467507731</v>
      </c>
    </row>
    <row r="112" spans="1:18" x14ac:dyDescent="0.45">
      <c r="A112" t="s">
        <v>245</v>
      </c>
      <c r="B112" s="13">
        <v>4019.2696394394784</v>
      </c>
      <c r="D112" s="13">
        <v>3532.2263494578315</v>
      </c>
      <c r="G112" s="13">
        <v>24225.502458532199</v>
      </c>
      <c r="H112" s="13">
        <v>30418.757463117818</v>
      </c>
      <c r="J112" s="13">
        <v>12229.876872376495</v>
      </c>
      <c r="N112" s="13">
        <v>9960.6174454494922</v>
      </c>
      <c r="O112" s="13">
        <v>6457.1551880821835</v>
      </c>
      <c r="P112" s="13">
        <v>5114.1274948341197</v>
      </c>
      <c r="Q112" s="13">
        <v>0</v>
      </c>
      <c r="R112" s="13">
        <v>35000.633467507731</v>
      </c>
    </row>
    <row r="113" spans="1:18" x14ac:dyDescent="0.45">
      <c r="A113" t="s">
        <v>246</v>
      </c>
      <c r="B113" s="13">
        <v>4019.2696394394784</v>
      </c>
      <c r="D113" s="13">
        <v>3532.2263494578315</v>
      </c>
      <c r="G113" s="13">
        <v>24225.502458532199</v>
      </c>
      <c r="H113" s="13">
        <v>30418.757463117818</v>
      </c>
      <c r="J113" s="13">
        <v>12229.876872376495</v>
      </c>
      <c r="N113" s="13">
        <v>9960.6174454494922</v>
      </c>
      <c r="O113" s="13">
        <v>6457.1551880821835</v>
      </c>
      <c r="P113" s="13">
        <v>5114.1274948341197</v>
      </c>
      <c r="Q113" s="13">
        <v>0</v>
      </c>
      <c r="R113" s="13">
        <v>35000.633467507731</v>
      </c>
    </row>
    <row r="114" spans="1:18" x14ac:dyDescent="0.45">
      <c r="A114" t="s">
        <v>247</v>
      </c>
      <c r="B114" s="13">
        <v>3719.0053684506488</v>
      </c>
      <c r="D114" s="13">
        <v>3604.6596211403289</v>
      </c>
      <c r="G114" s="13">
        <v>24507.012127492002</v>
      </c>
      <c r="H114" s="13">
        <v>30691.890519422403</v>
      </c>
      <c r="J114" s="13">
        <v>13008.0353307839</v>
      </c>
      <c r="N114" s="13">
        <v>10695.4215590613</v>
      </c>
      <c r="O114" s="13">
        <v>6403.2735322265107</v>
      </c>
      <c r="P114" s="13">
        <v>4946.6537594473175</v>
      </c>
      <c r="Q114" s="13">
        <v>0</v>
      </c>
      <c r="R114" s="13">
        <v>35997.838576143302</v>
      </c>
    </row>
    <row r="115" spans="1:18" x14ac:dyDescent="0.45">
      <c r="A115" t="s">
        <v>248</v>
      </c>
      <c r="B115" s="13">
        <v>3719.0053684506488</v>
      </c>
      <c r="D115" s="13">
        <v>3604.6596211403289</v>
      </c>
      <c r="G115" s="13">
        <v>24507.012127492002</v>
      </c>
      <c r="H115" s="13">
        <v>30691.890519422403</v>
      </c>
      <c r="J115" s="13">
        <v>13008.0353307839</v>
      </c>
      <c r="N115" s="13">
        <v>10695.4215590613</v>
      </c>
      <c r="O115" s="13">
        <v>6403.2735322265107</v>
      </c>
      <c r="P115" s="13">
        <v>4946.6537594473175</v>
      </c>
      <c r="Q115" s="13">
        <v>0</v>
      </c>
      <c r="R115" s="13">
        <v>35997.838576143302</v>
      </c>
    </row>
    <row r="116" spans="1:18" x14ac:dyDescent="0.45">
      <c r="A116" t="s">
        <v>249</v>
      </c>
      <c r="B116" s="13">
        <v>3719.0053684506488</v>
      </c>
      <c r="D116" s="13">
        <v>3604.6596211403289</v>
      </c>
      <c r="G116" s="13">
        <v>24507.012127492002</v>
      </c>
      <c r="H116" s="13">
        <v>30691.890519422403</v>
      </c>
      <c r="J116" s="13">
        <v>13008.0353307839</v>
      </c>
      <c r="N116" s="13">
        <v>10695.4215590613</v>
      </c>
      <c r="O116" s="13">
        <v>6403.2735322265107</v>
      </c>
      <c r="P116" s="13">
        <v>4946.6537594473175</v>
      </c>
      <c r="Q116" s="13">
        <v>0</v>
      </c>
      <c r="R116" s="13">
        <v>35997.838576143302</v>
      </c>
    </row>
    <row r="117" spans="1:18" x14ac:dyDescent="0.45">
      <c r="A117" t="s">
        <v>250</v>
      </c>
      <c r="B117" s="13">
        <v>3719.0053684506488</v>
      </c>
      <c r="D117" s="13">
        <v>3604.6596211403289</v>
      </c>
      <c r="G117" s="13">
        <v>24507.012127492002</v>
      </c>
      <c r="H117" s="13">
        <v>30691.890519422403</v>
      </c>
      <c r="J117" s="13">
        <v>13008.0353307839</v>
      </c>
      <c r="N117" s="13">
        <v>10695.4215590613</v>
      </c>
      <c r="O117" s="13">
        <v>6403.2735322265107</v>
      </c>
      <c r="P117" s="13">
        <v>4946.6537594473175</v>
      </c>
      <c r="Q117" s="13">
        <v>0</v>
      </c>
      <c r="R117" s="13">
        <v>35997.838576143302</v>
      </c>
    </row>
    <row r="118" spans="1:18" x14ac:dyDescent="0.45">
      <c r="A118" t="s">
        <v>251</v>
      </c>
      <c r="B118" s="13">
        <v>3488.3783960260803</v>
      </c>
      <c r="D118" s="13">
        <v>4138.0130737450199</v>
      </c>
      <c r="G118" s="13">
        <v>27039.388353773498</v>
      </c>
      <c r="H118" s="13">
        <v>32662.213442186297</v>
      </c>
      <c r="J118" s="13">
        <v>12829.0337174787</v>
      </c>
      <c r="N118" s="13">
        <v>11978.5162961893</v>
      </c>
      <c r="O118" s="13">
        <v>6488.1831451196422</v>
      </c>
      <c r="P118" s="13">
        <v>4688.2136833511731</v>
      </c>
      <c r="Q118" s="13">
        <v>0</v>
      </c>
      <c r="R118" s="13">
        <v>39988.137255472888</v>
      </c>
    </row>
    <row r="119" spans="1:18" x14ac:dyDescent="0.45">
      <c r="A119" t="s">
        <v>252</v>
      </c>
      <c r="B119" s="13">
        <v>3488.3783960260803</v>
      </c>
      <c r="D119" s="13">
        <v>4138.0130737450199</v>
      </c>
      <c r="G119" s="13">
        <v>27039.388353773498</v>
      </c>
      <c r="H119" s="13">
        <v>32662.213442186297</v>
      </c>
      <c r="J119" s="13">
        <v>12829.0337174787</v>
      </c>
      <c r="N119" s="13">
        <v>11978.5162961893</v>
      </c>
      <c r="O119" s="13">
        <v>6488.1831451196422</v>
      </c>
      <c r="P119" s="13">
        <v>4688.2136833511731</v>
      </c>
      <c r="Q119" s="13">
        <v>0</v>
      </c>
      <c r="R119" s="13">
        <v>39988.137255472888</v>
      </c>
    </row>
    <row r="120" spans="1:18" x14ac:dyDescent="0.45">
      <c r="A120" t="s">
        <v>253</v>
      </c>
      <c r="B120" s="13">
        <v>3488.3783960260803</v>
      </c>
      <c r="D120" s="13">
        <v>4138.0130737450199</v>
      </c>
      <c r="G120" s="13">
        <v>27039.388353773498</v>
      </c>
      <c r="H120" s="13">
        <v>32662.213442186297</v>
      </c>
      <c r="J120" s="13">
        <v>12829.0337174787</v>
      </c>
      <c r="N120" s="13">
        <v>11978.5162961893</v>
      </c>
      <c r="O120" s="13">
        <v>6488.1831451196422</v>
      </c>
      <c r="P120" s="13">
        <v>4688.2136833511731</v>
      </c>
      <c r="Q120" s="13">
        <v>0</v>
      </c>
      <c r="R120" s="13">
        <v>39988.137255472888</v>
      </c>
    </row>
    <row r="121" spans="1:18" x14ac:dyDescent="0.45">
      <c r="A121" t="s">
        <v>254</v>
      </c>
      <c r="B121" s="13">
        <v>3488.3783960260803</v>
      </c>
      <c r="D121" s="13">
        <v>4138.0130737450199</v>
      </c>
      <c r="G121" s="13">
        <v>27039.388353773498</v>
      </c>
      <c r="H121" s="13">
        <v>32662.213442186297</v>
      </c>
      <c r="J121" s="13">
        <v>12829.0337174787</v>
      </c>
      <c r="N121" s="13">
        <v>11978.5162961893</v>
      </c>
      <c r="O121" s="13">
        <v>6488.1831451196422</v>
      </c>
      <c r="P121" s="13">
        <v>4688.2136833511731</v>
      </c>
      <c r="Q121" s="13">
        <v>0</v>
      </c>
      <c r="R121" s="13">
        <v>39988.137255472888</v>
      </c>
    </row>
    <row r="122" spans="1:18" x14ac:dyDescent="0.45">
      <c r="A122" t="s">
        <v>255</v>
      </c>
      <c r="B122" s="13">
        <v>3977.75486</v>
      </c>
      <c r="D122" s="13">
        <v>5297.2475720000002</v>
      </c>
      <c r="G122" s="13">
        <v>27381.081665000002</v>
      </c>
      <c r="H122" s="13">
        <v>33814.585095000002</v>
      </c>
      <c r="J122" s="13">
        <v>12587.536835000001</v>
      </c>
      <c r="N122" s="13">
        <v>12279.90352</v>
      </c>
      <c r="O122" s="13">
        <v>6262.5044420000004</v>
      </c>
      <c r="P122" s="13">
        <v>4881.4103530000002</v>
      </c>
      <c r="Q122" s="13">
        <v>0</v>
      </c>
      <c r="R122" s="13">
        <v>44285.041237999998</v>
      </c>
    </row>
    <row r="123" spans="1:18" x14ac:dyDescent="0.45">
      <c r="A123" t="s">
        <v>256</v>
      </c>
      <c r="B123" s="13">
        <v>3977.75486</v>
      </c>
      <c r="D123" s="13">
        <v>5297.2475720000002</v>
      </c>
      <c r="G123" s="13">
        <v>27381.081665000002</v>
      </c>
      <c r="H123" s="13">
        <v>33814.585095000002</v>
      </c>
      <c r="J123" s="13">
        <v>12587.536835000001</v>
      </c>
      <c r="N123" s="13">
        <v>12279.90352</v>
      </c>
      <c r="O123" s="13">
        <v>6262.5044420000004</v>
      </c>
      <c r="P123" s="13">
        <v>4881.4103530000002</v>
      </c>
      <c r="Q123" s="13">
        <v>0</v>
      </c>
      <c r="R123" s="13">
        <v>44285.041237999998</v>
      </c>
    </row>
    <row r="124" spans="1:18" x14ac:dyDescent="0.45">
      <c r="A124" t="s">
        <v>257</v>
      </c>
      <c r="B124" s="13">
        <v>3977.75486</v>
      </c>
      <c r="D124" s="13">
        <v>5297.2475720000002</v>
      </c>
      <c r="G124" s="13">
        <v>27381.081665000002</v>
      </c>
      <c r="H124" s="13">
        <v>33814.585095000002</v>
      </c>
      <c r="J124" s="13">
        <v>12587.536835000001</v>
      </c>
      <c r="N124" s="13">
        <v>12279.90352</v>
      </c>
      <c r="O124" s="13">
        <v>6262.5044420000004</v>
      </c>
      <c r="P124" s="13">
        <v>4881.4103530000002</v>
      </c>
      <c r="Q124" s="13">
        <v>0</v>
      </c>
      <c r="R124" s="13">
        <v>44285.041237999998</v>
      </c>
    </row>
    <row r="125" spans="1:18" x14ac:dyDescent="0.45">
      <c r="A125" t="s">
        <v>258</v>
      </c>
      <c r="B125" s="13">
        <v>3977.75486</v>
      </c>
      <c r="D125" s="13">
        <v>5297.2475720000002</v>
      </c>
      <c r="G125" s="13">
        <v>27381.081665000002</v>
      </c>
      <c r="H125" s="13">
        <v>33814.585095000002</v>
      </c>
      <c r="J125" s="13">
        <v>12587.536835000001</v>
      </c>
      <c r="N125" s="13">
        <v>12279.90352</v>
      </c>
      <c r="O125" s="13">
        <v>6262.5044420000004</v>
      </c>
      <c r="P125" s="13">
        <v>4881.4103530000002</v>
      </c>
      <c r="Q125" s="13">
        <v>0</v>
      </c>
      <c r="R125" s="13">
        <v>44285.041237999998</v>
      </c>
    </row>
    <row r="126" spans="1:18" x14ac:dyDescent="0.45">
      <c r="A126" t="s">
        <v>259</v>
      </c>
      <c r="B126" s="13">
        <v>3287.1877519999998</v>
      </c>
      <c r="D126" s="13">
        <v>4670.3714579999996</v>
      </c>
      <c r="G126" s="13">
        <v>26822.966930999999</v>
      </c>
      <c r="H126" s="13">
        <v>33054.710080999997</v>
      </c>
      <c r="J126" s="13">
        <v>11797.059960000001</v>
      </c>
      <c r="N126" s="13">
        <v>11652.861421</v>
      </c>
      <c r="O126" s="13">
        <v>5589.2297060000001</v>
      </c>
      <c r="P126" s="13">
        <v>5882.6956309999996</v>
      </c>
      <c r="Q126" s="13">
        <v>0</v>
      </c>
      <c r="R126" s="13">
        <v>42053.766513000002</v>
      </c>
    </row>
    <row r="127" spans="1:18" x14ac:dyDescent="0.45">
      <c r="A127" t="s">
        <v>260</v>
      </c>
      <c r="B127" s="13">
        <v>3287.1877519999998</v>
      </c>
      <c r="D127" s="13">
        <v>4670.3714579999996</v>
      </c>
      <c r="G127" s="13">
        <v>26822.966930999999</v>
      </c>
      <c r="H127" s="13">
        <v>33054.710080999997</v>
      </c>
      <c r="J127" s="13">
        <v>11797.059960000001</v>
      </c>
      <c r="N127" s="13">
        <v>11652.861421</v>
      </c>
      <c r="O127" s="13">
        <v>5589.2297060000001</v>
      </c>
      <c r="P127" s="13">
        <v>5882.6956309999996</v>
      </c>
      <c r="Q127" s="13">
        <v>0</v>
      </c>
      <c r="R127" s="13">
        <v>42053.766513000002</v>
      </c>
    </row>
    <row r="128" spans="1:18" x14ac:dyDescent="0.45">
      <c r="A128" t="s">
        <v>261</v>
      </c>
      <c r="B128" s="13">
        <v>3287.1877519999998</v>
      </c>
      <c r="D128" s="13">
        <v>4670.3714579999996</v>
      </c>
      <c r="G128" s="13">
        <v>26822.966930999999</v>
      </c>
      <c r="H128" s="13">
        <v>33054.710080999997</v>
      </c>
      <c r="J128" s="13">
        <v>11797.059960000001</v>
      </c>
      <c r="N128" s="13">
        <v>11652.861421</v>
      </c>
      <c r="O128" s="13">
        <v>5589.2297060000001</v>
      </c>
      <c r="P128" s="13">
        <v>5882.6956309999996</v>
      </c>
      <c r="Q128" s="13">
        <v>0</v>
      </c>
      <c r="R128" s="13">
        <v>42053.766513000002</v>
      </c>
    </row>
    <row r="129" spans="1:18" x14ac:dyDescent="0.45">
      <c r="A129" t="s">
        <v>262</v>
      </c>
      <c r="B129" s="13">
        <v>3287.1877519999998</v>
      </c>
      <c r="D129" s="13">
        <v>4670.3714579999996</v>
      </c>
      <c r="G129" s="13">
        <v>26822.966930999999</v>
      </c>
      <c r="H129" s="13">
        <v>33054.710080999997</v>
      </c>
      <c r="J129" s="13">
        <v>11797.059960000001</v>
      </c>
      <c r="N129" s="13">
        <v>11652.861421</v>
      </c>
      <c r="O129" s="13">
        <v>5589.2297060000001</v>
      </c>
      <c r="P129" s="13">
        <v>5882.6956309999996</v>
      </c>
      <c r="Q129" s="13">
        <v>0</v>
      </c>
      <c r="R129" s="13">
        <v>42053.766513000002</v>
      </c>
    </row>
    <row r="130" spans="1:18" x14ac:dyDescent="0.45">
      <c r="A130" t="s">
        <v>263</v>
      </c>
      <c r="B130" s="13">
        <v>3103.5883589999999</v>
      </c>
      <c r="D130" s="13">
        <v>4723.2585639999998</v>
      </c>
      <c r="G130" s="13">
        <v>27826.901817000002</v>
      </c>
      <c r="H130" s="13">
        <v>32479.013860999999</v>
      </c>
      <c r="J130" s="13">
        <v>12633.848352000001</v>
      </c>
      <c r="N130" s="13">
        <v>12596.332527</v>
      </c>
      <c r="O130" s="13">
        <v>5777.7245949999997</v>
      </c>
      <c r="P130" s="13">
        <v>4576.922646</v>
      </c>
      <c r="Q130" s="13">
        <v>0</v>
      </c>
      <c r="R130" s="13">
        <v>41865.227699000003</v>
      </c>
    </row>
    <row r="131" spans="1:18" x14ac:dyDescent="0.45">
      <c r="A131" t="s">
        <v>264</v>
      </c>
      <c r="B131" s="13">
        <v>3103.5883589999999</v>
      </c>
      <c r="D131" s="13">
        <v>4723.2585639999998</v>
      </c>
      <c r="G131" s="13">
        <v>27826.901817000002</v>
      </c>
      <c r="H131" s="13">
        <v>32479.013860999999</v>
      </c>
      <c r="J131" s="13">
        <v>12633.848352000001</v>
      </c>
      <c r="N131" s="13">
        <v>12596.332527</v>
      </c>
      <c r="O131" s="13">
        <v>5777.7245949999997</v>
      </c>
      <c r="P131" s="13">
        <v>4576.922646</v>
      </c>
      <c r="Q131" s="13">
        <v>0</v>
      </c>
      <c r="R131" s="13">
        <v>41865.227699000003</v>
      </c>
    </row>
    <row r="132" spans="1:18" x14ac:dyDescent="0.45">
      <c r="A132" t="s">
        <v>265</v>
      </c>
      <c r="B132" s="13">
        <v>3103.5883589999999</v>
      </c>
      <c r="D132" s="13">
        <v>4723.2585639999998</v>
      </c>
      <c r="G132" s="13">
        <v>27826.901817000002</v>
      </c>
      <c r="H132" s="13">
        <v>32479.013860999999</v>
      </c>
      <c r="J132" s="13">
        <v>12633.848352000001</v>
      </c>
      <c r="N132" s="13">
        <v>12596.332527</v>
      </c>
      <c r="O132" s="13">
        <v>5777.7245949999997</v>
      </c>
      <c r="P132" s="13">
        <v>4576.922646</v>
      </c>
      <c r="Q132" s="13">
        <v>0</v>
      </c>
      <c r="R132" s="13">
        <v>41865.227699000003</v>
      </c>
    </row>
    <row r="133" spans="1:18" x14ac:dyDescent="0.45">
      <c r="A133" t="s">
        <v>266</v>
      </c>
      <c r="B133" s="13">
        <v>3103.5883589999999</v>
      </c>
      <c r="D133" s="13">
        <v>4723.2585639999998</v>
      </c>
      <c r="G133" s="13">
        <v>27826.901817000002</v>
      </c>
      <c r="H133" s="13">
        <v>32479.013860999999</v>
      </c>
      <c r="J133" s="13">
        <v>12633.848352000001</v>
      </c>
      <c r="N133" s="13">
        <v>12596.332527</v>
      </c>
      <c r="O133" s="13">
        <v>5777.7245949999997</v>
      </c>
      <c r="P133" s="13">
        <v>4576.922646</v>
      </c>
      <c r="Q133" s="13">
        <v>0</v>
      </c>
      <c r="R133" s="13">
        <v>41865.227699000003</v>
      </c>
    </row>
    <row r="134" spans="1:18" x14ac:dyDescent="0.45">
      <c r="A134" t="s">
        <v>267</v>
      </c>
      <c r="B134" s="13">
        <v>3705.7507989999999</v>
      </c>
      <c r="D134" s="13">
        <v>5318.6740280000004</v>
      </c>
      <c r="G134" s="13">
        <v>30292.945451</v>
      </c>
      <c r="H134" s="13">
        <v>33289.158904999997</v>
      </c>
      <c r="J134" s="13">
        <v>13883.571900999999</v>
      </c>
      <c r="N134" s="13">
        <v>14391.521822999999</v>
      </c>
      <c r="O134" s="13">
        <v>6217.8477579999999</v>
      </c>
      <c r="P134" s="13">
        <v>4245.8413780000001</v>
      </c>
      <c r="Q134" s="13">
        <v>0</v>
      </c>
      <c r="R134" s="13">
        <v>45771.756007000004</v>
      </c>
    </row>
    <row r="135" spans="1:18" x14ac:dyDescent="0.45">
      <c r="A135" t="s">
        <v>268</v>
      </c>
      <c r="B135" s="13">
        <v>3705.7507989999999</v>
      </c>
      <c r="D135" s="13">
        <v>5318.6740280000004</v>
      </c>
      <c r="G135" s="13">
        <v>30292.945451</v>
      </c>
      <c r="H135" s="13">
        <v>33289.158904999997</v>
      </c>
      <c r="J135" s="13">
        <v>13883.571900999999</v>
      </c>
      <c r="N135" s="13">
        <v>14391.521822999999</v>
      </c>
      <c r="O135" s="13">
        <v>6217.8477579999999</v>
      </c>
      <c r="P135" s="13">
        <v>4245.8413780000001</v>
      </c>
      <c r="Q135" s="13">
        <v>0</v>
      </c>
      <c r="R135" s="13">
        <v>45771.756007000004</v>
      </c>
    </row>
    <row r="136" spans="1:18" x14ac:dyDescent="0.45">
      <c r="A136" t="s">
        <v>269</v>
      </c>
      <c r="B136" s="13">
        <v>3705.7507989999999</v>
      </c>
      <c r="D136" s="13">
        <v>5318.6740280000004</v>
      </c>
      <c r="G136" s="13">
        <v>30292.945451</v>
      </c>
      <c r="H136" s="13">
        <v>33289.158904999997</v>
      </c>
      <c r="J136" s="13">
        <v>13883.571900999999</v>
      </c>
      <c r="N136" s="13">
        <v>14391.521822999999</v>
      </c>
      <c r="O136" s="13">
        <v>6217.8477579999999</v>
      </c>
      <c r="P136" s="13">
        <v>4245.8413780000001</v>
      </c>
      <c r="Q136" s="13">
        <v>0</v>
      </c>
      <c r="R136" s="13">
        <v>45771.756007000004</v>
      </c>
    </row>
    <row r="137" spans="1:18" x14ac:dyDescent="0.45">
      <c r="A137" t="s">
        <v>270</v>
      </c>
      <c r="B137" s="13">
        <v>3705.7507989999999</v>
      </c>
      <c r="D137" s="13">
        <v>5318.6740280000004</v>
      </c>
      <c r="G137" s="13">
        <v>30292.945451</v>
      </c>
      <c r="H137" s="13">
        <v>33289.158904999997</v>
      </c>
      <c r="J137" s="13">
        <v>13883.571900999999</v>
      </c>
      <c r="N137" s="13">
        <v>14391.521822999999</v>
      </c>
      <c r="O137" s="13">
        <v>6217.8477579999999</v>
      </c>
      <c r="P137" s="13">
        <v>4245.8413780000001</v>
      </c>
      <c r="Q137" s="13">
        <v>0</v>
      </c>
      <c r="R137" s="13">
        <v>45771.756007000004</v>
      </c>
    </row>
    <row r="138" spans="1:18" x14ac:dyDescent="0.45">
      <c r="A138" t="s">
        <v>271</v>
      </c>
      <c r="B138" s="13">
        <v>4385.1475559999999</v>
      </c>
      <c r="D138" s="13">
        <v>6111.8394470000003</v>
      </c>
      <c r="G138" s="13">
        <v>33919.401275999997</v>
      </c>
      <c r="H138" s="13">
        <v>39529.536561000001</v>
      </c>
      <c r="J138" s="13">
        <v>15326.330809999999</v>
      </c>
      <c r="N138" s="13">
        <v>16631.709736000001</v>
      </c>
      <c r="O138" s="13">
        <v>7929.2594989999998</v>
      </c>
      <c r="P138" s="13">
        <v>5444.7435340000002</v>
      </c>
      <c r="Q138" s="13">
        <v>0</v>
      </c>
      <c r="R138" s="13">
        <v>50313.367036000003</v>
      </c>
    </row>
    <row r="139" spans="1:18" x14ac:dyDescent="0.45">
      <c r="A139" t="s">
        <v>272</v>
      </c>
      <c r="B139" s="13">
        <v>4385.1475559999999</v>
      </c>
      <c r="D139" s="13">
        <v>6111.8394470000003</v>
      </c>
      <c r="G139" s="13">
        <v>33919.401275999997</v>
      </c>
      <c r="H139" s="13">
        <v>39529.536561000001</v>
      </c>
      <c r="J139" s="13">
        <v>15326.330809999999</v>
      </c>
      <c r="N139" s="13">
        <v>16631.709736000001</v>
      </c>
      <c r="O139" s="13">
        <v>7929.2594989999998</v>
      </c>
      <c r="P139" s="13">
        <v>5444.7435340000002</v>
      </c>
      <c r="Q139" s="13">
        <v>0</v>
      </c>
      <c r="R139" s="13">
        <v>50313.367036000003</v>
      </c>
    </row>
    <row r="140" spans="1:18" x14ac:dyDescent="0.45">
      <c r="A140" t="s">
        <v>273</v>
      </c>
      <c r="B140" s="13">
        <v>4385.1475559999999</v>
      </c>
      <c r="D140" s="13">
        <v>6111.8394470000003</v>
      </c>
      <c r="G140" s="13">
        <v>33919.401275999997</v>
      </c>
      <c r="H140" s="13">
        <v>39529.536561000001</v>
      </c>
      <c r="J140" s="13">
        <v>15326.330809999999</v>
      </c>
      <c r="N140" s="13">
        <v>16631.709736000001</v>
      </c>
      <c r="O140" s="13">
        <v>7929.2594989999998</v>
      </c>
      <c r="P140" s="13">
        <v>5444.7435340000002</v>
      </c>
      <c r="Q140" s="13">
        <v>0</v>
      </c>
      <c r="R140" s="13">
        <v>50313.367036000003</v>
      </c>
    </row>
    <row r="141" spans="1:18" x14ac:dyDescent="0.45">
      <c r="A141" t="s">
        <v>274</v>
      </c>
      <c r="B141" s="13">
        <v>4385.1475559999999</v>
      </c>
      <c r="D141" s="13">
        <v>6111.8394470000003</v>
      </c>
      <c r="G141" s="13">
        <v>33919.401275999997</v>
      </c>
      <c r="H141" s="13">
        <v>39529.536561000001</v>
      </c>
      <c r="J141" s="13">
        <v>15326.330809999999</v>
      </c>
      <c r="N141" s="13">
        <v>16631.709736000001</v>
      </c>
      <c r="O141" s="13">
        <v>7929.2594989999998</v>
      </c>
      <c r="P141" s="13">
        <v>5444.7435340000002</v>
      </c>
      <c r="Q141" s="13">
        <v>0</v>
      </c>
      <c r="R141" s="13">
        <v>50313.367036000003</v>
      </c>
    </row>
    <row r="142" spans="1:18" x14ac:dyDescent="0.45">
      <c r="A142" t="s">
        <v>275</v>
      </c>
      <c r="B142" s="13">
        <v>4730.4122870000001</v>
      </c>
      <c r="D142" s="13">
        <v>5196.4684749999997</v>
      </c>
      <c r="G142" s="13">
        <v>34628.289600999997</v>
      </c>
      <c r="H142" s="13">
        <v>39288.706638000003</v>
      </c>
      <c r="J142" s="13">
        <v>15484.721525000001</v>
      </c>
      <c r="N142" s="13">
        <v>19156.804639000002</v>
      </c>
      <c r="O142" s="13">
        <v>8208.363985</v>
      </c>
      <c r="P142" s="13">
        <v>14234.026232</v>
      </c>
      <c r="Q142" s="13">
        <v>0</v>
      </c>
      <c r="R142" s="13">
        <v>52574.15554</v>
      </c>
    </row>
    <row r="143" spans="1:18" x14ac:dyDescent="0.45">
      <c r="A143" t="s">
        <v>276</v>
      </c>
      <c r="B143" s="13">
        <v>4730.4122870000001</v>
      </c>
      <c r="D143" s="13">
        <v>5196.4684749999997</v>
      </c>
      <c r="G143" s="13">
        <v>34628.289600999997</v>
      </c>
      <c r="H143" s="13">
        <v>39288.706638000003</v>
      </c>
      <c r="J143" s="13">
        <v>15484.721525000001</v>
      </c>
      <c r="N143" s="13">
        <v>19156.804639000002</v>
      </c>
      <c r="O143" s="13">
        <v>8208.363985</v>
      </c>
      <c r="P143" s="13">
        <v>14234.026232</v>
      </c>
      <c r="Q143" s="13">
        <v>0</v>
      </c>
      <c r="R143" s="13">
        <v>52574.15554</v>
      </c>
    </row>
    <row r="144" spans="1:18" x14ac:dyDescent="0.45">
      <c r="A144" t="s">
        <v>277</v>
      </c>
      <c r="B144" s="13">
        <v>4730.4122870000001</v>
      </c>
      <c r="D144" s="13">
        <v>5196.4684749999997</v>
      </c>
      <c r="G144" s="13">
        <v>34628.289600999997</v>
      </c>
      <c r="H144" s="13">
        <v>39288.706638000003</v>
      </c>
      <c r="J144" s="13">
        <v>15484.721525000001</v>
      </c>
      <c r="N144" s="13">
        <v>19156.804639000002</v>
      </c>
      <c r="O144" s="13">
        <v>8208.363985</v>
      </c>
      <c r="P144" s="13">
        <v>14234.026232</v>
      </c>
      <c r="Q144" s="13">
        <v>0</v>
      </c>
      <c r="R144" s="13">
        <v>52574.15554</v>
      </c>
    </row>
    <row r="145" spans="1:18" x14ac:dyDescent="0.45">
      <c r="A145" t="s">
        <v>278</v>
      </c>
      <c r="B145" s="13">
        <v>4730.4122870000001</v>
      </c>
      <c r="D145" s="13">
        <v>5196.4684749999997</v>
      </c>
      <c r="G145" s="13">
        <v>34628.289600999997</v>
      </c>
      <c r="H145" s="13">
        <v>39288.706638000003</v>
      </c>
      <c r="J145" s="13">
        <v>15484.721525000001</v>
      </c>
      <c r="N145" s="13">
        <v>19156.804639000002</v>
      </c>
      <c r="O145" s="13">
        <v>8208.363985</v>
      </c>
      <c r="P145" s="13">
        <v>14234.026232</v>
      </c>
      <c r="Q145" s="13">
        <v>0</v>
      </c>
      <c r="R145" s="13">
        <v>52574.15554</v>
      </c>
    </row>
    <row r="146" spans="1:18" x14ac:dyDescent="0.45">
      <c r="A146" t="s">
        <v>279</v>
      </c>
      <c r="B146" s="13">
        <v>5039.2151309999999</v>
      </c>
      <c r="D146" s="13">
        <v>6224.2680179999998</v>
      </c>
      <c r="G146" s="13">
        <v>51031.264219999997</v>
      </c>
      <c r="H146" s="13">
        <v>47201.346410999999</v>
      </c>
      <c r="J146" s="13">
        <v>17006.637542</v>
      </c>
      <c r="N146" s="13">
        <v>22712.157493999999</v>
      </c>
      <c r="O146" s="13">
        <v>9410.5682429999997</v>
      </c>
      <c r="P146" s="13">
        <v>8172.6844769999998</v>
      </c>
      <c r="Q146" s="13">
        <v>0</v>
      </c>
      <c r="R146" s="13">
        <v>55109.792566999997</v>
      </c>
    </row>
    <row r="147" spans="1:18" x14ac:dyDescent="0.45">
      <c r="A147" t="s">
        <v>280</v>
      </c>
      <c r="B147" s="13">
        <v>5039.2151309999999</v>
      </c>
      <c r="D147" s="13">
        <v>6224.2680179999998</v>
      </c>
      <c r="G147" s="13">
        <v>51031.264219999997</v>
      </c>
      <c r="H147" s="13">
        <v>47201.346410999999</v>
      </c>
      <c r="J147" s="13">
        <v>17006.637542</v>
      </c>
      <c r="N147" s="13">
        <v>22712.157493999999</v>
      </c>
      <c r="O147" s="13">
        <v>9410.5682429999997</v>
      </c>
      <c r="P147" s="13">
        <v>8172.6844769999998</v>
      </c>
      <c r="Q147" s="13">
        <v>0</v>
      </c>
      <c r="R147" s="13">
        <v>55109.792566999997</v>
      </c>
    </row>
    <row r="148" spans="1:18" x14ac:dyDescent="0.45">
      <c r="A148" t="s">
        <v>281</v>
      </c>
      <c r="B148" s="13">
        <v>5039.2151309999999</v>
      </c>
      <c r="D148" s="13">
        <v>6224.2680179999998</v>
      </c>
      <c r="G148" s="13">
        <v>51031.264219999997</v>
      </c>
      <c r="H148" s="13">
        <v>47201.346410999999</v>
      </c>
      <c r="J148" s="13">
        <v>17006.637542</v>
      </c>
      <c r="N148" s="13">
        <v>22712.157493999999</v>
      </c>
      <c r="O148" s="13">
        <v>9410.5682429999997</v>
      </c>
      <c r="P148" s="13">
        <v>8172.6844769999998</v>
      </c>
      <c r="Q148" s="13">
        <v>0</v>
      </c>
      <c r="R148" s="13">
        <v>55109.792566999997</v>
      </c>
    </row>
    <row r="149" spans="1:18" x14ac:dyDescent="0.45">
      <c r="A149" t="s">
        <v>282</v>
      </c>
      <c r="B149" s="13">
        <v>5039.2151309999999</v>
      </c>
      <c r="D149" s="13">
        <v>6224.2680179999998</v>
      </c>
      <c r="G149" s="13">
        <v>51031.264219999997</v>
      </c>
      <c r="H149" s="13">
        <v>47201.346410999999</v>
      </c>
      <c r="J149" s="13">
        <v>17006.637542</v>
      </c>
      <c r="N149" s="13">
        <v>22712.157493999999</v>
      </c>
      <c r="O149" s="13">
        <v>9410.5682429999997</v>
      </c>
      <c r="P149" s="13">
        <v>8172.6844769999998</v>
      </c>
      <c r="Q149" s="13">
        <v>0</v>
      </c>
      <c r="R149" s="13">
        <v>55109.792566999997</v>
      </c>
    </row>
    <row r="150" spans="1:18" x14ac:dyDescent="0.45">
      <c r="A150" t="s">
        <v>283</v>
      </c>
      <c r="B150" s="13">
        <v>6589.683497</v>
      </c>
      <c r="D150" s="13">
        <v>5851.1895729999997</v>
      </c>
      <c r="G150" s="13">
        <v>33845.932643</v>
      </c>
      <c r="H150" s="13">
        <v>46526.630044999998</v>
      </c>
      <c r="J150" s="13">
        <v>17763.255953</v>
      </c>
      <c r="N150" s="13">
        <v>19678.846979999998</v>
      </c>
      <c r="O150" s="13">
        <v>9640.431611</v>
      </c>
      <c r="P150" s="13">
        <v>8045.8254749999996</v>
      </c>
      <c r="Q150" s="13">
        <v>0</v>
      </c>
      <c r="R150" s="13">
        <v>59416.586079000001</v>
      </c>
    </row>
    <row r="151" spans="1:18" x14ac:dyDescent="0.45">
      <c r="A151" t="s">
        <v>284</v>
      </c>
      <c r="B151" s="13">
        <v>6589.683497</v>
      </c>
      <c r="D151" s="13">
        <v>5851.1895729999997</v>
      </c>
      <c r="G151" s="13">
        <v>33845.932643</v>
      </c>
      <c r="H151" s="13">
        <v>46526.630044999998</v>
      </c>
      <c r="J151" s="13">
        <v>17763.255953</v>
      </c>
      <c r="N151" s="13">
        <v>19678.846979999998</v>
      </c>
      <c r="O151" s="13">
        <v>9640.431611</v>
      </c>
      <c r="P151" s="13">
        <v>8045.8254749999996</v>
      </c>
      <c r="Q151" s="13">
        <v>0</v>
      </c>
      <c r="R151" s="13">
        <v>59416.586079000001</v>
      </c>
    </row>
    <row r="152" spans="1:18" x14ac:dyDescent="0.45">
      <c r="A152" t="s">
        <v>285</v>
      </c>
      <c r="B152" s="13">
        <v>6589.683497</v>
      </c>
      <c r="D152" s="13">
        <v>5851.1895729999997</v>
      </c>
      <c r="G152" s="13">
        <v>33845.932643</v>
      </c>
      <c r="H152" s="13">
        <v>46526.630044999998</v>
      </c>
      <c r="J152" s="13">
        <v>17763.255953</v>
      </c>
      <c r="N152" s="13">
        <v>19678.846979999998</v>
      </c>
      <c r="O152" s="13">
        <v>9640.431611</v>
      </c>
      <c r="P152" s="13">
        <v>8045.8254749999996</v>
      </c>
      <c r="Q152" s="13">
        <v>0</v>
      </c>
      <c r="R152" s="13">
        <v>59416.586079000001</v>
      </c>
    </row>
    <row r="153" spans="1:18" x14ac:dyDescent="0.45">
      <c r="A153" t="s">
        <v>286</v>
      </c>
      <c r="B153" s="13">
        <v>6589.683497</v>
      </c>
      <c r="D153" s="13">
        <v>5851.1895729999997</v>
      </c>
      <c r="G153" s="13">
        <v>33845.932643</v>
      </c>
      <c r="H153" s="13">
        <v>46526.630044999998</v>
      </c>
      <c r="J153" s="13">
        <v>17763.255953</v>
      </c>
      <c r="N153" s="13">
        <v>19678.846979999998</v>
      </c>
      <c r="O153" s="13">
        <v>9640.431611</v>
      </c>
      <c r="P153" s="13">
        <v>8045.8254749999996</v>
      </c>
      <c r="Q153" s="13">
        <v>0</v>
      </c>
      <c r="R153" s="13">
        <v>59416.586079000001</v>
      </c>
    </row>
    <row r="154" spans="1:18" x14ac:dyDescent="0.45">
      <c r="A154" t="s">
        <v>287</v>
      </c>
      <c r="B154" s="13">
        <v>7581.7455540000001</v>
      </c>
      <c r="D154" s="13">
        <v>5849.8265359999996</v>
      </c>
      <c r="G154" s="13">
        <v>32630.098058</v>
      </c>
      <c r="H154" s="13">
        <v>50428.580829999999</v>
      </c>
      <c r="J154" s="13">
        <v>16995.120961000001</v>
      </c>
      <c r="N154" s="13">
        <v>18630.611624000001</v>
      </c>
      <c r="O154" s="13">
        <v>9426.2147189999996</v>
      </c>
      <c r="P154" s="13">
        <v>11846.186152</v>
      </c>
      <c r="Q154" s="13">
        <v>0</v>
      </c>
      <c r="R154" s="13">
        <v>60046.407402999997</v>
      </c>
    </row>
    <row r="155" spans="1:18" x14ac:dyDescent="0.45">
      <c r="A155" t="s">
        <v>288</v>
      </c>
      <c r="B155" s="13">
        <v>7581.7455540000001</v>
      </c>
      <c r="D155" s="13">
        <v>5849.8265359999996</v>
      </c>
      <c r="G155" s="13">
        <v>32630.098058</v>
      </c>
      <c r="H155" s="13">
        <v>50428.580829999999</v>
      </c>
      <c r="J155" s="13">
        <v>16995.120961000001</v>
      </c>
      <c r="N155" s="13">
        <v>18630.611624000001</v>
      </c>
      <c r="O155" s="13">
        <v>9426.2147189999996</v>
      </c>
      <c r="P155" s="13">
        <v>11846.186152</v>
      </c>
      <c r="Q155" s="13">
        <v>0</v>
      </c>
      <c r="R155" s="13">
        <v>60046.407402999997</v>
      </c>
    </row>
    <row r="156" spans="1:18" x14ac:dyDescent="0.45">
      <c r="A156" t="s">
        <v>289</v>
      </c>
      <c r="B156" s="13">
        <v>7581.7455540000001</v>
      </c>
      <c r="D156" s="13">
        <v>5849.8265359999996</v>
      </c>
      <c r="G156" s="13">
        <v>32630.098058</v>
      </c>
      <c r="H156" s="13">
        <v>50428.580829999999</v>
      </c>
      <c r="J156" s="13">
        <v>16995.120961000001</v>
      </c>
      <c r="N156" s="13">
        <v>18630.611624000001</v>
      </c>
      <c r="O156" s="13">
        <v>9426.2147189999996</v>
      </c>
      <c r="P156" s="13">
        <v>11846.186152</v>
      </c>
      <c r="Q156" s="13">
        <v>0</v>
      </c>
      <c r="R156" s="13">
        <v>60046.407402999997</v>
      </c>
    </row>
    <row r="157" spans="1:18" x14ac:dyDescent="0.45">
      <c r="A157" t="s">
        <v>290</v>
      </c>
      <c r="B157" s="13">
        <v>7581.7455540000001</v>
      </c>
      <c r="D157" s="13">
        <v>5849.8265359999996</v>
      </c>
      <c r="G157" s="13">
        <v>32630.098058</v>
      </c>
      <c r="H157" s="13">
        <v>50428.580829999999</v>
      </c>
      <c r="J157" s="13">
        <v>16995.120961000001</v>
      </c>
      <c r="N157" s="13">
        <v>18630.611624000001</v>
      </c>
      <c r="O157" s="13">
        <v>9426.2147189999996</v>
      </c>
      <c r="P157" s="13">
        <v>11846.186152</v>
      </c>
      <c r="Q157" s="13">
        <v>0</v>
      </c>
      <c r="R157" s="13">
        <v>60046.407402999997</v>
      </c>
    </row>
    <row r="158" spans="1:18" x14ac:dyDescent="0.45">
      <c r="A158" t="s">
        <v>291</v>
      </c>
      <c r="B158" s="13">
        <v>4432.7282169999999</v>
      </c>
      <c r="D158" s="13">
        <v>5376.4894370000002</v>
      </c>
      <c r="G158" s="13">
        <v>26216.722146</v>
      </c>
      <c r="H158" s="13">
        <v>36841.434229999999</v>
      </c>
      <c r="J158" s="13">
        <v>12705.409901999999</v>
      </c>
      <c r="N158" s="13">
        <v>14123.718003</v>
      </c>
      <c r="O158" s="13">
        <v>6396.7508319999997</v>
      </c>
      <c r="P158" s="13">
        <v>6829.5294510000003</v>
      </c>
      <c r="Q158" s="13">
        <v>0</v>
      </c>
      <c r="R158" s="13">
        <v>48637.922216999999</v>
      </c>
    </row>
    <row r="159" spans="1:18" x14ac:dyDescent="0.45">
      <c r="A159" t="s">
        <v>292</v>
      </c>
      <c r="B159" s="13">
        <v>4432.7282169999999</v>
      </c>
      <c r="D159" s="13">
        <v>5376.4894370000002</v>
      </c>
      <c r="G159" s="13">
        <v>26216.722146</v>
      </c>
      <c r="H159" s="13">
        <v>36841.434229999999</v>
      </c>
      <c r="J159" s="13">
        <v>12705.409901999999</v>
      </c>
      <c r="N159" s="13">
        <v>14123.718003</v>
      </c>
      <c r="O159" s="13">
        <v>6396.7508319999997</v>
      </c>
      <c r="P159" s="13">
        <v>6829.5294510000003</v>
      </c>
      <c r="Q159" s="13">
        <v>0</v>
      </c>
      <c r="R159" s="13">
        <v>48637.922216999999</v>
      </c>
    </row>
    <row r="160" spans="1:18" x14ac:dyDescent="0.45">
      <c r="A160" t="s">
        <v>293</v>
      </c>
      <c r="B160" s="13">
        <v>4432.7282169999999</v>
      </c>
      <c r="D160" s="13">
        <v>5376.4894370000002</v>
      </c>
      <c r="G160" s="13">
        <v>26216.722146</v>
      </c>
      <c r="H160" s="13">
        <v>36841.434229999999</v>
      </c>
      <c r="J160" s="13">
        <v>12705.409901999999</v>
      </c>
      <c r="N160" s="13">
        <v>14123.718003</v>
      </c>
      <c r="O160" s="13">
        <v>6396.7508319999997</v>
      </c>
      <c r="P160" s="13">
        <v>6829.5294510000003</v>
      </c>
      <c r="Q160" s="13">
        <v>0</v>
      </c>
      <c r="R160" s="13">
        <v>48637.922216999999</v>
      </c>
    </row>
    <row r="161" spans="1:18" x14ac:dyDescent="0.45">
      <c r="A161" t="s">
        <v>294</v>
      </c>
      <c r="B161" s="13">
        <v>4432.7282169999999</v>
      </c>
      <c r="D161" s="13">
        <v>5376.4894370000002</v>
      </c>
      <c r="G161" s="13">
        <v>26216.722146</v>
      </c>
      <c r="H161" s="13">
        <v>36841.434229999999</v>
      </c>
      <c r="J161" s="13">
        <v>12705.409901999999</v>
      </c>
      <c r="N161" s="13">
        <v>14123.718003</v>
      </c>
      <c r="O161" s="13">
        <v>6396.7508319999997</v>
      </c>
      <c r="P161" s="13">
        <v>6829.5294510000003</v>
      </c>
      <c r="Q161" s="13">
        <v>0</v>
      </c>
      <c r="R161" s="13">
        <v>48637.922216999999</v>
      </c>
    </row>
    <row r="162" spans="1:18" x14ac:dyDescent="0.45">
      <c r="A162" t="s">
        <v>295</v>
      </c>
      <c r="B162" s="13">
        <v>4977.8150619999997</v>
      </c>
      <c r="D162" s="13">
        <v>6780.9821240000001</v>
      </c>
      <c r="G162" s="13">
        <v>28686.661164000001</v>
      </c>
      <c r="H162" s="13">
        <v>41689.189144999997</v>
      </c>
      <c r="J162" s="13">
        <v>13223.336004999999</v>
      </c>
      <c r="N162" s="13">
        <v>14833.402222000001</v>
      </c>
      <c r="O162" s="13">
        <v>8321.8366879999994</v>
      </c>
      <c r="P162" s="13">
        <v>15670.050898</v>
      </c>
      <c r="Q162" s="13">
        <v>0</v>
      </c>
      <c r="R162" s="13">
        <v>53361.230006999998</v>
      </c>
    </row>
    <row r="163" spans="1:18" x14ac:dyDescent="0.45">
      <c r="A163" t="s">
        <v>296</v>
      </c>
      <c r="B163" s="13">
        <v>4977.8150619999997</v>
      </c>
      <c r="D163" s="13">
        <v>6780.9821240000001</v>
      </c>
      <c r="G163" s="13">
        <v>28686.661164000001</v>
      </c>
      <c r="H163" s="13">
        <v>41689.189144999997</v>
      </c>
      <c r="J163" s="13">
        <v>13223.336004999999</v>
      </c>
      <c r="N163" s="13">
        <v>14833.402222000001</v>
      </c>
      <c r="O163" s="13">
        <v>8321.8366879999994</v>
      </c>
      <c r="P163" s="13">
        <v>15670.050898</v>
      </c>
      <c r="Q163" s="13">
        <v>0</v>
      </c>
      <c r="R163" s="13">
        <v>53361.230006999998</v>
      </c>
    </row>
    <row r="164" spans="1:18" x14ac:dyDescent="0.45">
      <c r="A164" t="s">
        <v>297</v>
      </c>
      <c r="B164" s="13">
        <v>4977.8150619999997</v>
      </c>
      <c r="D164" s="13">
        <v>6780.9821240000001</v>
      </c>
      <c r="G164" s="13">
        <v>28686.661164000001</v>
      </c>
      <c r="H164" s="13">
        <v>41689.189144999997</v>
      </c>
      <c r="J164" s="13">
        <v>13223.336004999999</v>
      </c>
      <c r="N164" s="13">
        <v>14833.402222000001</v>
      </c>
      <c r="O164" s="13">
        <v>8321.8366879999994</v>
      </c>
      <c r="P164" s="13">
        <v>15670.050898</v>
      </c>
      <c r="Q164" s="13">
        <v>0</v>
      </c>
      <c r="R164" s="13">
        <v>53361.230006999998</v>
      </c>
    </row>
    <row r="165" spans="1:18" x14ac:dyDescent="0.45">
      <c r="A165" t="s">
        <v>298</v>
      </c>
      <c r="B165" s="13">
        <v>4977.8150619999997</v>
      </c>
      <c r="D165" s="13">
        <v>6780.9821240000001</v>
      </c>
      <c r="G165" s="13">
        <v>28686.661164000001</v>
      </c>
      <c r="H165" s="13">
        <v>41689.189144999997</v>
      </c>
      <c r="J165" s="13">
        <v>13223.336004999999</v>
      </c>
      <c r="N165" s="13">
        <v>14833.402222000001</v>
      </c>
      <c r="O165" s="13">
        <v>8321.8366879999994</v>
      </c>
      <c r="P165" s="13">
        <v>15670.050898</v>
      </c>
      <c r="Q165" s="13">
        <v>0</v>
      </c>
      <c r="R165" s="13">
        <v>53361.230006999998</v>
      </c>
    </row>
    <row r="166" spans="1:18" x14ac:dyDescent="0.45">
      <c r="A166" t="s">
        <v>299</v>
      </c>
      <c r="B166" s="13">
        <v>6613.8716679999998</v>
      </c>
      <c r="D166" s="13">
        <v>8163.0020240000003</v>
      </c>
      <c r="G166" s="13">
        <v>34143.894246000003</v>
      </c>
      <c r="H166" s="13">
        <v>50545.300464</v>
      </c>
      <c r="J166" s="13">
        <v>15562.035742</v>
      </c>
      <c r="N166" s="13">
        <v>15139.749522</v>
      </c>
      <c r="O166" s="13">
        <v>9739.2278960000003</v>
      </c>
      <c r="P166" s="13">
        <v>36718.317495000003</v>
      </c>
      <c r="Q166" s="13">
        <v>0</v>
      </c>
      <c r="R166" s="13">
        <v>57985.336259999996</v>
      </c>
    </row>
    <row r="167" spans="1:18" x14ac:dyDescent="0.45">
      <c r="A167" t="s">
        <v>300</v>
      </c>
      <c r="B167" s="13">
        <v>6613.8716679999998</v>
      </c>
      <c r="D167" s="13">
        <v>8163.0020240000003</v>
      </c>
      <c r="G167" s="13">
        <v>34143.894246000003</v>
      </c>
      <c r="H167" s="13">
        <v>50545.300464</v>
      </c>
      <c r="J167" s="13">
        <v>15562.035742</v>
      </c>
      <c r="N167" s="13">
        <v>15139.749522</v>
      </c>
      <c r="O167" s="13">
        <v>9739.2278960000003</v>
      </c>
      <c r="P167" s="13">
        <v>36718.317495000003</v>
      </c>
      <c r="Q167" s="13">
        <v>0</v>
      </c>
      <c r="R167" s="13">
        <v>57985.336259999996</v>
      </c>
    </row>
    <row r="168" spans="1:18" x14ac:dyDescent="0.45">
      <c r="A168" t="s">
        <v>301</v>
      </c>
      <c r="B168" s="13">
        <v>6613.8716679999998</v>
      </c>
      <c r="D168" s="13">
        <v>8163.0020240000003</v>
      </c>
      <c r="G168" s="13">
        <v>34143.894246000003</v>
      </c>
      <c r="H168" s="13">
        <v>50545.300464</v>
      </c>
      <c r="J168" s="13">
        <v>15562.035742</v>
      </c>
      <c r="N168" s="13">
        <v>15139.749522</v>
      </c>
      <c r="O168" s="13">
        <v>9739.2278960000003</v>
      </c>
      <c r="P168" s="13">
        <v>36718.317495000003</v>
      </c>
      <c r="Q168" s="13">
        <v>0</v>
      </c>
      <c r="R168" s="13">
        <v>57985.336259999996</v>
      </c>
    </row>
    <row r="169" spans="1:18" x14ac:dyDescent="0.45">
      <c r="A169" t="s">
        <v>302</v>
      </c>
      <c r="B169" s="13">
        <v>6613.8716679999998</v>
      </c>
      <c r="D169" s="13">
        <v>8163.0020240000003</v>
      </c>
      <c r="G169" s="13">
        <v>34143.894246000003</v>
      </c>
      <c r="H169" s="13">
        <v>50545.300464</v>
      </c>
      <c r="J169" s="13">
        <v>15562.035742</v>
      </c>
      <c r="N169" s="13">
        <v>15139.749522</v>
      </c>
      <c r="O169" s="13">
        <v>9739.2278960000003</v>
      </c>
      <c r="P169" s="13">
        <v>36718.317495000003</v>
      </c>
      <c r="Q169" s="13">
        <v>0</v>
      </c>
      <c r="R169" s="13">
        <v>57985.336259999996</v>
      </c>
    </row>
    <row r="170" spans="1:18" x14ac:dyDescent="0.45">
      <c r="A170" t="s">
        <v>303</v>
      </c>
      <c r="B170" s="13">
        <v>6725.1577010000001</v>
      </c>
      <c r="D170" s="13">
        <v>6822.0403390000001</v>
      </c>
      <c r="G170" s="13">
        <v>32069.349584</v>
      </c>
      <c r="H170" s="13">
        <v>48894.861556999997</v>
      </c>
      <c r="J170" s="13">
        <v>12302.762210000001</v>
      </c>
      <c r="N170" s="13">
        <v>12947.099253</v>
      </c>
      <c r="O170" s="13">
        <v>8902.5834200000008</v>
      </c>
      <c r="P170" s="13">
        <v>13648.462165999999</v>
      </c>
      <c r="Q170" s="13">
        <v>0</v>
      </c>
      <c r="R170" s="13">
        <v>58315.891045999997</v>
      </c>
    </row>
    <row r="171" spans="1:18" x14ac:dyDescent="0.45">
      <c r="A171" t="s">
        <v>304</v>
      </c>
      <c r="B171" s="13">
        <v>6725.1577010000001</v>
      </c>
      <c r="D171" s="13">
        <v>6822.0403390000001</v>
      </c>
      <c r="G171" s="13">
        <v>32069.349584</v>
      </c>
      <c r="H171" s="13">
        <v>48894.861556999997</v>
      </c>
      <c r="J171" s="13">
        <v>12302.762210000001</v>
      </c>
      <c r="N171" s="13">
        <v>12947.099253</v>
      </c>
      <c r="O171" s="13">
        <v>8902.5834200000008</v>
      </c>
      <c r="P171" s="13">
        <v>13648.462165999999</v>
      </c>
      <c r="Q171" s="13">
        <v>0</v>
      </c>
      <c r="R171" s="13">
        <v>58315.891045999997</v>
      </c>
    </row>
    <row r="172" spans="1:18" x14ac:dyDescent="0.45">
      <c r="A172" t="s">
        <v>305</v>
      </c>
      <c r="B172" s="13">
        <v>6725.1577010000001</v>
      </c>
      <c r="D172" s="13">
        <v>6822.0403390000001</v>
      </c>
      <c r="G172" s="13">
        <v>32069.349584</v>
      </c>
      <c r="H172" s="13">
        <v>48894.861556999997</v>
      </c>
      <c r="J172" s="13">
        <v>12302.762210000001</v>
      </c>
      <c r="N172" s="13">
        <v>12947.099253</v>
      </c>
      <c r="O172" s="13">
        <v>8902.5834200000008</v>
      </c>
      <c r="P172" s="13">
        <v>13648.462165999999</v>
      </c>
      <c r="Q172" s="13">
        <v>0</v>
      </c>
      <c r="R172" s="13">
        <v>58315.891045999997</v>
      </c>
    </row>
    <row r="173" spans="1:18" x14ac:dyDescent="0.45">
      <c r="A173" t="s">
        <v>306</v>
      </c>
      <c r="B173" s="13">
        <v>6725.1577010000001</v>
      </c>
      <c r="D173" s="13">
        <v>6822.0403390000001</v>
      </c>
      <c r="G173" s="13">
        <v>32069.349584</v>
      </c>
      <c r="H173" s="13">
        <v>48894.861556999997</v>
      </c>
      <c r="J173" s="13">
        <v>12302.762210000001</v>
      </c>
      <c r="N173" s="13">
        <v>12947.099253</v>
      </c>
      <c r="O173" s="13">
        <v>8902.5834200000008</v>
      </c>
      <c r="P173" s="13">
        <v>13648.462165999999</v>
      </c>
      <c r="Q173" s="13">
        <v>0</v>
      </c>
      <c r="R173" s="13">
        <v>58315.891045999997</v>
      </c>
    </row>
    <row r="174" spans="1:18" x14ac:dyDescent="0.45">
      <c r="A174" t="s">
        <v>307</v>
      </c>
      <c r="B174" s="13">
        <v>5743.9051829999999</v>
      </c>
      <c r="D174" s="13">
        <v>6155.9830000000002</v>
      </c>
      <c r="G174" s="13">
        <v>31459.662418</v>
      </c>
      <c r="H174" s="13">
        <v>44443.945399999997</v>
      </c>
      <c r="J174" s="13">
        <v>12817.231030999999</v>
      </c>
      <c r="N174" s="13">
        <v>13186.487773999999</v>
      </c>
      <c r="O174" s="13">
        <v>8679.1693259999993</v>
      </c>
      <c r="P174" s="13">
        <v>68988.849455999996</v>
      </c>
      <c r="Q174" s="13">
        <v>0</v>
      </c>
      <c r="R174" s="13">
        <v>57716.523049000003</v>
      </c>
    </row>
    <row r="175" spans="1:18" x14ac:dyDescent="0.45">
      <c r="A175" t="s">
        <v>308</v>
      </c>
      <c r="B175" s="13">
        <v>5743.9051829999999</v>
      </c>
      <c r="D175" s="13">
        <v>6155.9830000000002</v>
      </c>
      <c r="G175" s="13">
        <v>31459.662418</v>
      </c>
      <c r="H175" s="13">
        <v>44443.945399999997</v>
      </c>
      <c r="J175" s="13">
        <v>12817.231030999999</v>
      </c>
      <c r="N175" s="13">
        <v>13186.487773999999</v>
      </c>
      <c r="O175" s="13">
        <v>8679.1693259999993</v>
      </c>
      <c r="P175" s="13">
        <v>68988.849455999996</v>
      </c>
      <c r="Q175" s="13">
        <v>0</v>
      </c>
      <c r="R175" s="13">
        <v>57716.523049000003</v>
      </c>
    </row>
    <row r="176" spans="1:18" x14ac:dyDescent="0.45">
      <c r="A176" t="s">
        <v>309</v>
      </c>
      <c r="B176" s="13">
        <v>5743.9051829999999</v>
      </c>
      <c r="D176" s="13">
        <v>6155.9830000000002</v>
      </c>
      <c r="G176" s="13">
        <v>31459.662418</v>
      </c>
      <c r="H176" s="13">
        <v>44443.945399999997</v>
      </c>
      <c r="J176" s="13">
        <v>12817.231030999999</v>
      </c>
      <c r="N176" s="13">
        <v>13186.487773999999</v>
      </c>
      <c r="O176" s="13">
        <v>8679.1693259999993</v>
      </c>
      <c r="P176" s="13">
        <v>68988.849455999996</v>
      </c>
      <c r="Q176" s="13">
        <v>0</v>
      </c>
      <c r="R176" s="13">
        <v>57716.523049000003</v>
      </c>
    </row>
    <row r="177" spans="1:18" x14ac:dyDescent="0.45">
      <c r="A177" t="s">
        <v>310</v>
      </c>
      <c r="B177" s="13">
        <v>5743.9051829999999</v>
      </c>
      <c r="D177" s="13">
        <v>6155.9830000000002</v>
      </c>
      <c r="G177" s="13">
        <v>31459.662418</v>
      </c>
      <c r="H177" s="13">
        <v>44443.945399999997</v>
      </c>
      <c r="J177" s="13">
        <v>12817.231030999999</v>
      </c>
      <c r="N177" s="13">
        <v>13186.487773999999</v>
      </c>
      <c r="O177" s="13">
        <v>8679.1693259999993</v>
      </c>
      <c r="P177" s="13">
        <v>68988.849455999996</v>
      </c>
      <c r="Q177" s="13">
        <v>0</v>
      </c>
      <c r="R177" s="13">
        <v>57716.523049000003</v>
      </c>
    </row>
    <row r="178" spans="1:18" x14ac:dyDescent="0.45">
      <c r="A178" t="s">
        <v>311</v>
      </c>
      <c r="B178" s="13">
        <v>5758.576231</v>
      </c>
      <c r="D178" s="13">
        <v>6266.61222</v>
      </c>
      <c r="G178" s="13">
        <v>30201.163548</v>
      </c>
      <c r="H178" s="13">
        <v>49717.973778</v>
      </c>
      <c r="J178" s="13">
        <v>14250.374873000001</v>
      </c>
      <c r="N178" s="13">
        <v>14512.977095</v>
      </c>
      <c r="O178" s="13">
        <v>8950.0665800000006</v>
      </c>
      <c r="P178" s="13">
        <v>33567.463706000002</v>
      </c>
      <c r="Q178" s="13">
        <v>0</v>
      </c>
      <c r="R178" s="13">
        <v>60108.694314</v>
      </c>
    </row>
    <row r="179" spans="1:18" x14ac:dyDescent="0.45">
      <c r="A179" t="s">
        <v>312</v>
      </c>
      <c r="B179" s="13">
        <v>5758.576231</v>
      </c>
      <c r="D179" s="13">
        <v>6266.61222</v>
      </c>
      <c r="G179" s="13">
        <v>30201.163548</v>
      </c>
      <c r="H179" s="13">
        <v>49717.973778</v>
      </c>
      <c r="J179" s="13">
        <v>14250.374873000001</v>
      </c>
      <c r="N179" s="13">
        <v>14512.977095</v>
      </c>
      <c r="O179" s="13">
        <v>8950.0665800000006</v>
      </c>
      <c r="P179" s="13">
        <v>33567.463706000002</v>
      </c>
      <c r="Q179" s="13">
        <v>0</v>
      </c>
      <c r="R179" s="13">
        <v>60108.694314</v>
      </c>
    </row>
    <row r="180" spans="1:18" x14ac:dyDescent="0.45">
      <c r="A180" t="s">
        <v>313</v>
      </c>
      <c r="B180" s="13">
        <v>5758.576231</v>
      </c>
      <c r="D180" s="13">
        <v>6266.61222</v>
      </c>
      <c r="G180" s="13">
        <v>30201.163548</v>
      </c>
      <c r="H180" s="13">
        <v>49717.973778</v>
      </c>
      <c r="J180" s="13">
        <v>14250.374873000001</v>
      </c>
      <c r="N180" s="13">
        <v>14512.977095</v>
      </c>
      <c r="O180" s="13">
        <v>8950.0665800000006</v>
      </c>
      <c r="P180" s="13">
        <v>33567.463706000002</v>
      </c>
      <c r="Q180" s="13">
        <v>0</v>
      </c>
      <c r="R180" s="13">
        <v>60108.694314</v>
      </c>
    </row>
    <row r="181" spans="1:18" x14ac:dyDescent="0.45">
      <c r="A181" t="s">
        <v>314</v>
      </c>
      <c r="B181" s="13">
        <v>5758.576231</v>
      </c>
      <c r="D181" s="13">
        <v>6266.61222</v>
      </c>
      <c r="G181" s="13">
        <v>30201.163548</v>
      </c>
      <c r="H181" s="13">
        <v>49717.973778</v>
      </c>
      <c r="J181" s="13">
        <v>14250.374873000001</v>
      </c>
      <c r="N181" s="13">
        <v>14512.977095</v>
      </c>
      <c r="O181" s="13">
        <v>8950.0665800000006</v>
      </c>
      <c r="P181" s="13">
        <v>33567.463706000002</v>
      </c>
      <c r="Q181" s="13">
        <v>0</v>
      </c>
      <c r="R181" s="13">
        <v>60108.694314</v>
      </c>
    </row>
    <row r="182" spans="1:18" x14ac:dyDescent="0.45">
      <c r="A182" t="s">
        <v>315</v>
      </c>
      <c r="B182" s="13">
        <v>5607.5316229999999</v>
      </c>
      <c r="D182" s="13">
        <v>5824.7896909999999</v>
      </c>
      <c r="G182" s="13">
        <v>27125.252</v>
      </c>
      <c r="H182" s="13">
        <v>46529.928175000001</v>
      </c>
      <c r="J182" s="13">
        <v>12842.224792000001</v>
      </c>
      <c r="N182" s="13">
        <v>13488.954293999999</v>
      </c>
      <c r="O182" s="13">
        <v>6741.0217689999999</v>
      </c>
      <c r="P182" s="13">
        <v>32227.784465000001</v>
      </c>
      <c r="Q182" s="13">
        <v>0</v>
      </c>
      <c r="R182" s="13">
        <v>66940.410271000001</v>
      </c>
    </row>
    <row r="183" spans="1:18" x14ac:dyDescent="0.45">
      <c r="A183" t="s">
        <v>316</v>
      </c>
      <c r="B183" s="13">
        <v>5607.5316229999999</v>
      </c>
      <c r="D183" s="13">
        <v>5824.7896909999999</v>
      </c>
      <c r="G183" s="13">
        <v>27125.252</v>
      </c>
      <c r="H183" s="13">
        <v>46529.928175000001</v>
      </c>
      <c r="J183" s="13">
        <v>12842.224792000001</v>
      </c>
      <c r="N183" s="13">
        <v>13488.954293999999</v>
      </c>
      <c r="O183" s="13">
        <v>6741.0217689999999</v>
      </c>
      <c r="P183" s="13">
        <v>32227.784465000001</v>
      </c>
      <c r="Q183" s="13">
        <v>0</v>
      </c>
      <c r="R183" s="13">
        <v>66940.410271000001</v>
      </c>
    </row>
    <row r="184" spans="1:18" x14ac:dyDescent="0.45">
      <c r="A184" t="s">
        <v>317</v>
      </c>
      <c r="B184" s="13">
        <v>5607.5316229999999</v>
      </c>
      <c r="D184" s="13">
        <v>5824.7896909999999</v>
      </c>
      <c r="G184" s="13">
        <v>27125.252</v>
      </c>
      <c r="H184" s="13">
        <v>46529.928175000001</v>
      </c>
      <c r="J184" s="13">
        <v>12842.224792000001</v>
      </c>
      <c r="N184" s="13">
        <v>13488.954293999999</v>
      </c>
      <c r="O184" s="13">
        <v>6741.0217689999999</v>
      </c>
      <c r="P184" s="13">
        <v>32227.784465000001</v>
      </c>
      <c r="Q184" s="13">
        <v>0</v>
      </c>
      <c r="R184" s="13">
        <v>66940.410271000001</v>
      </c>
    </row>
    <row r="185" spans="1:18" x14ac:dyDescent="0.45">
      <c r="A185" t="s">
        <v>318</v>
      </c>
      <c r="B185" s="13">
        <v>5607.5316229999999</v>
      </c>
      <c r="D185" s="13">
        <v>5824.7896909999999</v>
      </c>
      <c r="G185" s="13">
        <v>27125.252</v>
      </c>
      <c r="H185" s="13">
        <v>46529.928175000001</v>
      </c>
      <c r="J185" s="13">
        <v>12842.224792000001</v>
      </c>
      <c r="N185" s="13">
        <v>13488.954293999999</v>
      </c>
      <c r="O185" s="13">
        <v>6741.0217689999999</v>
      </c>
      <c r="P185" s="13">
        <v>32227.784465000001</v>
      </c>
      <c r="Q185" s="13">
        <v>0</v>
      </c>
      <c r="R185" s="13">
        <v>66940.410271000001</v>
      </c>
    </row>
    <row r="186" spans="1:18" x14ac:dyDescent="0.45">
      <c r="A186" t="s">
        <v>319</v>
      </c>
      <c r="B186" s="13">
        <v>5213.8465800000004</v>
      </c>
      <c r="D186" s="13">
        <v>6153.586961</v>
      </c>
      <c r="G186" s="13">
        <v>26307.301886000001</v>
      </c>
      <c r="H186" s="13">
        <v>43764.256164999999</v>
      </c>
      <c r="J186" s="13">
        <v>13120.122793</v>
      </c>
      <c r="N186" s="13">
        <v>13020.226945</v>
      </c>
      <c r="O186" s="13">
        <v>6212.3875129999997</v>
      </c>
      <c r="P186" s="13">
        <v>18882.257023999999</v>
      </c>
      <c r="Q186" s="13">
        <v>0</v>
      </c>
      <c r="R186" s="13">
        <v>60642.197455000001</v>
      </c>
    </row>
    <row r="187" spans="1:18" x14ac:dyDescent="0.45">
      <c r="A187" t="s">
        <v>320</v>
      </c>
      <c r="B187" s="13">
        <v>5213.8465800000004</v>
      </c>
      <c r="D187" s="13">
        <v>6153.586961</v>
      </c>
      <c r="G187" s="13">
        <v>26307.301886000001</v>
      </c>
      <c r="H187" s="13">
        <v>43764.256164999999</v>
      </c>
      <c r="J187" s="13">
        <v>13120.122793</v>
      </c>
      <c r="N187" s="13">
        <v>13020.226945</v>
      </c>
      <c r="O187" s="13">
        <v>6212.3875129999997</v>
      </c>
      <c r="P187" s="13">
        <v>18882.257023999999</v>
      </c>
      <c r="Q187" s="13">
        <v>0</v>
      </c>
      <c r="R187" s="13">
        <v>60642.197455000001</v>
      </c>
    </row>
    <row r="188" spans="1:18" x14ac:dyDescent="0.45">
      <c r="A188" t="s">
        <v>321</v>
      </c>
      <c r="B188" s="13">
        <v>5213.8465800000004</v>
      </c>
      <c r="D188" s="13">
        <v>6153.586961</v>
      </c>
      <c r="G188" s="13">
        <v>26307.301886000001</v>
      </c>
      <c r="H188" s="13">
        <v>43764.256164999999</v>
      </c>
      <c r="J188" s="13">
        <v>13120.122793</v>
      </c>
      <c r="N188" s="13">
        <v>13020.226945</v>
      </c>
      <c r="O188" s="13">
        <v>6212.3875129999997</v>
      </c>
      <c r="P188" s="13">
        <v>18882.257023999999</v>
      </c>
      <c r="Q188" s="13">
        <v>0</v>
      </c>
      <c r="R188" s="13">
        <v>60642.197455000001</v>
      </c>
    </row>
    <row r="189" spans="1:18" x14ac:dyDescent="0.45">
      <c r="A189" t="s">
        <v>322</v>
      </c>
      <c r="B189" s="13">
        <v>5213.8465800000004</v>
      </c>
      <c r="D189" s="13">
        <v>6153.586961</v>
      </c>
      <c r="G189" s="13">
        <v>26307.301886000001</v>
      </c>
      <c r="H189" s="13">
        <v>43764.256164999999</v>
      </c>
      <c r="J189" s="13">
        <v>13120.122793</v>
      </c>
      <c r="N189" s="13">
        <v>13020.226945</v>
      </c>
      <c r="O189" s="13">
        <v>6212.3875129999997</v>
      </c>
      <c r="P189" s="13">
        <v>18882.257023999999</v>
      </c>
      <c r="Q189" s="13">
        <v>0</v>
      </c>
      <c r="R189" s="13">
        <v>60642.197455000001</v>
      </c>
    </row>
    <row r="190" spans="1:18" x14ac:dyDescent="0.45">
      <c r="A190" t="s">
        <v>323</v>
      </c>
      <c r="B190" s="13">
        <v>5733.4236529999998</v>
      </c>
      <c r="D190" s="13">
        <v>6218.2114570000003</v>
      </c>
      <c r="G190" s="13">
        <v>30228.652783000001</v>
      </c>
      <c r="H190" s="13">
        <v>46509.117214999998</v>
      </c>
      <c r="J190" s="13">
        <v>13172.179398</v>
      </c>
      <c r="N190" s="13">
        <v>13449.645704</v>
      </c>
      <c r="O190" s="13">
        <v>6770.0332959999996</v>
      </c>
      <c r="P190" s="13">
        <v>19702.49048</v>
      </c>
      <c r="Q190" s="13">
        <v>0</v>
      </c>
      <c r="R190" s="13">
        <v>58541.401416000001</v>
      </c>
    </row>
    <row r="191" spans="1:18" x14ac:dyDescent="0.45">
      <c r="A191" t="s">
        <v>324</v>
      </c>
      <c r="B191" s="13">
        <v>5733.4236529999998</v>
      </c>
      <c r="D191" s="13">
        <v>6218.2114570000003</v>
      </c>
      <c r="G191" s="13">
        <v>30228.652783000001</v>
      </c>
      <c r="H191" s="13">
        <v>46509.117214999998</v>
      </c>
      <c r="J191" s="13">
        <v>13172.179398</v>
      </c>
      <c r="N191" s="13">
        <v>13449.645704</v>
      </c>
      <c r="O191" s="13">
        <v>6770.0332959999996</v>
      </c>
      <c r="P191" s="13">
        <v>19702.49048</v>
      </c>
      <c r="Q191" s="13">
        <v>0</v>
      </c>
      <c r="R191" s="13">
        <v>58541.401416000001</v>
      </c>
    </row>
    <row r="192" spans="1:18" x14ac:dyDescent="0.45">
      <c r="A192" t="s">
        <v>325</v>
      </c>
      <c r="B192" s="13">
        <v>5733.4236529999998</v>
      </c>
      <c r="D192" s="13">
        <v>6218.2114570000003</v>
      </c>
      <c r="G192" s="13">
        <v>30228.652783000001</v>
      </c>
      <c r="H192" s="13">
        <v>46509.117214999998</v>
      </c>
      <c r="J192" s="13">
        <v>13172.179398</v>
      </c>
      <c r="N192" s="13">
        <v>13449.645704</v>
      </c>
      <c r="O192" s="13">
        <v>6770.0332959999996</v>
      </c>
      <c r="P192" s="13">
        <v>19702.49048</v>
      </c>
      <c r="Q192" s="13">
        <v>0</v>
      </c>
      <c r="R192" s="13">
        <v>58541.401416000001</v>
      </c>
    </row>
    <row r="193" spans="1:18" x14ac:dyDescent="0.45">
      <c r="A193" t="s">
        <v>326</v>
      </c>
      <c r="B193" s="13">
        <v>5733.4236529999998</v>
      </c>
      <c r="D193" s="13">
        <v>6218.2114570000003</v>
      </c>
      <c r="G193" s="13">
        <v>30228.652783000001</v>
      </c>
      <c r="H193" s="13">
        <v>46509.117214999998</v>
      </c>
      <c r="J193" s="13">
        <v>13172.179398</v>
      </c>
      <c r="N193" s="13">
        <v>13449.645704</v>
      </c>
      <c r="O193" s="13">
        <v>6770.0332959999996</v>
      </c>
      <c r="P193" s="13">
        <v>19702.49048</v>
      </c>
      <c r="Q193" s="13">
        <v>0</v>
      </c>
      <c r="R193" s="13">
        <v>58541.401416000001</v>
      </c>
    </row>
    <row r="194" spans="1:18" s="13" customFormat="1" x14ac:dyDescent="0.45">
      <c r="A194" s="13" t="s">
        <v>327</v>
      </c>
      <c r="B194" s="13">
        <v>5851.1186809999999</v>
      </c>
      <c r="D194" s="13">
        <v>7289.0588870000001</v>
      </c>
      <c r="G194" s="13">
        <v>31924.420006</v>
      </c>
      <c r="H194" s="13">
        <v>47519.919175000003</v>
      </c>
      <c r="J194" s="13">
        <v>14019.858072000001</v>
      </c>
      <c r="N194" s="13">
        <v>13983.971868000001</v>
      </c>
      <c r="O194" s="13">
        <v>7361.2571129999997</v>
      </c>
      <c r="P194" s="13">
        <v>25397.922719999999</v>
      </c>
      <c r="Q194" s="13">
        <v>0</v>
      </c>
      <c r="R194" s="13">
        <v>65361.653315000003</v>
      </c>
    </row>
    <row r="195" spans="1:18" x14ac:dyDescent="0.45">
      <c r="A195" t="s">
        <v>328</v>
      </c>
      <c r="B195" s="13">
        <v>5851.1186809999999</v>
      </c>
      <c r="D195" s="13">
        <v>7289.0588870000001</v>
      </c>
      <c r="G195" s="13">
        <v>31924.420006</v>
      </c>
      <c r="H195" s="13">
        <v>47519.919175000003</v>
      </c>
      <c r="J195" s="13">
        <v>14019.858072000001</v>
      </c>
      <c r="N195" s="13">
        <v>13983.971868000001</v>
      </c>
      <c r="O195" s="13">
        <v>7361.2571129999997</v>
      </c>
      <c r="P195" s="13">
        <v>25397.922719999999</v>
      </c>
      <c r="Q195" s="13">
        <v>0</v>
      </c>
      <c r="R195" s="13">
        <v>65361.653315000003</v>
      </c>
    </row>
    <row r="196" spans="1:18" x14ac:dyDescent="0.45">
      <c r="A196" t="s">
        <v>329</v>
      </c>
      <c r="B196" s="13">
        <v>5851.1186809999999</v>
      </c>
      <c r="D196" s="13">
        <v>7289.0588870000001</v>
      </c>
      <c r="G196" s="13">
        <v>31924.420006</v>
      </c>
      <c r="H196" s="13">
        <v>47519.919175000003</v>
      </c>
      <c r="J196" s="13">
        <v>14019.858072000001</v>
      </c>
      <c r="N196" s="13">
        <v>13983.971868000001</v>
      </c>
      <c r="O196" s="13">
        <v>7361.2571129999997</v>
      </c>
      <c r="P196" s="13">
        <v>25397.922719999999</v>
      </c>
      <c r="Q196" s="13">
        <v>0</v>
      </c>
      <c r="R196" s="13">
        <v>65361.653315000003</v>
      </c>
    </row>
    <row r="197" spans="1:18" x14ac:dyDescent="0.45">
      <c r="A197" t="s">
        <v>330</v>
      </c>
      <c r="B197" s="13">
        <v>5851.1186809999999</v>
      </c>
      <c r="D197" s="13">
        <v>7289.0588870000001</v>
      </c>
      <c r="G197" s="13">
        <v>31924.420006</v>
      </c>
      <c r="H197" s="13">
        <v>47519.919175000003</v>
      </c>
      <c r="J197" s="13">
        <v>14019.858072000001</v>
      </c>
      <c r="N197" s="13">
        <v>13983.971868000001</v>
      </c>
      <c r="O197" s="13">
        <v>7361.2571129999997</v>
      </c>
      <c r="P197" s="13">
        <v>25397.922719999999</v>
      </c>
      <c r="Q197" s="13">
        <v>0</v>
      </c>
      <c r="R197" s="13">
        <v>65361.653315000003</v>
      </c>
    </row>
    <row r="198" spans="1:18" x14ac:dyDescent="0.45">
      <c r="A198" t="s">
        <v>331</v>
      </c>
      <c r="B198" s="13">
        <v>5851.1186809999999</v>
      </c>
      <c r="D198" s="13">
        <v>7289.0588870000001</v>
      </c>
      <c r="G198" s="13">
        <v>31924.420006</v>
      </c>
      <c r="H198" s="13">
        <v>47519.919175000003</v>
      </c>
      <c r="J198" s="13">
        <v>14019.858072000001</v>
      </c>
      <c r="N198" s="13">
        <v>13983.971868000001</v>
      </c>
      <c r="O198" s="13">
        <v>7361.2571129999997</v>
      </c>
      <c r="P198" s="13">
        <v>25397.922719999999</v>
      </c>
      <c r="Q198" s="13">
        <v>0</v>
      </c>
      <c r="R198" s="13">
        <v>65361.653315000003</v>
      </c>
    </row>
    <row r="199" spans="1:18" x14ac:dyDescent="0.45">
      <c r="A199" t="s">
        <v>332</v>
      </c>
      <c r="B199" s="13">
        <v>5851.1186809999999</v>
      </c>
      <c r="D199" s="13">
        <v>7289.0588870000001</v>
      </c>
      <c r="G199" s="13">
        <v>31924.420006</v>
      </c>
      <c r="H199" s="13">
        <v>47519.919175000003</v>
      </c>
      <c r="J199" s="13">
        <v>14019.858072000001</v>
      </c>
      <c r="N199" s="13">
        <v>13983.971868000001</v>
      </c>
      <c r="O199" s="13">
        <v>7361.2571129999997</v>
      </c>
      <c r="P199" s="13">
        <v>25397.922719999999</v>
      </c>
      <c r="Q199" s="13">
        <v>0</v>
      </c>
      <c r="R199" s="13">
        <v>65361.653315000003</v>
      </c>
    </row>
    <row r="200" spans="1:18" x14ac:dyDescent="0.45">
      <c r="A200" t="s">
        <v>333</v>
      </c>
      <c r="B200" s="13">
        <v>5851.1186809999999</v>
      </c>
      <c r="D200" s="13">
        <v>7289.0588870000001</v>
      </c>
      <c r="G200" s="13">
        <v>31924.420006</v>
      </c>
      <c r="H200" s="13">
        <v>47519.919175000003</v>
      </c>
      <c r="J200" s="13">
        <v>14019.858072000001</v>
      </c>
      <c r="N200" s="13">
        <v>13983.971868000001</v>
      </c>
      <c r="O200" s="13">
        <v>7361.2571129999997</v>
      </c>
      <c r="P200" s="13">
        <v>25397.922719999999</v>
      </c>
      <c r="Q200" s="13">
        <v>0</v>
      </c>
      <c r="R200" s="13">
        <v>65361.653315000003</v>
      </c>
    </row>
    <row r="201" spans="1:18" x14ac:dyDescent="0.45">
      <c r="A201" t="s">
        <v>334</v>
      </c>
      <c r="B201" s="13">
        <v>5851.1186809999999</v>
      </c>
      <c r="D201" s="13">
        <v>7289.0588870000001</v>
      </c>
      <c r="G201" s="13">
        <v>31924.420006</v>
      </c>
      <c r="H201" s="13">
        <v>47519.919175000003</v>
      </c>
      <c r="J201" s="13">
        <v>14019.858072000001</v>
      </c>
      <c r="N201" s="13">
        <v>13983.971868000001</v>
      </c>
      <c r="O201" s="13">
        <v>7361.2571129999997</v>
      </c>
      <c r="P201" s="13">
        <v>25397.922719999999</v>
      </c>
      <c r="Q201" s="13">
        <v>0</v>
      </c>
      <c r="R201" s="13">
        <v>65361.653315000003</v>
      </c>
    </row>
    <row r="202" spans="1:18" x14ac:dyDescent="0.45">
      <c r="A202" t="s">
        <v>335</v>
      </c>
      <c r="B202" s="13">
        <v>5851.1186809999999</v>
      </c>
      <c r="D202" s="13">
        <v>7289.0588870000001</v>
      </c>
      <c r="G202" s="13">
        <v>31924.420006</v>
      </c>
      <c r="H202" s="13">
        <v>47519.919175000003</v>
      </c>
      <c r="J202" s="13">
        <v>14019.858072000001</v>
      </c>
      <c r="N202" s="13">
        <v>13983.971868000001</v>
      </c>
      <c r="O202" s="13">
        <v>7361.2571129999997</v>
      </c>
      <c r="P202" s="13">
        <v>25397.922719999999</v>
      </c>
      <c r="Q202" s="13">
        <v>0</v>
      </c>
      <c r="R202" s="13">
        <v>65361.653315000003</v>
      </c>
    </row>
    <row r="203" spans="1:18" x14ac:dyDescent="0.45">
      <c r="A203" t="s">
        <v>336</v>
      </c>
      <c r="B203" s="13">
        <v>5851.1186809999999</v>
      </c>
      <c r="D203" s="13">
        <v>7289.0588870000001</v>
      </c>
      <c r="G203" s="13">
        <v>31924.420006</v>
      </c>
      <c r="H203" s="13">
        <v>47519.919175000003</v>
      </c>
      <c r="J203" s="13">
        <v>14019.858072000001</v>
      </c>
      <c r="N203" s="13">
        <v>13983.971868000001</v>
      </c>
      <c r="O203" s="13">
        <v>7361.2571129999997</v>
      </c>
      <c r="P203" s="13">
        <v>25397.922719999999</v>
      </c>
      <c r="Q203" s="13">
        <v>0</v>
      </c>
      <c r="R203" s="13">
        <v>65361.653315000003</v>
      </c>
    </row>
    <row r="204" spans="1:18" x14ac:dyDescent="0.45">
      <c r="A204" t="s">
        <v>337</v>
      </c>
      <c r="B204" s="13">
        <v>5851.1186809999999</v>
      </c>
      <c r="D204" s="13">
        <v>7289.0588870000001</v>
      </c>
      <c r="G204" s="13">
        <v>31924.420006</v>
      </c>
      <c r="H204" s="13">
        <v>47519.919175000003</v>
      </c>
      <c r="J204" s="13">
        <v>14019.858072000001</v>
      </c>
      <c r="N204" s="13">
        <v>13983.971868000001</v>
      </c>
      <c r="O204" s="13">
        <v>7361.2571129999997</v>
      </c>
      <c r="P204" s="13">
        <v>25397.922719999999</v>
      </c>
      <c r="Q204" s="13">
        <v>0</v>
      </c>
      <c r="R204" s="13">
        <v>65361.653315000003</v>
      </c>
    </row>
    <row r="205" spans="1:18" x14ac:dyDescent="0.45">
      <c r="A205" t="s">
        <v>338</v>
      </c>
      <c r="B205" s="13">
        <v>5851.1186809999999</v>
      </c>
      <c r="D205" s="13">
        <v>7289.0588870000001</v>
      </c>
      <c r="G205" s="13">
        <v>31924.420006</v>
      </c>
      <c r="H205" s="13">
        <v>47519.919175000003</v>
      </c>
      <c r="J205" s="13">
        <v>14019.858072000001</v>
      </c>
      <c r="N205" s="13">
        <v>13983.971868000001</v>
      </c>
      <c r="O205" s="13">
        <v>7361.2571129999997</v>
      </c>
      <c r="P205" s="13">
        <v>25397.922719999999</v>
      </c>
      <c r="Q205" s="13">
        <v>0</v>
      </c>
      <c r="R205" s="13">
        <v>65361.653315000003</v>
      </c>
    </row>
    <row r="206" spans="1:18" x14ac:dyDescent="0.45">
      <c r="A206" t="s">
        <v>339</v>
      </c>
      <c r="B206" s="13">
        <v>5851.1186809999999</v>
      </c>
      <c r="D206" s="13">
        <v>7289.0588870000001</v>
      </c>
      <c r="G206" s="13">
        <v>31924.420006</v>
      </c>
      <c r="H206" s="13">
        <v>47519.919175000003</v>
      </c>
      <c r="J206" s="13">
        <v>14019.858072000001</v>
      </c>
      <c r="N206" s="13">
        <v>13983.971868000001</v>
      </c>
      <c r="O206" s="13">
        <v>7361.2571129999997</v>
      </c>
      <c r="P206" s="13">
        <v>25397.922719999999</v>
      </c>
      <c r="Q206" s="13">
        <v>0</v>
      </c>
      <c r="R206" s="13">
        <v>65361.653315000003</v>
      </c>
    </row>
    <row r="207" spans="1:18" x14ac:dyDescent="0.45">
      <c r="A207" t="s">
        <v>340</v>
      </c>
      <c r="B207" s="13">
        <v>5851.1186809999999</v>
      </c>
      <c r="D207" s="13">
        <v>7289.0588870000001</v>
      </c>
      <c r="G207" s="13">
        <v>31924.420006</v>
      </c>
      <c r="H207" s="13">
        <v>47519.919175000003</v>
      </c>
      <c r="J207" s="13">
        <v>14019.858072000001</v>
      </c>
      <c r="N207" s="13">
        <v>13983.971868000001</v>
      </c>
      <c r="O207" s="13">
        <v>7361.2571129999997</v>
      </c>
      <c r="P207" s="13">
        <v>25397.922719999999</v>
      </c>
      <c r="Q207" s="13">
        <v>0</v>
      </c>
      <c r="R207" s="13">
        <v>65361.653315000003</v>
      </c>
    </row>
    <row r="208" spans="1:18" x14ac:dyDescent="0.45">
      <c r="A208" t="s">
        <v>341</v>
      </c>
      <c r="B208" s="13">
        <v>5851.1186809999999</v>
      </c>
      <c r="D208" s="13">
        <v>7289.0588870000001</v>
      </c>
      <c r="G208" s="13">
        <v>31924.420006</v>
      </c>
      <c r="H208" s="13">
        <v>47519.919175000003</v>
      </c>
      <c r="J208" s="13">
        <v>14019.858072000001</v>
      </c>
      <c r="N208" s="13">
        <v>13983.971868000001</v>
      </c>
      <c r="O208" s="13">
        <v>7361.2571129999997</v>
      </c>
      <c r="P208" s="13">
        <v>25397.922719999999</v>
      </c>
      <c r="Q208" s="13">
        <v>0</v>
      </c>
      <c r="R208" s="13">
        <v>65361.653315000003</v>
      </c>
    </row>
    <row r="209" spans="1:18" x14ac:dyDescent="0.45">
      <c r="A209" t="s">
        <v>342</v>
      </c>
      <c r="B209" s="13">
        <v>5851.1186809999999</v>
      </c>
      <c r="D209" s="13">
        <v>7289.0588870000001</v>
      </c>
      <c r="G209" s="13">
        <v>31924.420006</v>
      </c>
      <c r="H209" s="13">
        <v>47519.919175000003</v>
      </c>
      <c r="J209" s="13">
        <v>14019.858072000001</v>
      </c>
      <c r="N209" s="13">
        <v>13983.971868000001</v>
      </c>
      <c r="O209" s="13">
        <v>7361.2571129999997</v>
      </c>
      <c r="P209" s="13">
        <v>25397.922719999999</v>
      </c>
      <c r="Q209" s="13">
        <v>0</v>
      </c>
      <c r="R209" s="13">
        <v>65361.653315000003</v>
      </c>
    </row>
    <row r="210" spans="1:18" x14ac:dyDescent="0.45">
      <c r="A210" t="s">
        <v>343</v>
      </c>
      <c r="B210" s="13">
        <v>5851.1186809999999</v>
      </c>
      <c r="D210" s="13">
        <v>7289.0588870000001</v>
      </c>
      <c r="G210" s="13">
        <v>31924.420006</v>
      </c>
      <c r="H210" s="13">
        <v>47519.919175000003</v>
      </c>
      <c r="J210" s="13">
        <v>14019.858072000001</v>
      </c>
      <c r="N210" s="13">
        <v>13983.971868000001</v>
      </c>
      <c r="O210" s="13">
        <v>7361.2571129999997</v>
      </c>
      <c r="P210" s="13">
        <v>25397.922719999999</v>
      </c>
      <c r="Q210" s="13">
        <v>0</v>
      </c>
      <c r="R210" s="13">
        <v>65361.653315000003</v>
      </c>
    </row>
    <row r="211" spans="1:18" x14ac:dyDescent="0.45">
      <c r="A211" t="s">
        <v>344</v>
      </c>
      <c r="B211" s="13">
        <v>5851.1186809999999</v>
      </c>
      <c r="D211" s="13">
        <v>7289.0588870000001</v>
      </c>
      <c r="G211" s="13">
        <v>31924.420006</v>
      </c>
      <c r="H211" s="13">
        <v>47519.919175000003</v>
      </c>
      <c r="J211" s="13">
        <v>14019.858072000001</v>
      </c>
      <c r="N211" s="13">
        <v>13983.971868000001</v>
      </c>
      <c r="O211" s="13">
        <v>7361.2571129999997</v>
      </c>
      <c r="P211" s="13">
        <v>25397.922719999999</v>
      </c>
      <c r="Q211" s="13">
        <v>0</v>
      </c>
      <c r="R211" s="13">
        <v>65361.653315000003</v>
      </c>
    </row>
    <row r="212" spans="1:18" x14ac:dyDescent="0.45">
      <c r="A212" t="s">
        <v>345</v>
      </c>
      <c r="B212" s="13">
        <v>5851.1186809999999</v>
      </c>
      <c r="D212" s="13">
        <v>7289.0588870000001</v>
      </c>
      <c r="G212" s="13">
        <v>31924.420006</v>
      </c>
      <c r="H212" s="13">
        <v>47519.919175000003</v>
      </c>
      <c r="J212" s="13">
        <v>14019.858072000001</v>
      </c>
      <c r="N212" s="13">
        <v>13983.971868000001</v>
      </c>
      <c r="O212" s="13">
        <v>7361.2571129999997</v>
      </c>
      <c r="P212" s="13">
        <v>25397.922719999999</v>
      </c>
      <c r="Q212" s="13">
        <v>0</v>
      </c>
      <c r="R212" s="13">
        <v>65361.653315000003</v>
      </c>
    </row>
    <row r="213" spans="1:18" x14ac:dyDescent="0.45">
      <c r="A213" t="s">
        <v>346</v>
      </c>
      <c r="B213" s="13">
        <v>5851.1186809999999</v>
      </c>
      <c r="D213" s="13">
        <v>7289.0588870000001</v>
      </c>
      <c r="G213" s="13">
        <v>31924.420006</v>
      </c>
      <c r="H213" s="13">
        <v>47519.919175000003</v>
      </c>
      <c r="J213" s="13">
        <v>14019.858072000001</v>
      </c>
      <c r="N213" s="13">
        <v>13983.971868000001</v>
      </c>
      <c r="O213" s="13">
        <v>7361.2571129999997</v>
      </c>
      <c r="P213" s="13">
        <v>25397.922719999999</v>
      </c>
      <c r="Q213" s="13">
        <v>0</v>
      </c>
      <c r="R213" s="13">
        <v>65361.653315000003</v>
      </c>
    </row>
    <row r="214" spans="1:18" x14ac:dyDescent="0.45">
      <c r="A214" t="s">
        <v>347</v>
      </c>
      <c r="B214" s="13">
        <v>5851.1186809999999</v>
      </c>
      <c r="D214" s="13">
        <v>7289.0588870000001</v>
      </c>
      <c r="G214" s="13">
        <v>31924.420006</v>
      </c>
      <c r="H214" s="13">
        <v>47519.919175000003</v>
      </c>
      <c r="J214" s="13">
        <v>14019.858072000001</v>
      </c>
      <c r="N214" s="13">
        <v>13983.971868000001</v>
      </c>
      <c r="O214" s="13">
        <v>7361.2571129999997</v>
      </c>
      <c r="P214" s="13">
        <v>25397.922719999999</v>
      </c>
      <c r="Q214" s="13">
        <v>0</v>
      </c>
      <c r="R214" s="13">
        <v>65361.653315000003</v>
      </c>
    </row>
    <row r="215" spans="1:18" x14ac:dyDescent="0.45">
      <c r="A215" t="s">
        <v>348</v>
      </c>
      <c r="B215" s="13">
        <v>5851.1186809999999</v>
      </c>
      <c r="D215" s="13">
        <v>7289.0588870000001</v>
      </c>
      <c r="G215" s="13">
        <v>31924.420006</v>
      </c>
      <c r="H215" s="13">
        <v>47519.919175000003</v>
      </c>
      <c r="J215" s="13">
        <v>14019.858072000001</v>
      </c>
      <c r="N215" s="13">
        <v>13983.971868000001</v>
      </c>
      <c r="O215" s="13">
        <v>7361.2571129999997</v>
      </c>
      <c r="P215" s="13">
        <v>25397.922719999999</v>
      </c>
      <c r="Q215" s="13">
        <v>0</v>
      </c>
      <c r="R215" s="13">
        <v>65361.653315000003</v>
      </c>
    </row>
    <row r="216" spans="1:18" x14ac:dyDescent="0.45">
      <c r="A216" t="s">
        <v>349</v>
      </c>
      <c r="B216" s="13">
        <v>5851.1186809999999</v>
      </c>
      <c r="D216" s="13">
        <v>7289.0588870000001</v>
      </c>
      <c r="G216" s="13">
        <v>31924.420006</v>
      </c>
      <c r="H216" s="13">
        <v>47519.919175000003</v>
      </c>
      <c r="J216" s="13">
        <v>14019.858072000001</v>
      </c>
      <c r="N216" s="13">
        <v>13983.971868000001</v>
      </c>
      <c r="O216" s="13">
        <v>7361.2571129999997</v>
      </c>
      <c r="P216" s="13">
        <v>25397.922719999999</v>
      </c>
      <c r="Q216" s="13">
        <v>0</v>
      </c>
      <c r="R216" s="13">
        <v>65361.653315000003</v>
      </c>
    </row>
    <row r="217" spans="1:18" x14ac:dyDescent="0.45">
      <c r="A217" t="s">
        <v>350</v>
      </c>
      <c r="B217" s="13">
        <v>5851.1186809999999</v>
      </c>
      <c r="D217" s="13">
        <v>7289.0588870000001</v>
      </c>
      <c r="G217" s="13">
        <v>31924.420006</v>
      </c>
      <c r="H217" s="13">
        <v>47519.919175000003</v>
      </c>
      <c r="J217" s="13">
        <v>14019.858072000001</v>
      </c>
      <c r="N217" s="13">
        <v>13983.971868000001</v>
      </c>
      <c r="O217" s="13">
        <v>7361.2571129999997</v>
      </c>
      <c r="P217" s="13">
        <v>25397.922719999999</v>
      </c>
      <c r="Q217" s="13">
        <v>0</v>
      </c>
      <c r="R217" s="13">
        <v>65361.653315000003</v>
      </c>
    </row>
    <row r="218" spans="1:18" x14ac:dyDescent="0.45">
      <c r="A218" t="s">
        <v>351</v>
      </c>
      <c r="B218" s="13">
        <v>5851.1186809999999</v>
      </c>
      <c r="D218" s="13">
        <v>7289.0588870000001</v>
      </c>
      <c r="G218" s="13">
        <v>31924.420006</v>
      </c>
      <c r="H218" s="13">
        <v>47519.919175000003</v>
      </c>
      <c r="J218" s="13">
        <v>14019.858072000001</v>
      </c>
      <c r="N218" s="13">
        <v>13983.971868000001</v>
      </c>
      <c r="O218" s="13">
        <v>7361.2571129999997</v>
      </c>
      <c r="P218" s="13">
        <v>25397.922719999999</v>
      </c>
      <c r="Q218" s="13">
        <v>0</v>
      </c>
      <c r="R218" s="13">
        <v>65361.653315000003</v>
      </c>
    </row>
    <row r="219" spans="1:18" x14ac:dyDescent="0.45">
      <c r="A219" t="s">
        <v>352</v>
      </c>
      <c r="B219" s="13">
        <v>5851.1186809999999</v>
      </c>
      <c r="D219" s="13">
        <v>7289.0588870000001</v>
      </c>
      <c r="G219" s="13">
        <v>31924.420006</v>
      </c>
      <c r="H219" s="13">
        <v>47519.919175000003</v>
      </c>
      <c r="J219" s="13">
        <v>14019.858072000001</v>
      </c>
      <c r="N219" s="13">
        <v>13983.971868000001</v>
      </c>
      <c r="O219" s="13">
        <v>7361.2571129999997</v>
      </c>
      <c r="P219" s="13">
        <v>25397.922719999999</v>
      </c>
      <c r="Q219" s="13">
        <v>0</v>
      </c>
      <c r="R219" s="13">
        <v>65361.653315000003</v>
      </c>
    </row>
    <row r="220" spans="1:18" x14ac:dyDescent="0.45">
      <c r="A220" t="s">
        <v>353</v>
      </c>
      <c r="B220" s="13">
        <v>5851.1186809999999</v>
      </c>
      <c r="D220" s="13">
        <v>7289.0588870000001</v>
      </c>
      <c r="G220" s="13">
        <v>31924.420006</v>
      </c>
      <c r="H220" s="13">
        <v>47519.919175000003</v>
      </c>
      <c r="J220" s="13">
        <v>14019.858072000001</v>
      </c>
      <c r="N220" s="13">
        <v>13983.971868000001</v>
      </c>
      <c r="O220" s="13">
        <v>7361.2571129999997</v>
      </c>
      <c r="P220" s="13">
        <v>25397.922719999999</v>
      </c>
      <c r="Q220" s="13">
        <v>0</v>
      </c>
      <c r="R220" s="13">
        <v>65361.653315000003</v>
      </c>
    </row>
    <row r="221" spans="1:18" x14ac:dyDescent="0.45">
      <c r="A221" t="s">
        <v>354</v>
      </c>
      <c r="B221" s="13">
        <v>5851.1186809999999</v>
      </c>
      <c r="D221" s="13">
        <v>7289.0588870000001</v>
      </c>
      <c r="G221" s="13">
        <v>31924.420006</v>
      </c>
      <c r="H221" s="13">
        <v>47519.919175000003</v>
      </c>
      <c r="J221" s="13">
        <v>14019.858072000001</v>
      </c>
      <c r="N221" s="13">
        <v>13983.971868000001</v>
      </c>
      <c r="O221" s="13">
        <v>7361.2571129999997</v>
      </c>
      <c r="P221" s="13">
        <v>25397.922719999999</v>
      </c>
      <c r="Q221" s="13">
        <v>0</v>
      </c>
      <c r="R221" s="13">
        <v>65361.653315000003</v>
      </c>
    </row>
    <row r="222" spans="1:18" x14ac:dyDescent="0.45">
      <c r="A222" t="s">
        <v>355</v>
      </c>
      <c r="B222" s="13">
        <v>5851.1186809999999</v>
      </c>
      <c r="D222" s="13">
        <v>7289.0588870000001</v>
      </c>
      <c r="G222" s="13">
        <v>31924.420006</v>
      </c>
      <c r="H222" s="13">
        <v>47519.919175000003</v>
      </c>
      <c r="J222" s="13">
        <v>14019.858072000001</v>
      </c>
      <c r="N222" s="13">
        <v>13983.971868000001</v>
      </c>
      <c r="O222" s="13">
        <v>7361.2571129999997</v>
      </c>
      <c r="P222" s="13">
        <v>25397.922719999999</v>
      </c>
      <c r="Q222" s="13">
        <v>0</v>
      </c>
      <c r="R222" s="13">
        <v>65361.653315000003</v>
      </c>
    </row>
    <row r="223" spans="1:18" x14ac:dyDescent="0.45">
      <c r="A223" s="4" t="s">
        <v>356</v>
      </c>
      <c r="B223" s="32">
        <v>5851.1186809999999</v>
      </c>
      <c r="C223" s="4"/>
      <c r="D223" s="32">
        <v>7289.0588870000001</v>
      </c>
      <c r="E223" s="4"/>
      <c r="F223" s="4"/>
      <c r="G223" s="32">
        <v>31924.420006</v>
      </c>
      <c r="H223" s="32">
        <v>47519.919175000003</v>
      </c>
      <c r="I223" s="4"/>
      <c r="J223" s="32">
        <v>14019.858072000001</v>
      </c>
      <c r="K223" s="4"/>
      <c r="L223" s="4"/>
      <c r="M223" s="4"/>
      <c r="N223" s="32">
        <v>13983.971868000001</v>
      </c>
      <c r="O223" s="32">
        <v>7361.2571129999997</v>
      </c>
      <c r="P223" s="32">
        <v>25397.922719999999</v>
      </c>
      <c r="Q223" s="32">
        <v>0</v>
      </c>
      <c r="R223" s="32">
        <v>65361.653315000003</v>
      </c>
    </row>
    <row r="224" spans="1:18" x14ac:dyDescent="0.45">
      <c r="A224" s="4" t="s">
        <v>357</v>
      </c>
      <c r="B224" s="32">
        <v>5851.1186809999999</v>
      </c>
      <c r="C224" s="4"/>
      <c r="D224" s="32">
        <v>7289.0588870000001</v>
      </c>
      <c r="E224" s="4"/>
      <c r="F224" s="4"/>
      <c r="G224" s="32">
        <v>31924.420006</v>
      </c>
      <c r="H224" s="32">
        <v>47519.919175000003</v>
      </c>
      <c r="I224" s="4"/>
      <c r="J224" s="32">
        <v>14019.858072000001</v>
      </c>
      <c r="K224" s="4"/>
      <c r="L224" s="4"/>
      <c r="M224" s="4"/>
      <c r="N224" s="32">
        <v>13983.971868000001</v>
      </c>
      <c r="O224" s="32">
        <v>7361.2571129999997</v>
      </c>
      <c r="P224" s="32">
        <v>25397.922719999999</v>
      </c>
      <c r="Q224" s="32">
        <v>0</v>
      </c>
      <c r="R224" s="32">
        <v>65361.653315000003</v>
      </c>
    </row>
    <row r="225" spans="1:18" x14ac:dyDescent="0.45">
      <c r="A225" s="4" t="s">
        <v>438</v>
      </c>
      <c r="B225" s="32">
        <v>5851.1186809999999</v>
      </c>
      <c r="C225" s="4"/>
      <c r="D225" s="32">
        <v>7289.0588870000001</v>
      </c>
      <c r="E225" s="4"/>
      <c r="F225" s="4"/>
      <c r="G225" s="32">
        <v>31924.420006</v>
      </c>
      <c r="H225" s="32">
        <v>47519.919175000003</v>
      </c>
      <c r="I225" s="4"/>
      <c r="J225" s="32">
        <v>14019.858072000001</v>
      </c>
      <c r="K225" s="4"/>
      <c r="L225" s="4"/>
      <c r="M225" s="4"/>
      <c r="N225" s="32">
        <v>13983.971868000001</v>
      </c>
      <c r="O225" s="32">
        <v>7361.2571129999997</v>
      </c>
      <c r="P225" s="32">
        <v>25397.922719999999</v>
      </c>
      <c r="Q225" s="32">
        <v>0</v>
      </c>
      <c r="R225" s="32">
        <v>65361.653315000003</v>
      </c>
    </row>
    <row r="226" spans="1:18" x14ac:dyDescent="0.45">
      <c r="A226" s="4" t="s">
        <v>441</v>
      </c>
      <c r="B226" s="32">
        <v>5851.1186809999999</v>
      </c>
      <c r="D226" s="32">
        <v>7289.0588870000001</v>
      </c>
      <c r="G226" s="32">
        <v>31924.420006</v>
      </c>
      <c r="H226" s="32">
        <v>47519.919175000003</v>
      </c>
      <c r="I226" s="4"/>
      <c r="J226" s="32">
        <v>14019.858072000001</v>
      </c>
      <c r="K226" s="4"/>
      <c r="L226" s="4"/>
      <c r="M226" s="4"/>
      <c r="N226" s="32">
        <v>13983.971868000001</v>
      </c>
      <c r="O226" s="32">
        <v>7361.2571129999997</v>
      </c>
      <c r="P226" s="32">
        <v>25397.922719999999</v>
      </c>
      <c r="Q226" s="32">
        <v>0</v>
      </c>
      <c r="R226" s="32">
        <v>65361.653315000003</v>
      </c>
    </row>
  </sheetData>
  <phoneticPr fontId="3"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D70F-8790-477C-9CA4-95C4E886938D}">
  <dimension ref="A1:H226"/>
  <sheetViews>
    <sheetView workbookViewId="0">
      <pane xSplit="1" ySplit="3" topLeftCell="B218" activePane="bottomRight" state="frozen"/>
      <selection pane="topRight" activeCell="B13" sqref="B13"/>
      <selection pane="bottomLeft" activeCell="B13" sqref="B13"/>
      <selection pane="bottomRight" activeCell="D231" sqref="D231"/>
    </sheetView>
  </sheetViews>
  <sheetFormatPr defaultRowHeight="14.25" x14ac:dyDescent="0.45"/>
  <cols>
    <col min="2" max="2" width="10.796875" bestFit="1" customWidth="1"/>
    <col min="3" max="3" width="17.46484375" bestFit="1" customWidth="1"/>
    <col min="6" max="6" width="19.73046875" bestFit="1" customWidth="1"/>
  </cols>
  <sheetData>
    <row r="1" spans="1:8" x14ac:dyDescent="0.45">
      <c r="B1" t="s">
        <v>387</v>
      </c>
      <c r="C1" t="s">
        <v>388</v>
      </c>
      <c r="G1" t="s">
        <v>387</v>
      </c>
      <c r="H1" t="s">
        <v>388</v>
      </c>
    </row>
    <row r="2" spans="1:8" x14ac:dyDescent="0.45">
      <c r="A2" t="s">
        <v>135</v>
      </c>
      <c r="F2" t="s">
        <v>389</v>
      </c>
      <c r="G2">
        <f>AVERAGE(B122:B201)</f>
        <v>54.04130087499999</v>
      </c>
      <c r="H2">
        <f>AVERAGE(C122:C201)</f>
        <v>67.528991374999976</v>
      </c>
    </row>
    <row r="3" spans="1:8" x14ac:dyDescent="0.45">
      <c r="A3" t="s">
        <v>136</v>
      </c>
      <c r="F3" t="s">
        <v>390</v>
      </c>
      <c r="G3">
        <f>_xlfn.STDEV.S(B122:B201)</f>
        <v>3.6527963615624031</v>
      </c>
      <c r="H3">
        <f>_xlfn.STDEV.S(C122:C201)</f>
        <v>4.6026101577042011</v>
      </c>
    </row>
    <row r="4" spans="1:8" x14ac:dyDescent="0.45">
      <c r="A4" t="s">
        <v>137</v>
      </c>
    </row>
    <row r="5" spans="1:8" x14ac:dyDescent="0.45">
      <c r="A5" t="s">
        <v>138</v>
      </c>
    </row>
    <row r="6" spans="1:8" x14ac:dyDescent="0.45">
      <c r="A6" t="s">
        <v>139</v>
      </c>
    </row>
    <row r="7" spans="1:8" x14ac:dyDescent="0.45">
      <c r="A7" t="s">
        <v>140</v>
      </c>
    </row>
    <row r="8" spans="1:8" x14ac:dyDescent="0.45">
      <c r="A8" t="s">
        <v>141</v>
      </c>
    </row>
    <row r="9" spans="1:8" x14ac:dyDescent="0.45">
      <c r="A9" t="s">
        <v>142</v>
      </c>
    </row>
    <row r="10" spans="1:8" x14ac:dyDescent="0.45">
      <c r="A10" t="s">
        <v>143</v>
      </c>
    </row>
    <row r="11" spans="1:8" x14ac:dyDescent="0.45">
      <c r="A11" t="s">
        <v>144</v>
      </c>
    </row>
    <row r="12" spans="1:8" x14ac:dyDescent="0.45">
      <c r="A12" t="s">
        <v>145</v>
      </c>
    </row>
    <row r="13" spans="1:8" x14ac:dyDescent="0.45">
      <c r="A13" t="s">
        <v>146</v>
      </c>
    </row>
    <row r="14" spans="1:8" x14ac:dyDescent="0.45">
      <c r="A14" t="s">
        <v>147</v>
      </c>
    </row>
    <row r="15" spans="1:8" x14ac:dyDescent="0.45">
      <c r="A15" t="s">
        <v>148</v>
      </c>
    </row>
    <row r="16" spans="1:8" x14ac:dyDescent="0.45">
      <c r="A16" t="s">
        <v>149</v>
      </c>
    </row>
    <row r="17" spans="1:1" x14ac:dyDescent="0.45">
      <c r="A17" t="s">
        <v>150</v>
      </c>
    </row>
    <row r="18" spans="1:1" x14ac:dyDescent="0.45">
      <c r="A18" t="s">
        <v>151</v>
      </c>
    </row>
    <row r="19" spans="1:1" x14ac:dyDescent="0.45">
      <c r="A19" t="s">
        <v>152</v>
      </c>
    </row>
    <row r="20" spans="1:1" x14ac:dyDescent="0.45">
      <c r="A20" t="s">
        <v>153</v>
      </c>
    </row>
    <row r="21" spans="1:1" x14ac:dyDescent="0.45">
      <c r="A21" t="s">
        <v>154</v>
      </c>
    </row>
    <row r="22" spans="1:1" x14ac:dyDescent="0.45">
      <c r="A22" t="s">
        <v>155</v>
      </c>
    </row>
    <row r="23" spans="1:1" x14ac:dyDescent="0.45">
      <c r="A23" t="s">
        <v>156</v>
      </c>
    </row>
    <row r="24" spans="1:1" x14ac:dyDescent="0.45">
      <c r="A24" t="s">
        <v>157</v>
      </c>
    </row>
    <row r="25" spans="1:1" x14ac:dyDescent="0.45">
      <c r="A25" t="s">
        <v>158</v>
      </c>
    </row>
    <row r="26" spans="1:1" x14ac:dyDescent="0.45">
      <c r="A26" t="s">
        <v>159</v>
      </c>
    </row>
    <row r="27" spans="1:1" x14ac:dyDescent="0.45">
      <c r="A27" t="s">
        <v>160</v>
      </c>
    </row>
    <row r="28" spans="1:1" x14ac:dyDescent="0.45">
      <c r="A28" t="s">
        <v>161</v>
      </c>
    </row>
    <row r="29" spans="1:1" x14ac:dyDescent="0.45">
      <c r="A29" t="s">
        <v>162</v>
      </c>
    </row>
    <row r="30" spans="1:1" x14ac:dyDescent="0.45">
      <c r="A30" t="s">
        <v>163</v>
      </c>
    </row>
    <row r="31" spans="1:1" x14ac:dyDescent="0.45">
      <c r="A31" t="s">
        <v>164</v>
      </c>
    </row>
    <row r="32" spans="1:1" x14ac:dyDescent="0.45">
      <c r="A32" t="s">
        <v>165</v>
      </c>
    </row>
    <row r="33" spans="1:1" x14ac:dyDescent="0.45">
      <c r="A33" t="s">
        <v>166</v>
      </c>
    </row>
    <row r="34" spans="1:1" x14ac:dyDescent="0.45">
      <c r="A34" t="s">
        <v>167</v>
      </c>
    </row>
    <row r="35" spans="1:1" x14ac:dyDescent="0.45">
      <c r="A35" t="s">
        <v>168</v>
      </c>
    </row>
    <row r="36" spans="1:1" x14ac:dyDescent="0.45">
      <c r="A36" t="s">
        <v>169</v>
      </c>
    </row>
    <row r="37" spans="1:1" x14ac:dyDescent="0.45">
      <c r="A37" t="s">
        <v>170</v>
      </c>
    </row>
    <row r="38" spans="1:1" x14ac:dyDescent="0.45">
      <c r="A38" t="s">
        <v>171</v>
      </c>
    </row>
    <row r="39" spans="1:1" x14ac:dyDescent="0.45">
      <c r="A39" t="s">
        <v>172</v>
      </c>
    </row>
    <row r="40" spans="1:1" x14ac:dyDescent="0.45">
      <c r="A40" t="s">
        <v>173</v>
      </c>
    </row>
    <row r="41" spans="1:1" x14ac:dyDescent="0.45">
      <c r="A41" t="s">
        <v>174</v>
      </c>
    </row>
    <row r="42" spans="1:1" x14ac:dyDescent="0.45">
      <c r="A42" t="s">
        <v>175</v>
      </c>
    </row>
    <row r="43" spans="1:1" x14ac:dyDescent="0.45">
      <c r="A43" t="s">
        <v>176</v>
      </c>
    </row>
    <row r="44" spans="1:1" x14ac:dyDescent="0.45">
      <c r="A44" t="s">
        <v>177</v>
      </c>
    </row>
    <row r="45" spans="1:1" x14ac:dyDescent="0.45">
      <c r="A45" t="s">
        <v>178</v>
      </c>
    </row>
    <row r="46" spans="1:1" x14ac:dyDescent="0.45">
      <c r="A46" t="s">
        <v>179</v>
      </c>
    </row>
    <row r="47" spans="1:1" x14ac:dyDescent="0.45">
      <c r="A47" t="s">
        <v>180</v>
      </c>
    </row>
    <row r="48" spans="1:1" x14ac:dyDescent="0.45">
      <c r="A48" t="s">
        <v>181</v>
      </c>
    </row>
    <row r="49" spans="1:1" x14ac:dyDescent="0.45">
      <c r="A49" t="s">
        <v>182</v>
      </c>
    </row>
    <row r="50" spans="1:1" x14ac:dyDescent="0.45">
      <c r="A50" t="s">
        <v>183</v>
      </c>
    </row>
    <row r="51" spans="1:1" x14ac:dyDescent="0.45">
      <c r="A51" t="s">
        <v>184</v>
      </c>
    </row>
    <row r="52" spans="1:1" x14ac:dyDescent="0.45">
      <c r="A52" t="s">
        <v>185</v>
      </c>
    </row>
    <row r="53" spans="1:1" x14ac:dyDescent="0.45">
      <c r="A53" t="s">
        <v>186</v>
      </c>
    </row>
    <row r="54" spans="1:1" x14ac:dyDescent="0.45">
      <c r="A54" t="s">
        <v>187</v>
      </c>
    </row>
    <row r="55" spans="1:1" x14ac:dyDescent="0.45">
      <c r="A55" t="s">
        <v>188</v>
      </c>
    </row>
    <row r="56" spans="1:1" x14ac:dyDescent="0.45">
      <c r="A56" t="s">
        <v>189</v>
      </c>
    </row>
    <row r="57" spans="1:1" x14ac:dyDescent="0.45">
      <c r="A57" t="s">
        <v>190</v>
      </c>
    </row>
    <row r="58" spans="1:1" x14ac:dyDescent="0.45">
      <c r="A58" t="s">
        <v>191</v>
      </c>
    </row>
    <row r="59" spans="1:1" x14ac:dyDescent="0.45">
      <c r="A59" t="s">
        <v>192</v>
      </c>
    </row>
    <row r="60" spans="1:1" x14ac:dyDescent="0.45">
      <c r="A60" t="s">
        <v>193</v>
      </c>
    </row>
    <row r="61" spans="1:1" x14ac:dyDescent="0.45">
      <c r="A61" t="s">
        <v>194</v>
      </c>
    </row>
    <row r="62" spans="1:1" x14ac:dyDescent="0.45">
      <c r="A62" t="s">
        <v>195</v>
      </c>
    </row>
    <row r="63" spans="1:1" x14ac:dyDescent="0.45">
      <c r="A63" t="s">
        <v>196</v>
      </c>
    </row>
    <row r="64" spans="1:1" x14ac:dyDescent="0.45">
      <c r="A64" t="s">
        <v>197</v>
      </c>
    </row>
    <row r="65" spans="1:1" x14ac:dyDescent="0.45">
      <c r="A65" t="s">
        <v>198</v>
      </c>
    </row>
    <row r="66" spans="1:1" x14ac:dyDescent="0.45">
      <c r="A66" t="s">
        <v>199</v>
      </c>
    </row>
    <row r="67" spans="1:1" x14ac:dyDescent="0.45">
      <c r="A67" t="s">
        <v>200</v>
      </c>
    </row>
    <row r="68" spans="1:1" x14ac:dyDescent="0.45">
      <c r="A68" t="s">
        <v>201</v>
      </c>
    </row>
    <row r="69" spans="1:1" x14ac:dyDescent="0.45">
      <c r="A69" t="s">
        <v>202</v>
      </c>
    </row>
    <row r="70" spans="1:1" x14ac:dyDescent="0.45">
      <c r="A70" t="s">
        <v>203</v>
      </c>
    </row>
    <row r="71" spans="1:1" x14ac:dyDescent="0.45">
      <c r="A71" t="s">
        <v>204</v>
      </c>
    </row>
    <row r="72" spans="1:1" x14ac:dyDescent="0.45">
      <c r="A72" t="s">
        <v>205</v>
      </c>
    </row>
    <row r="73" spans="1:1" x14ac:dyDescent="0.45">
      <c r="A73" t="s">
        <v>206</v>
      </c>
    </row>
    <row r="74" spans="1:1" x14ac:dyDescent="0.45">
      <c r="A74" t="s">
        <v>207</v>
      </c>
    </row>
    <row r="75" spans="1:1" x14ac:dyDescent="0.45">
      <c r="A75" t="s">
        <v>208</v>
      </c>
    </row>
    <row r="76" spans="1:1" x14ac:dyDescent="0.45">
      <c r="A76" t="s">
        <v>209</v>
      </c>
    </row>
    <row r="77" spans="1:1" x14ac:dyDescent="0.45">
      <c r="A77" t="s">
        <v>210</v>
      </c>
    </row>
    <row r="78" spans="1:1" x14ac:dyDescent="0.45">
      <c r="A78" t="s">
        <v>211</v>
      </c>
    </row>
    <row r="79" spans="1:1" x14ac:dyDescent="0.45">
      <c r="A79" t="s">
        <v>212</v>
      </c>
    </row>
    <row r="80" spans="1:1" x14ac:dyDescent="0.45">
      <c r="A80" t="s">
        <v>213</v>
      </c>
    </row>
    <row r="81" spans="1:1" x14ac:dyDescent="0.45">
      <c r="A81" t="s">
        <v>214</v>
      </c>
    </row>
    <row r="82" spans="1:1" x14ac:dyDescent="0.45">
      <c r="A82" t="s">
        <v>215</v>
      </c>
    </row>
    <row r="83" spans="1:1" x14ac:dyDescent="0.45">
      <c r="A83" t="s">
        <v>216</v>
      </c>
    </row>
    <row r="84" spans="1:1" x14ac:dyDescent="0.45">
      <c r="A84" t="s">
        <v>217</v>
      </c>
    </row>
    <row r="85" spans="1:1" x14ac:dyDescent="0.45">
      <c r="A85" t="s">
        <v>218</v>
      </c>
    </row>
    <row r="86" spans="1:1" x14ac:dyDescent="0.45">
      <c r="A86" t="s">
        <v>219</v>
      </c>
    </row>
    <row r="87" spans="1:1" x14ac:dyDescent="0.45">
      <c r="A87" t="s">
        <v>220</v>
      </c>
    </row>
    <row r="88" spans="1:1" x14ac:dyDescent="0.45">
      <c r="A88" t="s">
        <v>221</v>
      </c>
    </row>
    <row r="89" spans="1:1" x14ac:dyDescent="0.45">
      <c r="A89" t="s">
        <v>222</v>
      </c>
    </row>
    <row r="90" spans="1:1" x14ac:dyDescent="0.45">
      <c r="A90" t="s">
        <v>223</v>
      </c>
    </row>
    <row r="91" spans="1:1" x14ac:dyDescent="0.45">
      <c r="A91" t="s">
        <v>224</v>
      </c>
    </row>
    <row r="92" spans="1:1" x14ac:dyDescent="0.45">
      <c r="A92" t="s">
        <v>225</v>
      </c>
    </row>
    <row r="93" spans="1:1" x14ac:dyDescent="0.45">
      <c r="A93" t="s">
        <v>226</v>
      </c>
    </row>
    <row r="94" spans="1:1" x14ac:dyDescent="0.45">
      <c r="A94" t="s">
        <v>227</v>
      </c>
    </row>
    <row r="95" spans="1:1" x14ac:dyDescent="0.45">
      <c r="A95" t="s">
        <v>228</v>
      </c>
    </row>
    <row r="96" spans="1:1" x14ac:dyDescent="0.45">
      <c r="A96" t="s">
        <v>229</v>
      </c>
    </row>
    <row r="97" spans="1:3" x14ac:dyDescent="0.45">
      <c r="A97" t="s">
        <v>230</v>
      </c>
    </row>
    <row r="98" spans="1:3" x14ac:dyDescent="0.45">
      <c r="A98" t="s">
        <v>231</v>
      </c>
    </row>
    <row r="99" spans="1:3" x14ac:dyDescent="0.45">
      <c r="A99" t="s">
        <v>232</v>
      </c>
    </row>
    <row r="100" spans="1:3" x14ac:dyDescent="0.45">
      <c r="A100" t="s">
        <v>233</v>
      </c>
    </row>
    <row r="101" spans="1:3" x14ac:dyDescent="0.45">
      <c r="A101" t="s">
        <v>234</v>
      </c>
    </row>
    <row r="102" spans="1:3" x14ac:dyDescent="0.45">
      <c r="A102" t="s">
        <v>235</v>
      </c>
    </row>
    <row r="103" spans="1:3" x14ac:dyDescent="0.45">
      <c r="A103" t="s">
        <v>236</v>
      </c>
    </row>
    <row r="104" spans="1:3" x14ac:dyDescent="0.45">
      <c r="A104" t="s">
        <v>237</v>
      </c>
    </row>
    <row r="105" spans="1:3" x14ac:dyDescent="0.45">
      <c r="A105" t="s">
        <v>238</v>
      </c>
    </row>
    <row r="106" spans="1:3" x14ac:dyDescent="0.45">
      <c r="A106" t="s">
        <v>239</v>
      </c>
    </row>
    <row r="107" spans="1:3" x14ac:dyDescent="0.45">
      <c r="A107" t="s">
        <v>240</v>
      </c>
    </row>
    <row r="108" spans="1:3" x14ac:dyDescent="0.45">
      <c r="A108" t="s">
        <v>241</v>
      </c>
    </row>
    <row r="109" spans="1:3" x14ac:dyDescent="0.45">
      <c r="A109" t="s">
        <v>242</v>
      </c>
    </row>
    <row r="110" spans="1:3" x14ac:dyDescent="0.45">
      <c r="A110" t="s">
        <v>243</v>
      </c>
    </row>
    <row r="111" spans="1:3" x14ac:dyDescent="0.45">
      <c r="A111" t="s">
        <v>244</v>
      </c>
      <c r="C111">
        <v>75.512889999999999</v>
      </c>
    </row>
    <row r="112" spans="1:3" x14ac:dyDescent="0.45">
      <c r="A112" t="s">
        <v>245</v>
      </c>
      <c r="C112">
        <v>71.993510000000001</v>
      </c>
    </row>
    <row r="113" spans="1:4" x14ac:dyDescent="0.45">
      <c r="A113" t="s">
        <v>246</v>
      </c>
      <c r="C113">
        <v>72.645489999999995</v>
      </c>
    </row>
    <row r="114" spans="1:4" x14ac:dyDescent="0.45">
      <c r="A114" t="s">
        <v>247</v>
      </c>
      <c r="B114">
        <v>57.145919999999997</v>
      </c>
      <c r="C114">
        <v>70.328220000000002</v>
      </c>
      <c r="D114">
        <v>57.145925379999994</v>
      </c>
    </row>
    <row r="115" spans="1:4" x14ac:dyDescent="0.45">
      <c r="A115" t="s">
        <v>248</v>
      </c>
      <c r="B115">
        <v>54.244869999999999</v>
      </c>
      <c r="C115">
        <v>67.178780000000003</v>
      </c>
      <c r="D115">
        <v>54.244867680000006</v>
      </c>
    </row>
    <row r="116" spans="1:4" x14ac:dyDescent="0.45">
      <c r="A116" t="s">
        <v>249</v>
      </c>
      <c r="B116">
        <v>50.972499999999997</v>
      </c>
      <c r="C116">
        <v>61.114199999999997</v>
      </c>
      <c r="D116">
        <v>50.972504996666665</v>
      </c>
    </row>
    <row r="117" spans="1:4" x14ac:dyDescent="0.45">
      <c r="A117" t="s">
        <v>250</v>
      </c>
      <c r="B117">
        <v>46.597670000000001</v>
      </c>
      <c r="C117">
        <v>59.2697</v>
      </c>
      <c r="D117">
        <v>46.597670010000002</v>
      </c>
    </row>
    <row r="118" spans="1:4" x14ac:dyDescent="0.45">
      <c r="A118" t="s">
        <v>251</v>
      </c>
      <c r="B118">
        <v>49.254219999999997</v>
      </c>
      <c r="C118">
        <v>66.675030000000007</v>
      </c>
      <c r="D118">
        <v>49.254220823333334</v>
      </c>
    </row>
    <row r="119" spans="1:4" x14ac:dyDescent="0.45">
      <c r="A119" t="s">
        <v>252</v>
      </c>
      <c r="B119">
        <v>55.406959999999998</v>
      </c>
      <c r="C119">
        <v>73.121250000000003</v>
      </c>
      <c r="D119">
        <v>55.406956473333338</v>
      </c>
    </row>
    <row r="120" spans="1:4" x14ac:dyDescent="0.45">
      <c r="A120" t="s">
        <v>253</v>
      </c>
      <c r="B120">
        <v>57.31541</v>
      </c>
      <c r="C120">
        <v>73.942689999999999</v>
      </c>
      <c r="D120">
        <v>57.315405906666662</v>
      </c>
    </row>
    <row r="121" spans="1:4" x14ac:dyDescent="0.45">
      <c r="A121" t="s">
        <v>254</v>
      </c>
      <c r="B121">
        <v>57.776040000000002</v>
      </c>
      <c r="C121">
        <v>72.455119999999994</v>
      </c>
      <c r="D121">
        <v>57.776042496666662</v>
      </c>
    </row>
    <row r="122" spans="1:4" x14ac:dyDescent="0.45">
      <c r="A122" t="s">
        <v>255</v>
      </c>
      <c r="B122">
        <v>56.123939999999997</v>
      </c>
      <c r="C122">
        <v>71.2149</v>
      </c>
      <c r="D122">
        <v>56.1239372</v>
      </c>
    </row>
    <row r="123" spans="1:4" x14ac:dyDescent="0.45">
      <c r="A123" t="s">
        <v>256</v>
      </c>
      <c r="B123">
        <v>56.128979999999999</v>
      </c>
      <c r="C123">
        <v>69.528239999999997</v>
      </c>
      <c r="D123">
        <v>56.128979926666666</v>
      </c>
    </row>
    <row r="124" spans="1:4" x14ac:dyDescent="0.45">
      <c r="A124" t="s">
        <v>257</v>
      </c>
      <c r="B124">
        <v>55.21443</v>
      </c>
      <c r="C124">
        <v>69.061989999999994</v>
      </c>
      <c r="D124">
        <v>55.214426786666671</v>
      </c>
    </row>
    <row r="125" spans="1:4" x14ac:dyDescent="0.45">
      <c r="A125" t="s">
        <v>258</v>
      </c>
      <c r="B125">
        <v>55.37032</v>
      </c>
      <c r="C125">
        <v>69.545429999999996</v>
      </c>
      <c r="D125">
        <v>55.370318973333333</v>
      </c>
    </row>
    <row r="126" spans="1:4" x14ac:dyDescent="0.45">
      <c r="A126" t="s">
        <v>259</v>
      </c>
      <c r="B126">
        <v>55.020870000000002</v>
      </c>
      <c r="C126">
        <v>69.690479999999994</v>
      </c>
      <c r="D126">
        <v>55.020868739999997</v>
      </c>
    </row>
    <row r="127" spans="1:4" x14ac:dyDescent="0.45">
      <c r="A127" t="s">
        <v>260</v>
      </c>
      <c r="B127">
        <v>50.288559999999997</v>
      </c>
      <c r="C127">
        <v>66.86739</v>
      </c>
      <c r="D127">
        <v>50.288554173333331</v>
      </c>
    </row>
    <row r="128" spans="1:4" x14ac:dyDescent="0.45">
      <c r="A128" t="s">
        <v>261</v>
      </c>
      <c r="B128">
        <v>48.974769999999999</v>
      </c>
      <c r="C128">
        <v>62.861080000000001</v>
      </c>
      <c r="D128">
        <v>48.974771826666675</v>
      </c>
    </row>
    <row r="129" spans="1:4" x14ac:dyDescent="0.45">
      <c r="A129" t="s">
        <v>262</v>
      </c>
      <c r="B129">
        <v>47.369590000000002</v>
      </c>
      <c r="C129">
        <v>61.591299999999997</v>
      </c>
      <c r="D129">
        <v>47.369592663333329</v>
      </c>
    </row>
    <row r="130" spans="1:4" x14ac:dyDescent="0.45">
      <c r="A130" t="s">
        <v>263</v>
      </c>
      <c r="B130">
        <v>52.401200000000003</v>
      </c>
      <c r="C130">
        <v>69.256649999999993</v>
      </c>
      <c r="D130">
        <v>52.40120455666667</v>
      </c>
    </row>
    <row r="131" spans="1:4" x14ac:dyDescent="0.45">
      <c r="A131" t="s">
        <v>264</v>
      </c>
      <c r="B131">
        <v>55.513500000000001</v>
      </c>
      <c r="C131">
        <v>71.119</v>
      </c>
      <c r="D131">
        <v>55.513497780000002</v>
      </c>
    </row>
    <row r="132" spans="1:4" x14ac:dyDescent="0.45">
      <c r="A132" t="s">
        <v>265</v>
      </c>
      <c r="B132">
        <v>54.358469999999997</v>
      </c>
      <c r="C132">
        <v>68.260670000000005</v>
      </c>
      <c r="D132">
        <v>54.358469923333331</v>
      </c>
    </row>
    <row r="133" spans="1:4" x14ac:dyDescent="0.45">
      <c r="A133" t="s">
        <v>266</v>
      </c>
      <c r="B133">
        <v>53.379570000000001</v>
      </c>
      <c r="C133">
        <v>66.764510000000001</v>
      </c>
      <c r="D133">
        <v>53.379573663333332</v>
      </c>
    </row>
    <row r="134" spans="1:4" x14ac:dyDescent="0.45">
      <c r="A134" t="s">
        <v>267</v>
      </c>
      <c r="B134">
        <v>50.119059999999998</v>
      </c>
      <c r="C134">
        <v>65.406199999999998</v>
      </c>
      <c r="D134">
        <v>50.119055943333336</v>
      </c>
    </row>
    <row r="135" spans="1:4" x14ac:dyDescent="0.45">
      <c r="A135" t="s">
        <v>268</v>
      </c>
      <c r="B135">
        <v>51.803159999999998</v>
      </c>
      <c r="C135">
        <v>67.943759999999997</v>
      </c>
      <c r="D135">
        <v>51.803162706666662</v>
      </c>
    </row>
    <row r="136" spans="1:4" x14ac:dyDescent="0.45">
      <c r="A136" t="s">
        <v>269</v>
      </c>
      <c r="B136">
        <v>56.809489999999997</v>
      </c>
      <c r="C136">
        <v>70.631569999999996</v>
      </c>
      <c r="D136">
        <v>56.809491320000006</v>
      </c>
    </row>
    <row r="137" spans="1:4" x14ac:dyDescent="0.45">
      <c r="A137" t="s">
        <v>270</v>
      </c>
      <c r="B137">
        <v>58.765880000000003</v>
      </c>
      <c r="C137">
        <v>73.752750000000006</v>
      </c>
      <c r="D137">
        <v>58.765883983333332</v>
      </c>
    </row>
    <row r="138" spans="1:4" x14ac:dyDescent="0.45">
      <c r="A138" t="s">
        <v>271</v>
      </c>
      <c r="B138">
        <v>58.64893</v>
      </c>
      <c r="C138">
        <v>74.298199999999994</v>
      </c>
      <c r="D138">
        <v>58.648928909999995</v>
      </c>
    </row>
    <row r="139" spans="1:4" x14ac:dyDescent="0.45">
      <c r="A139" t="s">
        <v>272</v>
      </c>
      <c r="B139">
        <v>57.459249999999997</v>
      </c>
      <c r="C139">
        <v>72.741029999999995</v>
      </c>
      <c r="D139">
        <v>57.459250989999994</v>
      </c>
    </row>
    <row r="140" spans="1:4" x14ac:dyDescent="0.45">
      <c r="A140" t="s">
        <v>273</v>
      </c>
      <c r="B140">
        <v>55.736789999999999</v>
      </c>
      <c r="C140">
        <v>70.569659999999999</v>
      </c>
      <c r="D140">
        <v>55.736787733333337</v>
      </c>
    </row>
    <row r="141" spans="1:4" x14ac:dyDescent="0.45">
      <c r="A141" t="s">
        <v>274</v>
      </c>
      <c r="B141">
        <v>55.749870000000001</v>
      </c>
      <c r="C141">
        <v>69.936390000000003</v>
      </c>
      <c r="D141">
        <v>55.749876016666668</v>
      </c>
    </row>
    <row r="142" spans="1:4" x14ac:dyDescent="0.45">
      <c r="A142" t="s">
        <v>275</v>
      </c>
      <c r="B142">
        <v>55.284059999999997</v>
      </c>
      <c r="C142">
        <v>70.904899999999998</v>
      </c>
      <c r="D142">
        <v>55.284062513333332</v>
      </c>
    </row>
    <row r="143" spans="1:4" x14ac:dyDescent="0.45">
      <c r="A143" t="s">
        <v>276</v>
      </c>
      <c r="B143">
        <v>53.97589</v>
      </c>
      <c r="C143">
        <v>67.291219999999996</v>
      </c>
      <c r="D143">
        <v>53.975893426666666</v>
      </c>
    </row>
    <row r="144" spans="1:4" x14ac:dyDescent="0.45">
      <c r="A144" t="s">
        <v>277</v>
      </c>
      <c r="B144">
        <v>54.553190000000001</v>
      </c>
      <c r="C144">
        <v>68.835080000000005</v>
      </c>
      <c r="D144">
        <v>54.553191896666668</v>
      </c>
    </row>
    <row r="145" spans="1:4" x14ac:dyDescent="0.45">
      <c r="A145" t="s">
        <v>278</v>
      </c>
      <c r="B145">
        <v>55.930140000000002</v>
      </c>
      <c r="C145">
        <v>68.99973</v>
      </c>
      <c r="D145">
        <v>55.930141723333328</v>
      </c>
    </row>
    <row r="146" spans="1:4" x14ac:dyDescent="0.45">
      <c r="A146" t="s">
        <v>279</v>
      </c>
      <c r="B146">
        <v>56.782260000000001</v>
      </c>
      <c r="C146">
        <v>70.082149999999999</v>
      </c>
      <c r="D146">
        <v>56.782264583333337</v>
      </c>
    </row>
    <row r="147" spans="1:4" x14ac:dyDescent="0.45">
      <c r="A147" t="s">
        <v>280</v>
      </c>
      <c r="B147">
        <v>58.460749999999997</v>
      </c>
      <c r="C147">
        <v>70.454030000000003</v>
      </c>
      <c r="D147">
        <v>58.460752339999999</v>
      </c>
    </row>
    <row r="148" spans="1:4" x14ac:dyDescent="0.45">
      <c r="A148" t="s">
        <v>281</v>
      </c>
      <c r="B148">
        <v>56.56165</v>
      </c>
      <c r="C148">
        <v>68.515010000000004</v>
      </c>
      <c r="D148">
        <v>56.561647586666673</v>
      </c>
    </row>
    <row r="149" spans="1:4" x14ac:dyDescent="0.45">
      <c r="A149" t="s">
        <v>282</v>
      </c>
      <c r="B149">
        <v>58.292310000000001</v>
      </c>
      <c r="C149">
        <v>72.271230000000003</v>
      </c>
      <c r="D149">
        <v>58.292312783333337</v>
      </c>
    </row>
    <row r="150" spans="1:4" x14ac:dyDescent="0.45">
      <c r="A150" t="s">
        <v>283</v>
      </c>
      <c r="B150">
        <v>57.595030000000001</v>
      </c>
      <c r="C150">
        <v>71.583280000000002</v>
      </c>
      <c r="D150">
        <v>57.595028256666666</v>
      </c>
    </row>
    <row r="151" spans="1:4" x14ac:dyDescent="0.45">
      <c r="A151" t="s">
        <v>284</v>
      </c>
      <c r="B151">
        <v>57.215159999999997</v>
      </c>
      <c r="C151">
        <v>70.073719999999994</v>
      </c>
      <c r="D151">
        <v>57.215165836666664</v>
      </c>
    </row>
    <row r="152" spans="1:4" x14ac:dyDescent="0.45">
      <c r="A152" t="s">
        <v>285</v>
      </c>
      <c r="B152">
        <v>57.23404</v>
      </c>
      <c r="C152">
        <v>70.176119999999997</v>
      </c>
      <c r="D152">
        <v>57.234044233333329</v>
      </c>
    </row>
    <row r="153" spans="1:4" x14ac:dyDescent="0.45">
      <c r="A153" t="s">
        <v>286</v>
      </c>
      <c r="B153">
        <v>53.491050000000001</v>
      </c>
      <c r="C153">
        <v>66.935280000000006</v>
      </c>
      <c r="D153">
        <v>53.491046560000001</v>
      </c>
    </row>
    <row r="154" spans="1:4" x14ac:dyDescent="0.45">
      <c r="A154" t="s">
        <v>287</v>
      </c>
      <c r="B154">
        <v>52.954219999999999</v>
      </c>
      <c r="C154">
        <v>63.757910000000003</v>
      </c>
      <c r="D154">
        <v>52.954222219999998</v>
      </c>
    </row>
    <row r="155" spans="1:4" x14ac:dyDescent="0.45">
      <c r="A155" t="s">
        <v>288</v>
      </c>
      <c r="B155">
        <v>48.573279999999997</v>
      </c>
      <c r="C155">
        <v>59.90325</v>
      </c>
      <c r="D155">
        <v>48.573276209999996</v>
      </c>
    </row>
    <row r="156" spans="1:4" x14ac:dyDescent="0.45">
      <c r="A156" t="s">
        <v>289</v>
      </c>
      <c r="B156">
        <v>46.54495</v>
      </c>
      <c r="C156">
        <v>54.915280000000003</v>
      </c>
      <c r="D156">
        <v>46.544947890000003</v>
      </c>
    </row>
    <row r="157" spans="1:4" x14ac:dyDescent="0.45">
      <c r="A157" t="s">
        <v>290</v>
      </c>
      <c r="B157">
        <v>39.703960000000002</v>
      </c>
      <c r="C157">
        <v>47.144919999999999</v>
      </c>
      <c r="D157">
        <v>39.703956409999996</v>
      </c>
    </row>
    <row r="158" spans="1:4" x14ac:dyDescent="0.45">
      <c r="A158" t="s">
        <v>291</v>
      </c>
      <c r="B158">
        <v>41.831670000000003</v>
      </c>
      <c r="C158">
        <v>53.139110000000002</v>
      </c>
      <c r="D158">
        <v>41.83167352666667</v>
      </c>
    </row>
    <row r="159" spans="1:4" x14ac:dyDescent="0.45">
      <c r="A159" t="s">
        <v>292</v>
      </c>
      <c r="B159">
        <v>50.09646</v>
      </c>
      <c r="C159">
        <v>64.617750000000001</v>
      </c>
      <c r="D159">
        <v>50.096462366666664</v>
      </c>
    </row>
    <row r="160" spans="1:4" x14ac:dyDescent="0.45">
      <c r="A160" t="s">
        <v>293</v>
      </c>
      <c r="B160">
        <v>54.286459999999998</v>
      </c>
      <c r="C160">
        <v>69.048370000000006</v>
      </c>
      <c r="D160">
        <v>54.286459970000003</v>
      </c>
    </row>
    <row r="161" spans="1:4" x14ac:dyDescent="0.45">
      <c r="A161" t="s">
        <v>294</v>
      </c>
      <c r="B161">
        <v>57.08099</v>
      </c>
      <c r="C161">
        <v>69.79598</v>
      </c>
      <c r="D161">
        <v>57.080992013333336</v>
      </c>
    </row>
    <row r="162" spans="1:4" x14ac:dyDescent="0.45">
      <c r="A162" t="s">
        <v>295</v>
      </c>
      <c r="B162">
        <v>56.945740000000001</v>
      </c>
      <c r="C162">
        <v>70.96499</v>
      </c>
      <c r="D162">
        <v>56.945741509999998</v>
      </c>
    </row>
    <row r="163" spans="1:4" x14ac:dyDescent="0.45">
      <c r="A163" t="s">
        <v>296</v>
      </c>
      <c r="B163">
        <v>56.076610000000002</v>
      </c>
      <c r="C163">
        <v>66.988590000000002</v>
      </c>
      <c r="D163">
        <v>56.076605593333333</v>
      </c>
    </row>
    <row r="164" spans="1:4" x14ac:dyDescent="0.45">
      <c r="A164" t="s">
        <v>297</v>
      </c>
      <c r="B164">
        <v>53.340200000000003</v>
      </c>
      <c r="C164">
        <v>63.35313</v>
      </c>
      <c r="D164">
        <v>53.340204076666673</v>
      </c>
    </row>
    <row r="165" spans="1:4" x14ac:dyDescent="0.45">
      <c r="A165" t="s">
        <v>298</v>
      </c>
      <c r="B165">
        <v>53.498339999999999</v>
      </c>
      <c r="C165">
        <v>64.512150000000005</v>
      </c>
      <c r="D165">
        <v>53.498337343333333</v>
      </c>
    </row>
    <row r="166" spans="1:4" x14ac:dyDescent="0.45">
      <c r="A166" t="s">
        <v>299</v>
      </c>
      <c r="B166">
        <v>55.747169999999997</v>
      </c>
      <c r="C166">
        <v>67.717889999999997</v>
      </c>
      <c r="D166">
        <v>55.747171406666666</v>
      </c>
    </row>
    <row r="167" spans="1:4" x14ac:dyDescent="0.45">
      <c r="A167" t="s">
        <v>300</v>
      </c>
      <c r="B167">
        <v>53.829990000000002</v>
      </c>
      <c r="C167">
        <v>64.848320000000001</v>
      </c>
      <c r="D167">
        <v>53.829986853333331</v>
      </c>
    </row>
    <row r="168" spans="1:4" x14ac:dyDescent="0.45">
      <c r="A168" t="s">
        <v>301</v>
      </c>
      <c r="B168">
        <v>52.815040000000003</v>
      </c>
      <c r="C168">
        <v>62.307949999999998</v>
      </c>
      <c r="D168">
        <v>52.815038846666674</v>
      </c>
    </row>
    <row r="169" spans="1:4" x14ac:dyDescent="0.45">
      <c r="A169" t="s">
        <v>302</v>
      </c>
      <c r="B169">
        <v>51.693390000000001</v>
      </c>
      <c r="C169">
        <v>62.938740000000003</v>
      </c>
      <c r="D169">
        <v>51.693387523333335</v>
      </c>
    </row>
    <row r="170" spans="1:4" x14ac:dyDescent="0.45">
      <c r="A170" t="s">
        <v>303</v>
      </c>
      <c r="B170">
        <v>54.727200000000003</v>
      </c>
      <c r="C170">
        <v>67.446389999999994</v>
      </c>
      <c r="D170">
        <v>54.727203646666659</v>
      </c>
    </row>
    <row r="171" spans="1:4" x14ac:dyDescent="0.45">
      <c r="A171" t="s">
        <v>304</v>
      </c>
      <c r="B171">
        <v>52.123539999999998</v>
      </c>
      <c r="C171">
        <v>64.797719999999998</v>
      </c>
      <c r="D171">
        <v>52.123543990000002</v>
      </c>
    </row>
    <row r="172" spans="1:4" x14ac:dyDescent="0.45">
      <c r="A172" t="s">
        <v>305</v>
      </c>
      <c r="B172">
        <v>51.213940000000001</v>
      </c>
      <c r="C172">
        <v>66.530940000000001</v>
      </c>
      <c r="D172">
        <v>51.213944906666676</v>
      </c>
    </row>
    <row r="173" spans="1:4" x14ac:dyDescent="0.45">
      <c r="A173" t="s">
        <v>306</v>
      </c>
      <c r="B173">
        <v>49.858580000000003</v>
      </c>
      <c r="C173">
        <v>65.056190000000001</v>
      </c>
      <c r="D173">
        <v>49.858577373333333</v>
      </c>
    </row>
    <row r="174" spans="1:4" x14ac:dyDescent="0.45">
      <c r="A174" t="s">
        <v>307</v>
      </c>
      <c r="B174">
        <v>51.678040000000003</v>
      </c>
      <c r="C174">
        <v>68.316630000000004</v>
      </c>
      <c r="D174">
        <v>51.678039053333329</v>
      </c>
    </row>
    <row r="175" spans="1:4" x14ac:dyDescent="0.45">
      <c r="A175" t="s">
        <v>308</v>
      </c>
      <c r="B175">
        <v>54.664319999999996</v>
      </c>
      <c r="C175">
        <v>69.363720000000001</v>
      </c>
      <c r="D175">
        <v>54.664322300000002</v>
      </c>
    </row>
    <row r="176" spans="1:4" x14ac:dyDescent="0.45">
      <c r="A176" t="s">
        <v>309</v>
      </c>
      <c r="B176">
        <v>60.50338</v>
      </c>
      <c r="C176">
        <v>72.179389999999998</v>
      </c>
      <c r="D176">
        <v>60.503379476666659</v>
      </c>
    </row>
    <row r="177" spans="1:4" x14ac:dyDescent="0.45">
      <c r="A177" t="s">
        <v>310</v>
      </c>
      <c r="B177">
        <v>60.301740000000002</v>
      </c>
      <c r="C177">
        <v>72.596770000000006</v>
      </c>
      <c r="D177">
        <v>60.301737533333331</v>
      </c>
    </row>
    <row r="178" spans="1:4" x14ac:dyDescent="0.45">
      <c r="A178" t="s">
        <v>311</v>
      </c>
      <c r="B178">
        <v>57.894370000000002</v>
      </c>
      <c r="C178">
        <v>75.036330000000007</v>
      </c>
      <c r="D178">
        <v>57.894374896666669</v>
      </c>
    </row>
    <row r="179" spans="1:4" x14ac:dyDescent="0.45">
      <c r="A179" t="s">
        <v>312</v>
      </c>
      <c r="B179">
        <v>58.766849999999998</v>
      </c>
      <c r="C179">
        <v>74.329220000000007</v>
      </c>
      <c r="D179">
        <v>58.766844353333333</v>
      </c>
    </row>
    <row r="180" spans="1:4" x14ac:dyDescent="0.45">
      <c r="A180" t="s">
        <v>313</v>
      </c>
      <c r="B180">
        <v>58.584609999999998</v>
      </c>
      <c r="C180">
        <v>71.651539999999997</v>
      </c>
      <c r="D180">
        <v>58.584608203333339</v>
      </c>
    </row>
    <row r="181" spans="1:4" x14ac:dyDescent="0.45">
      <c r="A181" t="s">
        <v>314</v>
      </c>
      <c r="B181">
        <v>56.177810000000001</v>
      </c>
      <c r="C181">
        <v>70.643510000000006</v>
      </c>
      <c r="D181">
        <v>56.177814049999995</v>
      </c>
    </row>
    <row r="182" spans="1:4" x14ac:dyDescent="0.45">
      <c r="A182" t="s">
        <v>315</v>
      </c>
      <c r="B182">
        <v>57.160649999999997</v>
      </c>
      <c r="C182">
        <v>71.949489999999997</v>
      </c>
      <c r="D182">
        <v>57.160652349999999</v>
      </c>
    </row>
    <row r="183" spans="1:4" x14ac:dyDescent="0.45">
      <c r="A183" t="s">
        <v>316</v>
      </c>
      <c r="B183">
        <v>57.356699999999996</v>
      </c>
      <c r="C183">
        <v>71.746589999999998</v>
      </c>
      <c r="D183">
        <v>57.356702790000007</v>
      </c>
    </row>
    <row r="184" spans="1:4" x14ac:dyDescent="0.45">
      <c r="A184" t="s">
        <v>317</v>
      </c>
      <c r="B184">
        <v>55.148820000000001</v>
      </c>
      <c r="C184">
        <v>70.62406</v>
      </c>
      <c r="D184">
        <v>55.148816570000001</v>
      </c>
    </row>
    <row r="185" spans="1:4" x14ac:dyDescent="0.45">
      <c r="A185" t="s">
        <v>318</v>
      </c>
      <c r="B185">
        <v>55.316270000000003</v>
      </c>
      <c r="C185">
        <v>68.799350000000004</v>
      </c>
      <c r="D185">
        <v>55.316269799999993</v>
      </c>
    </row>
    <row r="186" spans="1:4" x14ac:dyDescent="0.45">
      <c r="A186" t="s">
        <v>319</v>
      </c>
      <c r="B186">
        <v>54.002249999999997</v>
      </c>
      <c r="C186">
        <v>68.549930000000003</v>
      </c>
      <c r="D186">
        <v>54.002255609999999</v>
      </c>
    </row>
    <row r="187" spans="1:4" x14ac:dyDescent="0.45">
      <c r="A187" t="s">
        <v>320</v>
      </c>
      <c r="B187">
        <v>52.648560000000003</v>
      </c>
      <c r="C187">
        <v>68.922139999999999</v>
      </c>
      <c r="D187">
        <v>52.648554490000002</v>
      </c>
    </row>
    <row r="188" spans="1:4" x14ac:dyDescent="0.45">
      <c r="A188" t="s">
        <v>321</v>
      </c>
      <c r="B188">
        <v>51.626139999999999</v>
      </c>
      <c r="C188">
        <v>64.146889999999999</v>
      </c>
      <c r="D188">
        <v>51.626141449999999</v>
      </c>
    </row>
    <row r="189" spans="1:4" x14ac:dyDescent="0.45">
      <c r="A189" t="s">
        <v>322</v>
      </c>
      <c r="B189">
        <v>55.478169999999999</v>
      </c>
      <c r="C189">
        <v>68.094380000000001</v>
      </c>
      <c r="D189">
        <v>55.478170816666669</v>
      </c>
    </row>
    <row r="190" spans="1:4" x14ac:dyDescent="0.45">
      <c r="A190" t="s">
        <v>323</v>
      </c>
      <c r="B190">
        <v>54.583109999999998</v>
      </c>
      <c r="C190">
        <v>70.791110000000003</v>
      </c>
      <c r="D190">
        <v>54.583113836666662</v>
      </c>
    </row>
    <row r="191" spans="1:4" x14ac:dyDescent="0.45">
      <c r="A191" t="s">
        <v>324</v>
      </c>
      <c r="B191">
        <v>54.834470000000003</v>
      </c>
      <c r="C191">
        <v>67.382069999999999</v>
      </c>
      <c r="D191">
        <v>54.834464353333338</v>
      </c>
    </row>
    <row r="192" spans="1:4" x14ac:dyDescent="0.45">
      <c r="A192" t="s">
        <v>325</v>
      </c>
      <c r="B192">
        <v>54.061199999999999</v>
      </c>
      <c r="C192">
        <v>65.882130000000004</v>
      </c>
      <c r="D192">
        <v>54.06120288333333</v>
      </c>
    </row>
    <row r="193" spans="1:4" x14ac:dyDescent="0.45">
      <c r="A193" t="s">
        <v>326</v>
      </c>
      <c r="B193">
        <v>55.174149999999997</v>
      </c>
      <c r="C193">
        <v>66.510999999999996</v>
      </c>
      <c r="D193">
        <v>55.174150440000005</v>
      </c>
    </row>
    <row r="194" spans="1:4" x14ac:dyDescent="0.45">
      <c r="A194" t="s">
        <v>327</v>
      </c>
      <c r="B194">
        <v>53.456270000000004</v>
      </c>
      <c r="C194">
        <v>68.213419999999999</v>
      </c>
      <c r="D194">
        <v>53.456268736666665</v>
      </c>
    </row>
    <row r="195" spans="1:4" x14ac:dyDescent="0.45">
      <c r="A195" t="s">
        <v>328</v>
      </c>
      <c r="B195">
        <v>54.276260000000001</v>
      </c>
      <c r="C195">
        <v>67.456919999999997</v>
      </c>
      <c r="D195">
        <v>54.276257090000001</v>
      </c>
    </row>
    <row r="196" spans="1:4" x14ac:dyDescent="0.45">
      <c r="A196" t="s">
        <v>329</v>
      </c>
      <c r="B196">
        <v>53.929180000000002</v>
      </c>
      <c r="C196">
        <v>66.536379999999994</v>
      </c>
      <c r="D196">
        <v>53.929179590000011</v>
      </c>
    </row>
    <row r="197" spans="1:4" x14ac:dyDescent="0.45">
      <c r="A197" t="s">
        <v>330</v>
      </c>
      <c r="B197">
        <v>51.440289999999997</v>
      </c>
      <c r="C197">
        <v>62.554499999999997</v>
      </c>
      <c r="D197">
        <v>51.440292586666665</v>
      </c>
    </row>
    <row r="198" spans="1:4" x14ac:dyDescent="0.45">
      <c r="A198" t="s">
        <v>331</v>
      </c>
      <c r="B198">
        <v>50.607050000000001</v>
      </c>
      <c r="C198">
        <v>61.865650000000002</v>
      </c>
      <c r="D198">
        <v>50.607049036666666</v>
      </c>
    </row>
    <row r="199" spans="1:4" x14ac:dyDescent="0.45">
      <c r="A199" t="s">
        <v>332</v>
      </c>
      <c r="B199">
        <v>50.51155</v>
      </c>
      <c r="C199">
        <v>65.337119999999999</v>
      </c>
      <c r="D199">
        <v>50.511554863333338</v>
      </c>
    </row>
    <row r="200" spans="1:4" x14ac:dyDescent="0.45">
      <c r="A200" t="s">
        <v>333</v>
      </c>
      <c r="B200">
        <v>50.060169999999999</v>
      </c>
      <c r="C200">
        <v>61.70581</v>
      </c>
      <c r="D200">
        <v>50.060173020000001</v>
      </c>
    </row>
    <row r="201" spans="1:4" x14ac:dyDescent="0.45">
      <c r="A201" t="s">
        <v>334</v>
      </c>
      <c r="B201">
        <v>49.507800000000003</v>
      </c>
      <c r="C201">
        <v>64.184740000000005</v>
      </c>
      <c r="D201">
        <v>49.507804969999995</v>
      </c>
    </row>
    <row r="202" spans="1:4" x14ac:dyDescent="0.45">
      <c r="A202" t="s">
        <v>335</v>
      </c>
      <c r="B202">
        <v>47.433959999999999</v>
      </c>
      <c r="C202">
        <v>64.264849999999996</v>
      </c>
      <c r="D202">
        <v>47.433963346666673</v>
      </c>
    </row>
    <row r="203" spans="1:4" x14ac:dyDescent="0.45">
      <c r="A203" t="s">
        <v>336</v>
      </c>
      <c r="B203">
        <v>30.49887</v>
      </c>
      <c r="C203">
        <v>60.230699999999999</v>
      </c>
      <c r="D203">
        <v>30.498871753333333</v>
      </c>
    </row>
    <row r="204" spans="1:4" x14ac:dyDescent="0.45">
      <c r="A204" t="s">
        <v>337</v>
      </c>
      <c r="B204">
        <v>57.540100000000002</v>
      </c>
      <c r="C204">
        <v>68.584990000000005</v>
      </c>
      <c r="D204">
        <v>57.540097233333334</v>
      </c>
    </row>
    <row r="205" spans="1:4" x14ac:dyDescent="0.45">
      <c r="A205" t="s">
        <v>338</v>
      </c>
      <c r="B205">
        <v>50.522309999999997</v>
      </c>
      <c r="C205">
        <v>71.022379999999998</v>
      </c>
      <c r="D205">
        <v>50.52231255666667</v>
      </c>
    </row>
    <row r="206" spans="1:4" x14ac:dyDescent="0.45">
      <c r="A206" t="s">
        <v>339</v>
      </c>
      <c r="B206">
        <v>49.084299999999999</v>
      </c>
      <c r="C206">
        <v>76.485889999999998</v>
      </c>
      <c r="D206">
        <v>49.084299009999995</v>
      </c>
    </row>
    <row r="207" spans="1:4" x14ac:dyDescent="0.45">
      <c r="A207" t="s">
        <v>340</v>
      </c>
      <c r="B207">
        <v>61.931150000000002</v>
      </c>
      <c r="C207">
        <v>78.281400000000005</v>
      </c>
      <c r="D207">
        <v>61.931150659999993</v>
      </c>
    </row>
    <row r="208" spans="1:4" x14ac:dyDescent="0.45">
      <c r="A208" t="s">
        <v>341</v>
      </c>
      <c r="B208">
        <v>56.33379</v>
      </c>
      <c r="C208">
        <v>75.536469999999994</v>
      </c>
      <c r="D208">
        <v>56.333794696666665</v>
      </c>
    </row>
    <row r="209" spans="1:4" x14ac:dyDescent="0.45">
      <c r="A209" t="s">
        <v>342</v>
      </c>
      <c r="B209">
        <v>56.316299999999998</v>
      </c>
      <c r="C209">
        <v>73.914349999999999</v>
      </c>
      <c r="D209">
        <v>56.316298793333338</v>
      </c>
    </row>
    <row r="210" spans="1:4" x14ac:dyDescent="0.45">
      <c r="A210" t="s">
        <v>343</v>
      </c>
      <c r="B210">
        <v>58.32978</v>
      </c>
      <c r="C210">
        <v>74.950050000000005</v>
      </c>
      <c r="D210">
        <v>58.329780056666664</v>
      </c>
    </row>
    <row r="211" spans="1:4" x14ac:dyDescent="0.45">
      <c r="A211" t="s">
        <v>344</v>
      </c>
      <c r="B211">
        <v>55.012259999999998</v>
      </c>
      <c r="C211">
        <v>66.730310000000003</v>
      </c>
      <c r="D211">
        <v>55.012255236666668</v>
      </c>
    </row>
    <row r="212" spans="1:4" x14ac:dyDescent="0.45">
      <c r="A212" t="s">
        <v>345</v>
      </c>
      <c r="B212">
        <v>50.271349999999998</v>
      </c>
      <c r="C212">
        <v>63.198309999999999</v>
      </c>
      <c r="D212">
        <v>50.271347836666671</v>
      </c>
    </row>
    <row r="213" spans="1:4" x14ac:dyDescent="0.45">
      <c r="A213" t="s">
        <v>346</v>
      </c>
      <c r="B213">
        <v>48.46857</v>
      </c>
      <c r="C213">
        <v>60.173999999999999</v>
      </c>
      <c r="D213">
        <v>48.468568999999995</v>
      </c>
    </row>
    <row r="214" spans="1:4" x14ac:dyDescent="0.45">
      <c r="A214" t="s">
        <v>347</v>
      </c>
      <c r="B214">
        <v>51.257800000000003</v>
      </c>
      <c r="C214">
        <v>69.881730000000005</v>
      </c>
      <c r="D214">
        <v>51.257800026666665</v>
      </c>
    </row>
    <row r="215" spans="1:4" x14ac:dyDescent="0.45">
      <c r="A215" t="s">
        <v>348</v>
      </c>
      <c r="B215">
        <v>53.902209999999997</v>
      </c>
      <c r="C215">
        <v>70.515339999999995</v>
      </c>
      <c r="D215">
        <v>53.902215793333333</v>
      </c>
    </row>
    <row r="216" spans="1:4" x14ac:dyDescent="0.45">
      <c r="A216" t="s">
        <v>349</v>
      </c>
      <c r="B216">
        <v>49.315809999999999</v>
      </c>
      <c r="C216">
        <v>68.878299999999996</v>
      </c>
      <c r="D216">
        <v>49.315815716666663</v>
      </c>
    </row>
    <row r="217" spans="1:4" x14ac:dyDescent="0.45">
      <c r="A217" t="s">
        <v>350</v>
      </c>
      <c r="B217">
        <v>50.494790000000002</v>
      </c>
      <c r="C217">
        <v>68.286090000000002</v>
      </c>
      <c r="D217">
        <v>50.494787053333333</v>
      </c>
    </row>
    <row r="218" spans="1:4" x14ac:dyDescent="0.45">
      <c r="A218" t="s">
        <v>351</v>
      </c>
      <c r="B218">
        <v>52.902200000000001</v>
      </c>
      <c r="C218">
        <v>72.993939999999995</v>
      </c>
      <c r="D218">
        <v>52.902201056666662</v>
      </c>
    </row>
    <row r="219" spans="1:4" x14ac:dyDescent="0.45">
      <c r="A219" t="s">
        <v>352</v>
      </c>
      <c r="B219">
        <v>53.126550000000002</v>
      </c>
      <c r="C219">
        <v>71.788070000000005</v>
      </c>
      <c r="D219">
        <v>53.126547486666674</v>
      </c>
    </row>
    <row r="220" spans="1:4" x14ac:dyDescent="0.45">
      <c r="A220" t="s">
        <v>353</v>
      </c>
      <c r="B220">
        <v>53.076039999999999</v>
      </c>
      <c r="C220">
        <v>72.972369999999998</v>
      </c>
      <c r="D220">
        <v>53.076042993333338</v>
      </c>
    </row>
    <row r="221" spans="1:4" x14ac:dyDescent="0.45">
      <c r="A221" t="s">
        <v>354</v>
      </c>
      <c r="B221">
        <v>50.866320000000002</v>
      </c>
      <c r="C221">
        <v>67.640090000000001</v>
      </c>
      <c r="D221">
        <v>50.866317746666674</v>
      </c>
    </row>
    <row r="222" spans="1:4" x14ac:dyDescent="0.45">
      <c r="A222" t="s">
        <v>355</v>
      </c>
      <c r="B222">
        <v>50.849550000000001</v>
      </c>
      <c r="C222">
        <v>65.427880000000002</v>
      </c>
      <c r="D222">
        <v>50.84954883333333</v>
      </c>
    </row>
    <row r="223" spans="1:4" x14ac:dyDescent="0.45">
      <c r="A223" t="s">
        <v>356</v>
      </c>
      <c r="B223">
        <v>50.253450000000001</v>
      </c>
      <c r="C223">
        <v>63.49606</v>
      </c>
      <c r="D223">
        <v>50.253448456666668</v>
      </c>
    </row>
    <row r="224" spans="1:4" x14ac:dyDescent="0.45">
      <c r="A224" t="s">
        <v>357</v>
      </c>
      <c r="B224" s="43">
        <v>51.667069359999999</v>
      </c>
      <c r="C224">
        <v>66.791364596666668</v>
      </c>
      <c r="D224">
        <v>51.667069359999999</v>
      </c>
    </row>
    <row r="225" spans="1:4" x14ac:dyDescent="0.45">
      <c r="A225" t="s">
        <v>438</v>
      </c>
      <c r="B225" s="43">
        <v>51.667069359999999</v>
      </c>
      <c r="C225">
        <v>66.791364596666668</v>
      </c>
      <c r="D225">
        <v>51.667069359999999</v>
      </c>
    </row>
    <row r="226" spans="1:4" x14ac:dyDescent="0.45">
      <c r="A226" t="s">
        <v>441</v>
      </c>
      <c r="B226" s="43">
        <v>51.667069359999999</v>
      </c>
      <c r="C226">
        <v>66.791364596666668</v>
      </c>
      <c r="D226">
        <v>51.667069359999999</v>
      </c>
    </row>
  </sheetData>
  <phoneticPr fontId="3"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ECA19-A235-440F-8FB8-D6F2DA1DDA39}">
  <sheetPr>
    <tabColor theme="8" tint="0.79998168889431442"/>
  </sheetPr>
  <dimension ref="A1:C223"/>
  <sheetViews>
    <sheetView workbookViewId="0">
      <pane xSplit="1" ySplit="3" topLeftCell="B99" activePane="bottomRight" state="frozen"/>
      <selection pane="topRight" activeCell="B114" sqref="B114"/>
      <selection pane="bottomLeft" activeCell="B114" sqref="B114"/>
      <selection pane="bottomRight" activeCell="B114" sqref="B114"/>
    </sheetView>
  </sheetViews>
  <sheetFormatPr defaultRowHeight="14.25" x14ac:dyDescent="0.45"/>
  <cols>
    <col min="6" max="6" width="19.73046875" bestFit="1" customWidth="1"/>
  </cols>
  <sheetData>
    <row r="1" spans="1:3" x14ac:dyDescent="0.45">
      <c r="B1" t="s">
        <v>387</v>
      </c>
      <c r="C1" t="s">
        <v>388</v>
      </c>
    </row>
    <row r="2" spans="1:3" x14ac:dyDescent="0.45">
      <c r="A2" t="s">
        <v>135</v>
      </c>
    </row>
    <row r="3" spans="1:3" x14ac:dyDescent="0.45">
      <c r="A3" t="s">
        <v>136</v>
      </c>
    </row>
    <row r="4" spans="1:3" x14ac:dyDescent="0.45">
      <c r="A4" t="s">
        <v>137</v>
      </c>
    </row>
    <row r="5" spans="1:3" x14ac:dyDescent="0.45">
      <c r="A5" t="s">
        <v>138</v>
      </c>
    </row>
    <row r="6" spans="1:3" x14ac:dyDescent="0.45">
      <c r="A6" t="s">
        <v>139</v>
      </c>
    </row>
    <row r="7" spans="1:3" x14ac:dyDescent="0.45">
      <c r="A7" t="s">
        <v>140</v>
      </c>
    </row>
    <row r="8" spans="1:3" x14ac:dyDescent="0.45">
      <c r="A8" t="s">
        <v>141</v>
      </c>
    </row>
    <row r="9" spans="1:3" x14ac:dyDescent="0.45">
      <c r="A9" t="s">
        <v>142</v>
      </c>
    </row>
    <row r="10" spans="1:3" x14ac:dyDescent="0.45">
      <c r="A10" t="s">
        <v>143</v>
      </c>
    </row>
    <row r="11" spans="1:3" x14ac:dyDescent="0.45">
      <c r="A11" t="s">
        <v>144</v>
      </c>
    </row>
    <row r="12" spans="1:3" x14ac:dyDescent="0.45">
      <c r="A12" t="s">
        <v>145</v>
      </c>
    </row>
    <row r="13" spans="1:3" x14ac:dyDescent="0.45">
      <c r="A13" t="s">
        <v>146</v>
      </c>
    </row>
    <row r="14" spans="1:3" x14ac:dyDescent="0.45">
      <c r="A14" t="s">
        <v>147</v>
      </c>
    </row>
    <row r="15" spans="1:3" x14ac:dyDescent="0.45">
      <c r="A15" t="s">
        <v>148</v>
      </c>
    </row>
    <row r="16" spans="1:3" x14ac:dyDescent="0.45">
      <c r="A16" t="s">
        <v>149</v>
      </c>
    </row>
    <row r="17" spans="1:1" x14ac:dyDescent="0.45">
      <c r="A17" t="s">
        <v>150</v>
      </c>
    </row>
    <row r="18" spans="1:1" x14ac:dyDescent="0.45">
      <c r="A18" t="s">
        <v>151</v>
      </c>
    </row>
    <row r="19" spans="1:1" x14ac:dyDescent="0.45">
      <c r="A19" t="s">
        <v>152</v>
      </c>
    </row>
    <row r="20" spans="1:1" x14ac:dyDescent="0.45">
      <c r="A20" t="s">
        <v>153</v>
      </c>
    </row>
    <row r="21" spans="1:1" x14ac:dyDescent="0.45">
      <c r="A21" t="s">
        <v>154</v>
      </c>
    </row>
    <row r="22" spans="1:1" x14ac:dyDescent="0.45">
      <c r="A22" t="s">
        <v>155</v>
      </c>
    </row>
    <row r="23" spans="1:1" x14ac:dyDescent="0.45">
      <c r="A23" t="s">
        <v>156</v>
      </c>
    </row>
    <row r="24" spans="1:1" x14ac:dyDescent="0.45">
      <c r="A24" t="s">
        <v>157</v>
      </c>
    </row>
    <row r="25" spans="1:1" x14ac:dyDescent="0.45">
      <c r="A25" t="s">
        <v>158</v>
      </c>
    </row>
    <row r="26" spans="1:1" x14ac:dyDescent="0.45">
      <c r="A26" t="s">
        <v>159</v>
      </c>
    </row>
    <row r="27" spans="1:1" x14ac:dyDescent="0.45">
      <c r="A27" t="s">
        <v>160</v>
      </c>
    </row>
    <row r="28" spans="1:1" x14ac:dyDescent="0.45">
      <c r="A28" t="s">
        <v>161</v>
      </c>
    </row>
    <row r="29" spans="1:1" x14ac:dyDescent="0.45">
      <c r="A29" t="s">
        <v>162</v>
      </c>
    </row>
    <row r="30" spans="1:1" x14ac:dyDescent="0.45">
      <c r="A30" t="s">
        <v>163</v>
      </c>
    </row>
    <row r="31" spans="1:1" x14ac:dyDescent="0.45">
      <c r="A31" t="s">
        <v>164</v>
      </c>
    </row>
    <row r="32" spans="1:1" x14ac:dyDescent="0.45">
      <c r="A32" t="s">
        <v>165</v>
      </c>
    </row>
    <row r="33" spans="1:1" x14ac:dyDescent="0.45">
      <c r="A33" t="s">
        <v>166</v>
      </c>
    </row>
    <row r="34" spans="1:1" x14ac:dyDescent="0.45">
      <c r="A34" t="s">
        <v>167</v>
      </c>
    </row>
    <row r="35" spans="1:1" x14ac:dyDescent="0.45">
      <c r="A35" t="s">
        <v>168</v>
      </c>
    </row>
    <row r="36" spans="1:1" x14ac:dyDescent="0.45">
      <c r="A36" t="s">
        <v>169</v>
      </c>
    </row>
    <row r="37" spans="1:1" x14ac:dyDescent="0.45">
      <c r="A37" t="s">
        <v>170</v>
      </c>
    </row>
    <row r="38" spans="1:1" x14ac:dyDescent="0.45">
      <c r="A38" t="s">
        <v>171</v>
      </c>
    </row>
    <row r="39" spans="1:1" x14ac:dyDescent="0.45">
      <c r="A39" t="s">
        <v>172</v>
      </c>
    </row>
    <row r="40" spans="1:1" x14ac:dyDescent="0.45">
      <c r="A40" t="s">
        <v>173</v>
      </c>
    </row>
    <row r="41" spans="1:1" x14ac:dyDescent="0.45">
      <c r="A41" t="s">
        <v>174</v>
      </c>
    </row>
    <row r="42" spans="1:1" x14ac:dyDescent="0.45">
      <c r="A42" t="s">
        <v>175</v>
      </c>
    </row>
    <row r="43" spans="1:1" x14ac:dyDescent="0.45">
      <c r="A43" t="s">
        <v>176</v>
      </c>
    </row>
    <row r="44" spans="1:1" x14ac:dyDescent="0.45">
      <c r="A44" t="s">
        <v>177</v>
      </c>
    </row>
    <row r="45" spans="1:1" x14ac:dyDescent="0.45">
      <c r="A45" t="s">
        <v>178</v>
      </c>
    </row>
    <row r="46" spans="1:1" x14ac:dyDescent="0.45">
      <c r="A46" t="s">
        <v>179</v>
      </c>
    </row>
    <row r="47" spans="1:1" x14ac:dyDescent="0.45">
      <c r="A47" t="s">
        <v>180</v>
      </c>
    </row>
    <row r="48" spans="1:1" x14ac:dyDescent="0.45">
      <c r="A48" t="s">
        <v>181</v>
      </c>
    </row>
    <row r="49" spans="1:1" x14ac:dyDescent="0.45">
      <c r="A49" t="s">
        <v>182</v>
      </c>
    </row>
    <row r="50" spans="1:1" x14ac:dyDescent="0.45">
      <c r="A50" t="s">
        <v>183</v>
      </c>
    </row>
    <row r="51" spans="1:1" x14ac:dyDescent="0.45">
      <c r="A51" t="s">
        <v>184</v>
      </c>
    </row>
    <row r="52" spans="1:1" x14ac:dyDescent="0.45">
      <c r="A52" t="s">
        <v>185</v>
      </c>
    </row>
    <row r="53" spans="1:1" x14ac:dyDescent="0.45">
      <c r="A53" t="s">
        <v>186</v>
      </c>
    </row>
    <row r="54" spans="1:1" x14ac:dyDescent="0.45">
      <c r="A54" t="s">
        <v>187</v>
      </c>
    </row>
    <row r="55" spans="1:1" x14ac:dyDescent="0.45">
      <c r="A55" t="s">
        <v>188</v>
      </c>
    </row>
    <row r="56" spans="1:1" x14ac:dyDescent="0.45">
      <c r="A56" t="s">
        <v>189</v>
      </c>
    </row>
    <row r="57" spans="1:1" x14ac:dyDescent="0.45">
      <c r="A57" t="s">
        <v>190</v>
      </c>
    </row>
    <row r="58" spans="1:1" x14ac:dyDescent="0.45">
      <c r="A58" t="s">
        <v>191</v>
      </c>
    </row>
    <row r="59" spans="1:1" x14ac:dyDescent="0.45">
      <c r="A59" t="s">
        <v>192</v>
      </c>
    </row>
    <row r="60" spans="1:1" x14ac:dyDescent="0.45">
      <c r="A60" t="s">
        <v>193</v>
      </c>
    </row>
    <row r="61" spans="1:1" x14ac:dyDescent="0.45">
      <c r="A61" t="s">
        <v>194</v>
      </c>
    </row>
    <row r="62" spans="1:1" x14ac:dyDescent="0.45">
      <c r="A62" t="s">
        <v>195</v>
      </c>
    </row>
    <row r="63" spans="1:1" x14ac:dyDescent="0.45">
      <c r="A63" t="s">
        <v>196</v>
      </c>
    </row>
    <row r="64" spans="1:1" x14ac:dyDescent="0.45">
      <c r="A64" t="s">
        <v>197</v>
      </c>
    </row>
    <row r="65" spans="1:1" x14ac:dyDescent="0.45">
      <c r="A65" t="s">
        <v>198</v>
      </c>
    </row>
    <row r="66" spans="1:1" x14ac:dyDescent="0.45">
      <c r="A66" t="s">
        <v>199</v>
      </c>
    </row>
    <row r="67" spans="1:1" x14ac:dyDescent="0.45">
      <c r="A67" t="s">
        <v>200</v>
      </c>
    </row>
    <row r="68" spans="1:1" x14ac:dyDescent="0.45">
      <c r="A68" t="s">
        <v>201</v>
      </c>
    </row>
    <row r="69" spans="1:1" x14ac:dyDescent="0.45">
      <c r="A69" t="s">
        <v>202</v>
      </c>
    </row>
    <row r="70" spans="1:1" x14ac:dyDescent="0.45">
      <c r="A70" t="s">
        <v>203</v>
      </c>
    </row>
    <row r="71" spans="1:1" x14ac:dyDescent="0.45">
      <c r="A71" t="s">
        <v>204</v>
      </c>
    </row>
    <row r="72" spans="1:1" x14ac:dyDescent="0.45">
      <c r="A72" t="s">
        <v>205</v>
      </c>
    </row>
    <row r="73" spans="1:1" x14ac:dyDescent="0.45">
      <c r="A73" t="s">
        <v>206</v>
      </c>
    </row>
    <row r="74" spans="1:1" x14ac:dyDescent="0.45">
      <c r="A74" t="s">
        <v>207</v>
      </c>
    </row>
    <row r="75" spans="1:1" x14ac:dyDescent="0.45">
      <c r="A75" t="s">
        <v>208</v>
      </c>
    </row>
    <row r="76" spans="1:1" x14ac:dyDescent="0.45">
      <c r="A76" t="s">
        <v>209</v>
      </c>
    </row>
    <row r="77" spans="1:1" x14ac:dyDescent="0.45">
      <c r="A77" t="s">
        <v>210</v>
      </c>
    </row>
    <row r="78" spans="1:1" x14ac:dyDescent="0.45">
      <c r="A78" t="s">
        <v>211</v>
      </c>
    </row>
    <row r="79" spans="1:1" x14ac:dyDescent="0.45">
      <c r="A79" t="s">
        <v>212</v>
      </c>
    </row>
    <row r="80" spans="1:1" x14ac:dyDescent="0.45">
      <c r="A80" t="s">
        <v>213</v>
      </c>
    </row>
    <row r="81" spans="1:1" x14ac:dyDescent="0.45">
      <c r="A81" t="s">
        <v>214</v>
      </c>
    </row>
    <row r="82" spans="1:1" x14ac:dyDescent="0.45">
      <c r="A82" t="s">
        <v>215</v>
      </c>
    </row>
    <row r="83" spans="1:1" x14ac:dyDescent="0.45">
      <c r="A83" t="s">
        <v>216</v>
      </c>
    </row>
    <row r="84" spans="1:1" x14ac:dyDescent="0.45">
      <c r="A84" t="s">
        <v>217</v>
      </c>
    </row>
    <row r="85" spans="1:1" x14ac:dyDescent="0.45">
      <c r="A85" t="s">
        <v>218</v>
      </c>
    </row>
    <row r="86" spans="1:1" x14ac:dyDescent="0.45">
      <c r="A86" t="s">
        <v>219</v>
      </c>
    </row>
    <row r="87" spans="1:1" x14ac:dyDescent="0.45">
      <c r="A87" t="s">
        <v>220</v>
      </c>
    </row>
    <row r="88" spans="1:1" x14ac:dyDescent="0.45">
      <c r="A88" t="s">
        <v>221</v>
      </c>
    </row>
    <row r="89" spans="1:1" x14ac:dyDescent="0.45">
      <c r="A89" t="s">
        <v>222</v>
      </c>
    </row>
    <row r="90" spans="1:1" x14ac:dyDescent="0.45">
      <c r="A90" t="s">
        <v>223</v>
      </c>
    </row>
    <row r="91" spans="1:1" x14ac:dyDescent="0.45">
      <c r="A91" t="s">
        <v>224</v>
      </c>
    </row>
    <row r="92" spans="1:1" x14ac:dyDescent="0.45">
      <c r="A92" t="s">
        <v>225</v>
      </c>
    </row>
    <row r="93" spans="1:1" x14ac:dyDescent="0.45">
      <c r="A93" t="s">
        <v>226</v>
      </c>
    </row>
    <row r="94" spans="1:1" x14ac:dyDescent="0.45">
      <c r="A94" t="s">
        <v>227</v>
      </c>
    </row>
    <row r="95" spans="1:1" x14ac:dyDescent="0.45">
      <c r="A95" t="s">
        <v>228</v>
      </c>
    </row>
    <row r="96" spans="1:1" x14ac:dyDescent="0.45">
      <c r="A96" t="s">
        <v>229</v>
      </c>
    </row>
    <row r="97" spans="1:3" x14ac:dyDescent="0.45">
      <c r="A97" t="s">
        <v>230</v>
      </c>
    </row>
    <row r="98" spans="1:3" x14ac:dyDescent="0.45">
      <c r="A98" t="s">
        <v>231</v>
      </c>
    </row>
    <row r="99" spans="1:3" x14ac:dyDescent="0.45">
      <c r="A99" t="s">
        <v>232</v>
      </c>
    </row>
    <row r="100" spans="1:3" x14ac:dyDescent="0.45">
      <c r="A100" t="s">
        <v>233</v>
      </c>
    </row>
    <row r="101" spans="1:3" x14ac:dyDescent="0.45">
      <c r="A101" t="s">
        <v>234</v>
      </c>
    </row>
    <row r="102" spans="1:3" x14ac:dyDescent="0.45">
      <c r="A102" t="s">
        <v>235</v>
      </c>
    </row>
    <row r="103" spans="1:3" x14ac:dyDescent="0.45">
      <c r="A103" t="s">
        <v>236</v>
      </c>
    </row>
    <row r="104" spans="1:3" x14ac:dyDescent="0.45">
      <c r="A104" t="s">
        <v>237</v>
      </c>
    </row>
    <row r="105" spans="1:3" x14ac:dyDescent="0.45">
      <c r="A105" t="s">
        <v>238</v>
      </c>
    </row>
    <row r="106" spans="1:3" x14ac:dyDescent="0.45">
      <c r="A106" t="s">
        <v>239</v>
      </c>
    </row>
    <row r="107" spans="1:3" x14ac:dyDescent="0.45">
      <c r="A107" t="s">
        <v>240</v>
      </c>
    </row>
    <row r="108" spans="1:3" x14ac:dyDescent="0.45">
      <c r="A108" t="s">
        <v>241</v>
      </c>
    </row>
    <row r="109" spans="1:3" x14ac:dyDescent="0.45">
      <c r="A109" t="s">
        <v>242</v>
      </c>
    </row>
    <row r="110" spans="1:3" x14ac:dyDescent="0.45">
      <c r="A110" t="s">
        <v>243</v>
      </c>
    </row>
    <row r="111" spans="1:3" x14ac:dyDescent="0.45">
      <c r="A111" t="s">
        <v>244</v>
      </c>
      <c r="C111">
        <f>(quarterly_pmi!C111-quarterly_pmi!$H$2)/quarterly_pmi!$H$3</f>
        <v>1.734645853426444</v>
      </c>
    </row>
    <row r="112" spans="1:3" x14ac:dyDescent="0.45">
      <c r="A112" t="s">
        <v>245</v>
      </c>
      <c r="C112">
        <f>(quarterly_pmi!C112-quarterly_pmi!$H$2)/quarterly_pmi!$H$3</f>
        <v>0.96999712598447474</v>
      </c>
    </row>
    <row r="113" spans="1:3" x14ac:dyDescent="0.45">
      <c r="A113" t="s">
        <v>246</v>
      </c>
      <c r="C113">
        <f>(quarterly_pmi!C113-quarterly_pmi!$H$2)/quarterly_pmi!$H$3</f>
        <v>1.1116515302595491</v>
      </c>
    </row>
    <row r="114" spans="1:3" x14ac:dyDescent="0.45">
      <c r="A114" t="s">
        <v>247</v>
      </c>
      <c r="B114">
        <f>(quarterly_pmi!B114-quarterly_pmi!$G$2)/quarterly_pmi!$G$3</f>
        <v>0.84992942877113309</v>
      </c>
      <c r="C114">
        <f>(quarterly_pmi!C114-quarterly_pmi!$H$2)/quarterly_pmi!$H$3</f>
        <v>0.608182863437709</v>
      </c>
    </row>
    <row r="115" spans="1:3" x14ac:dyDescent="0.45">
      <c r="A115" t="s">
        <v>248</v>
      </c>
      <c r="B115">
        <f>(quarterly_pmi!B115-quarterly_pmi!$G$2)/quarterly_pmi!$G$3</f>
        <v>5.5729667041426928E-2</v>
      </c>
      <c r="C115">
        <f>(quarterly_pmi!C115-quarterly_pmi!$H$2)/quarterly_pmi!$H$3</f>
        <v>-7.6089732347581429E-2</v>
      </c>
    </row>
    <row r="116" spans="1:3" x14ac:dyDescent="0.45">
      <c r="A116" t="s">
        <v>249</v>
      </c>
      <c r="B116">
        <f>(quarterly_pmi!B116-quarterly_pmi!$G$2)/quarterly_pmi!$G$3</f>
        <v>-0.84012372200441576</v>
      </c>
      <c r="C116">
        <f>(quarterly_pmi!C116-quarterly_pmi!$H$2)/quarterly_pmi!$H$3</f>
        <v>-1.3937290266181701</v>
      </c>
    </row>
    <row r="117" spans="1:3" x14ac:dyDescent="0.45">
      <c r="A117" t="s">
        <v>250</v>
      </c>
      <c r="B117">
        <f>(quarterly_pmi!B117-quarterly_pmi!$G$2)/quarterly_pmi!$G$3</f>
        <v>-2.0377897200423569</v>
      </c>
      <c r="C117">
        <f>(quarterly_pmi!C117-quarterly_pmi!$H$2)/quarterly_pmi!$H$3</f>
        <v>-1.7944798911928139</v>
      </c>
    </row>
    <row r="118" spans="1:3" x14ac:dyDescent="0.45">
      <c r="A118" t="s">
        <v>251</v>
      </c>
      <c r="B118">
        <f>(quarterly_pmi!B118-quarterly_pmi!$G$2)/quarterly_pmi!$G$3</f>
        <v>-1.3105249789923754</v>
      </c>
      <c r="C118">
        <f>(quarterly_pmi!C118-quarterly_pmi!$H$2)/quarterly_pmi!$H$3</f>
        <v>-0.18553849788267271</v>
      </c>
    </row>
    <row r="119" spans="1:3" x14ac:dyDescent="0.45">
      <c r="A119" t="s">
        <v>252</v>
      </c>
      <c r="B119">
        <f>(quarterly_pmi!B119-quarterly_pmi!$G$2)/quarterly_pmi!$G$3</f>
        <v>0.37386675571913819</v>
      </c>
      <c r="C119">
        <f>(quarterly_pmi!C119-quarterly_pmi!$H$2)/quarterly_pmi!$H$3</f>
        <v>1.2150189638892788</v>
      </c>
    </row>
    <row r="120" spans="1:3" x14ac:dyDescent="0.45">
      <c r="A120" t="s">
        <v>253</v>
      </c>
      <c r="B120">
        <f>(quarterly_pmi!B120-quarterly_pmi!$G$2)/quarterly_pmi!$G$3</f>
        <v>0.89632949688976959</v>
      </c>
      <c r="C120">
        <f>(quarterly_pmi!C120-quarterly_pmi!$H$2)/quarterly_pmi!$H$3</f>
        <v>1.3934916069883267</v>
      </c>
    </row>
    <row r="121" spans="1:3" x14ac:dyDescent="0.45">
      <c r="A121" t="s">
        <v>254</v>
      </c>
      <c r="B121">
        <f>(quarterly_pmi!B121-quarterly_pmi!$G$2)/quarterly_pmi!$G$3</f>
        <v>1.0224328857474441</v>
      </c>
      <c r="C121">
        <f>(quarterly_pmi!C121-quarterly_pmi!$H$2)/quarterly_pmi!$H$3</f>
        <v>1.0702902171182773</v>
      </c>
    </row>
    <row r="122" spans="1:3" x14ac:dyDescent="0.45">
      <c r="A122" t="s">
        <v>255</v>
      </c>
      <c r="B122">
        <f>(quarterly_pmi!B122-quarterly_pmi!$G$2)/quarterly_pmi!$G$3</f>
        <v>0.57014925521585991</v>
      </c>
      <c r="C122">
        <f>(quarterly_pmi!C122-quarterly_pmi!$H$2)/quarterly_pmi!$H$3</f>
        <v>0.80083007222114366</v>
      </c>
    </row>
    <row r="123" spans="1:3" x14ac:dyDescent="0.45">
      <c r="A123" t="s">
        <v>256</v>
      </c>
      <c r="B123">
        <f>(quarterly_pmi!B123-quarterly_pmi!$G$2)/quarterly_pmi!$G$3</f>
        <v>0.5715290200593196</v>
      </c>
      <c r="C123">
        <f>(quarterly_pmi!C123-quarterly_pmi!$H$2)/quarterly_pmi!$H$3</f>
        <v>0.43437279206745893</v>
      </c>
    </row>
    <row r="124" spans="1:3" x14ac:dyDescent="0.45">
      <c r="A124" t="s">
        <v>257</v>
      </c>
      <c r="B124">
        <f>(quarterly_pmi!B124-quarterly_pmi!$G$2)/quarterly_pmi!$G$3</f>
        <v>0.32115919117326036</v>
      </c>
      <c r="C124">
        <f>(quarterly_pmi!C124-quarterly_pmi!$H$2)/quarterly_pmi!$H$3</f>
        <v>0.33307157731661641</v>
      </c>
    </row>
    <row r="125" spans="1:3" x14ac:dyDescent="0.45">
      <c r="A125" t="s">
        <v>258</v>
      </c>
      <c r="B125">
        <f>(quarterly_pmi!B125-quarterly_pmi!$G$2)/quarterly_pmi!$G$3</f>
        <v>0.36383608431748177</v>
      </c>
      <c r="C125">
        <f>(quarterly_pmi!C125-quarterly_pmi!$H$2)/quarterly_pmi!$H$3</f>
        <v>0.43810762934695896</v>
      </c>
    </row>
    <row r="126" spans="1:3" x14ac:dyDescent="0.45">
      <c r="A126" t="s">
        <v>259</v>
      </c>
      <c r="B126">
        <f>(quarterly_pmi!B126-quarterly_pmi!$G$2)/quarterly_pmi!$G$3</f>
        <v>0.26816965087564387</v>
      </c>
      <c r="C126">
        <f>(quarterly_pmi!C126-quarterly_pmi!$H$2)/quarterly_pmi!$H$3</f>
        <v>0.46962235578043759</v>
      </c>
    </row>
    <row r="127" spans="1:3" x14ac:dyDescent="0.45">
      <c r="A127" t="s">
        <v>260</v>
      </c>
      <c r="B127">
        <f>(quarterly_pmi!B127-quarterly_pmi!$G$2)/quarterly_pmi!$G$3</f>
        <v>-1.0273610964162374</v>
      </c>
      <c r="C127">
        <f>(quarterly_pmi!C127-quarterly_pmi!$H$2)/quarterly_pmi!$H$3</f>
        <v>-0.14374482137978514</v>
      </c>
    </row>
    <row r="128" spans="1:3" x14ac:dyDescent="0.45">
      <c r="A128" t="s">
        <v>261</v>
      </c>
      <c r="B128">
        <f>(quarterly_pmi!B128-quarterly_pmi!$G$2)/quarterly_pmi!$G$3</f>
        <v>-1.3870280118306113</v>
      </c>
      <c r="C128">
        <f>(quarterly_pmi!C128-quarterly_pmi!$H$2)/quarterly_pmi!$H$3</f>
        <v>-1.0141878662450843</v>
      </c>
    </row>
    <row r="129" spans="1:3" x14ac:dyDescent="0.45">
      <c r="A129" t="s">
        <v>262</v>
      </c>
      <c r="B129">
        <f>(quarterly_pmi!B129-quarterly_pmi!$G$2)/quarterly_pmi!$G$3</f>
        <v>-1.8264666887004648</v>
      </c>
      <c r="C129">
        <f>(quarterly_pmi!C129-quarterly_pmi!$H$2)/quarterly_pmi!$H$3</f>
        <v>-1.2900704538404184</v>
      </c>
    </row>
    <row r="130" spans="1:3" x14ac:dyDescent="0.45">
      <c r="A130" t="s">
        <v>263</v>
      </c>
      <c r="B130">
        <f>(quarterly_pmi!B130-quarterly_pmi!$G$2)/quarterly_pmi!$G$3</f>
        <v>-0.44899871568489808</v>
      </c>
      <c r="C130">
        <f>(quarterly_pmi!C130-quarterly_pmi!$H$2)/quarterly_pmi!$H$3</f>
        <v>0.37536497026760579</v>
      </c>
    </row>
    <row r="131" spans="1:3" x14ac:dyDescent="0.45">
      <c r="A131" t="s">
        <v>264</v>
      </c>
      <c r="B131">
        <f>(quarterly_pmi!B131-quarterly_pmi!$G$2)/quarterly_pmi!$G$3</f>
        <v>0.40303345143782104</v>
      </c>
      <c r="C131">
        <f>(quarterly_pmi!C131-quarterly_pmi!$H$2)/quarterly_pmi!$H$3</f>
        <v>0.77999406901555479</v>
      </c>
    </row>
    <row r="132" spans="1:3" x14ac:dyDescent="0.45">
      <c r="A132" t="s">
        <v>265</v>
      </c>
      <c r="B132">
        <f>(quarterly_pmi!B132-quarterly_pmi!$G$2)/quarterly_pmi!$G$3</f>
        <v>8.6829128592414748E-2</v>
      </c>
      <c r="C132">
        <f>(quarterly_pmi!C132-quarterly_pmi!$H$2)/quarterly_pmi!$H$3</f>
        <v>0.15897036679834581</v>
      </c>
    </row>
    <row r="133" spans="1:3" x14ac:dyDescent="0.45">
      <c r="A133" t="s">
        <v>266</v>
      </c>
      <c r="B133">
        <f>(quarterly_pmi!B133-quarterly_pmi!$G$2)/quarterly_pmi!$G$3</f>
        <v>-0.18115734070566925</v>
      </c>
      <c r="C133">
        <f>(quarterly_pmi!C133-quarterly_pmi!$H$2)/quarterly_pmi!$H$3</f>
        <v>-0.16609735537134873</v>
      </c>
    </row>
    <row r="134" spans="1:3" x14ac:dyDescent="0.45">
      <c r="A134" t="s">
        <v>267</v>
      </c>
      <c r="B134">
        <f>(quarterly_pmi!B134-quarterly_pmi!$G$2)/quarterly_pmi!$G$3</f>
        <v>-1.0737639021635306</v>
      </c>
      <c r="C134">
        <f>(quarterly_pmi!C134-quarterly_pmi!$H$2)/quarterly_pmi!$H$3</f>
        <v>-0.46121468085814016</v>
      </c>
    </row>
    <row r="135" spans="1:3" x14ac:dyDescent="0.45">
      <c r="A135" t="s">
        <v>268</v>
      </c>
      <c r="B135">
        <f>(quarterly_pmi!B135-quarterly_pmi!$G$2)/quarterly_pmi!$G$3</f>
        <v>-0.61271985992744382</v>
      </c>
      <c r="C135">
        <f>(quarterly_pmi!C135-quarterly_pmi!$H$2)/quarterly_pmi!$H$3</f>
        <v>9.0115958290699572E-2</v>
      </c>
    </row>
    <row r="136" spans="1:3" x14ac:dyDescent="0.45">
      <c r="A136" t="s">
        <v>269</v>
      </c>
      <c r="B136">
        <f>(quarterly_pmi!B136-quarterly_pmi!$G$2)/quarterly_pmi!$G$3</f>
        <v>0.75782738784156434</v>
      </c>
      <c r="C136">
        <f>(quarterly_pmi!C136-quarterly_pmi!$H$2)/quarterly_pmi!$H$3</f>
        <v>0.67409111758176765</v>
      </c>
    </row>
    <row r="137" spans="1:3" x14ac:dyDescent="0.45">
      <c r="A137" t="s">
        <v>270</v>
      </c>
      <c r="B137">
        <f>(quarterly_pmi!B137-quarterly_pmi!$G$2)/quarterly_pmi!$G$3</f>
        <v>1.2934143207970066</v>
      </c>
      <c r="C137">
        <f>(quarterly_pmi!C137-quarterly_pmi!$H$2)/quarterly_pmi!$H$3</f>
        <v>1.3522237190960498</v>
      </c>
    </row>
    <row r="138" spans="1:3" x14ac:dyDescent="0.45">
      <c r="A138" t="s">
        <v>271</v>
      </c>
      <c r="B138">
        <f>(quarterly_pmi!B138-quarterly_pmi!$G$2)/quarterly_pmi!$G$3</f>
        <v>1.2613977536457022</v>
      </c>
      <c r="C138">
        <f>(quarterly_pmi!C138-quarterly_pmi!$H$2)/quarterly_pmi!$H$3</f>
        <v>1.4707325611032251</v>
      </c>
    </row>
    <row r="139" spans="1:3" x14ac:dyDescent="0.45">
      <c r="A139" t="s">
        <v>272</v>
      </c>
      <c r="B139">
        <f>(quarterly_pmi!B139-quarterly_pmi!$G$2)/quarterly_pmi!$G$3</f>
        <v>0.93570754750151319</v>
      </c>
      <c r="C139">
        <f>(quarterly_pmi!C139-quarterly_pmi!$H$2)/quarterly_pmi!$H$3</f>
        <v>1.132409316977609</v>
      </c>
    </row>
    <row r="140" spans="1:3" x14ac:dyDescent="0.45">
      <c r="A140" t="s">
        <v>273</v>
      </c>
      <c r="B140">
        <f>(quarterly_pmi!B140-quarterly_pmi!$G$2)/quarterly_pmi!$G$3</f>
        <v>0.46416196173465329</v>
      </c>
      <c r="C140">
        <f>(quarterly_pmi!C140-quarterly_pmi!$H$2)/quarterly_pmi!$H$3</f>
        <v>0.66064005440702367</v>
      </c>
    </row>
    <row r="141" spans="1:3" x14ac:dyDescent="0.45">
      <c r="A141" t="s">
        <v>274</v>
      </c>
      <c r="B141">
        <f>(quarterly_pmi!B141-quarterly_pmi!$G$2)/quarterly_pmi!$G$3</f>
        <v>0.46774278001886976</v>
      </c>
      <c r="C141">
        <f>(quarterly_pmi!C141-quarterly_pmi!$H$2)/quarterly_pmi!$H$3</f>
        <v>0.52305073480323749</v>
      </c>
    </row>
    <row r="142" spans="1:3" x14ac:dyDescent="0.45">
      <c r="A142" t="s">
        <v>275</v>
      </c>
      <c r="B142">
        <f>(quarterly_pmi!B142-quarterly_pmi!$G$2)/quarterly_pmi!$G$3</f>
        <v>0.34022129951652808</v>
      </c>
      <c r="C142">
        <f>(quarterly_pmi!C142-quarterly_pmi!$H$2)/quarterly_pmi!$H$3</f>
        <v>0.73347698573800957</v>
      </c>
    </row>
    <row r="143" spans="1:3" x14ac:dyDescent="0.45">
      <c r="A143" t="s">
        <v>276</v>
      </c>
      <c r="B143">
        <f>(quarterly_pmi!B143-quarterly_pmi!$G$2)/quarterly_pmi!$G$3</f>
        <v>-1.7907068592242191E-2</v>
      </c>
      <c r="C143">
        <f>(quarterly_pmi!C143-quarterly_pmi!$H$2)/quarterly_pmi!$H$3</f>
        <v>-5.1660116076087823E-2</v>
      </c>
    </row>
    <row r="144" spans="1:3" x14ac:dyDescent="0.45">
      <c r="A144" t="s">
        <v>277</v>
      </c>
      <c r="B144">
        <f>(quarterly_pmi!B144-quarterly_pmi!$G$2)/quarterly_pmi!$G$3</f>
        <v>0.14013623381432111</v>
      </c>
      <c r="C144">
        <f>(quarterly_pmi!C144-quarterly_pmi!$H$2)/quarterly_pmi!$H$3</f>
        <v>0.28377129069117407</v>
      </c>
    </row>
    <row r="145" spans="1:3" x14ac:dyDescent="0.45">
      <c r="A145" t="s">
        <v>278</v>
      </c>
      <c r="B145">
        <f>(quarterly_pmi!B145-quarterly_pmi!$G$2)/quarterly_pmi!$G$3</f>
        <v>0.51709401183046022</v>
      </c>
      <c r="C145">
        <f>(quarterly_pmi!C145-quarterly_pmi!$H$2)/quarterly_pmi!$H$3</f>
        <v>0.31954447033455335</v>
      </c>
    </row>
    <row r="146" spans="1:3" x14ac:dyDescent="0.45">
      <c r="A146" t="s">
        <v>279</v>
      </c>
      <c r="B146">
        <f>(quarterly_pmi!B146-quarterly_pmi!$G$2)/quarterly_pmi!$G$3</f>
        <v>0.75037282500676428</v>
      </c>
      <c r="C146">
        <f>(quarterly_pmi!C146-quarterly_pmi!$H$2)/quarterly_pmi!$H$3</f>
        <v>0.55471972153156412</v>
      </c>
    </row>
    <row r="147" spans="1:3" x14ac:dyDescent="0.45">
      <c r="A147" t="s">
        <v>280</v>
      </c>
      <c r="B147">
        <f>(quarterly_pmi!B147-quarterly_pmi!$G$2)/quarterly_pmi!$G$3</f>
        <v>1.2098810575659042</v>
      </c>
      <c r="C147">
        <f>(quarterly_pmi!C147-quarterly_pmi!$H$2)/quarterly_pmi!$H$3</f>
        <v>0.63551735314881574</v>
      </c>
    </row>
    <row r="148" spans="1:3" x14ac:dyDescent="0.45">
      <c r="A148" t="s">
        <v>281</v>
      </c>
      <c r="B148">
        <f>(quarterly_pmi!B148-quarterly_pmi!$G$2)/quarterly_pmi!$G$3</f>
        <v>0.68997799919018377</v>
      </c>
      <c r="C148">
        <f>(quarterly_pmi!C148-quarterly_pmi!$H$2)/quarterly_pmi!$H$3</f>
        <v>0.21423031523744299</v>
      </c>
    </row>
    <row r="149" spans="1:3" x14ac:dyDescent="0.45">
      <c r="A149" t="s">
        <v>282</v>
      </c>
      <c r="B149">
        <f>(quarterly_pmi!B149-quarterly_pmi!$G$2)/quarterly_pmi!$G$3</f>
        <v>1.1637684404563233</v>
      </c>
      <c r="C149">
        <f>(quarterly_pmi!C149-quarterly_pmi!$H$2)/quarterly_pmi!$H$3</f>
        <v>1.0303368007525264</v>
      </c>
    </row>
    <row r="150" spans="1:3" x14ac:dyDescent="0.45">
      <c r="A150" t="s">
        <v>283</v>
      </c>
      <c r="B150">
        <f>(quarterly_pmi!B150-quarterly_pmi!$G$2)/quarterly_pmi!$G$3</f>
        <v>0.97287906941518676</v>
      </c>
      <c r="C150">
        <f>(quarterly_pmi!C150-quarterly_pmi!$H$2)/quarterly_pmi!$H$3</f>
        <v>0.88086726576519803</v>
      </c>
    </row>
    <row r="151" spans="1:3" x14ac:dyDescent="0.45">
      <c r="A151" t="s">
        <v>284</v>
      </c>
      <c r="B151">
        <f>(quarterly_pmi!B151-quarterly_pmi!$G$2)/quarterly_pmi!$G$3</f>
        <v>0.8688847695967532</v>
      </c>
      <c r="C151">
        <f>(quarterly_pmi!C151-quarterly_pmi!$H$2)/quarterly_pmi!$H$3</f>
        <v>0.55288815211526388</v>
      </c>
    </row>
    <row r="152" spans="1:3" x14ac:dyDescent="0.45">
      <c r="A152" t="s">
        <v>285</v>
      </c>
      <c r="B152">
        <f>(quarterly_pmi!B152-quarterly_pmi!$G$2)/quarterly_pmi!$G$3</f>
        <v>0.8740534125024112</v>
      </c>
      <c r="C152">
        <f>(quarterly_pmi!C152-quarterly_pmi!$H$2)/quarterly_pmi!$H$3</f>
        <v>0.57513639745678991</v>
      </c>
    </row>
    <row r="153" spans="1:3" x14ac:dyDescent="0.45">
      <c r="A153" t="s">
        <v>286</v>
      </c>
      <c r="B153">
        <f>(quarterly_pmi!B153-quarterly_pmi!$G$2)/quarterly_pmi!$G$3</f>
        <v>-0.15063825643010423</v>
      </c>
      <c r="C153">
        <f>(quarterly_pmi!C153-quarterly_pmi!$H$2)/quarterly_pmi!$H$3</f>
        <v>-0.12899449543997771</v>
      </c>
    </row>
    <row r="154" spans="1:3" x14ac:dyDescent="0.45">
      <c r="A154" t="s">
        <v>287</v>
      </c>
      <c r="B154">
        <f>(quarterly_pmi!B154-quarterly_pmi!$G$2)/quarterly_pmi!$G$3</f>
        <v>-0.29760237565912823</v>
      </c>
      <c r="C154">
        <f>(quarterly_pmi!C154-quarterly_pmi!$H$2)/quarterly_pmi!$H$3</f>
        <v>-0.81933538704937858</v>
      </c>
    </row>
    <row r="155" spans="1:3" x14ac:dyDescent="0.45">
      <c r="A155" t="s">
        <v>288</v>
      </c>
      <c r="B155">
        <f>(quarterly_pmi!B155-quarterly_pmi!$G$2)/quarterly_pmi!$G$3</f>
        <v>-1.4969410648068999</v>
      </c>
      <c r="C155">
        <f>(quarterly_pmi!C155-quarterly_pmi!$H$2)/quarterly_pmi!$H$3</f>
        <v>-1.6568297365431712</v>
      </c>
    </row>
    <row r="156" spans="1:3" x14ac:dyDescent="0.45">
      <c r="A156" t="s">
        <v>289</v>
      </c>
      <c r="B156">
        <f>(quarterly_pmi!B156-quarterly_pmi!$G$2)/quarterly_pmi!$G$3</f>
        <v>-2.0522224983255271</v>
      </c>
      <c r="C156">
        <f>(quarterly_pmi!C156-quarterly_pmi!$H$2)/quarterly_pmi!$H$3</f>
        <v>-2.7405561068182536</v>
      </c>
    </row>
    <row r="157" spans="1:3" x14ac:dyDescent="0.45">
      <c r="A157" t="s">
        <v>290</v>
      </c>
      <c r="B157">
        <f>(quarterly_pmi!B157-quarterly_pmi!$G$2)/quarterly_pmi!$G$3</f>
        <v>-3.9250315254003119</v>
      </c>
      <c r="C157">
        <f>(quarterly_pmi!C157-quarterly_pmi!$H$2)/quarterly_pmi!$H$3</f>
        <v>-4.4288068458023888</v>
      </c>
    </row>
    <row r="158" spans="1:3" x14ac:dyDescent="0.45">
      <c r="A158" t="s">
        <v>291</v>
      </c>
      <c r="B158">
        <f>(quarterly_pmi!B158-quarterly_pmi!$G$2)/quarterly_pmi!$G$3</f>
        <v>-3.3425435382818844</v>
      </c>
      <c r="C158">
        <f>(quarterly_pmi!C158-quarterly_pmi!$H$2)/quarterly_pmi!$H$3</f>
        <v>-3.1264610475238901</v>
      </c>
    </row>
    <row r="159" spans="1:3" x14ac:dyDescent="0.45">
      <c r="A159" t="s">
        <v>292</v>
      </c>
      <c r="B159">
        <f>(quarterly_pmi!B159-quarterly_pmi!$G$2)/quarterly_pmi!$G$3</f>
        <v>-1.0799509429298355</v>
      </c>
      <c r="C159">
        <f>(quarterly_pmi!C159-quarterly_pmi!$H$2)/quarterly_pmi!$H$3</f>
        <v>-0.63251965194725779</v>
      </c>
    </row>
    <row r="160" spans="1:3" x14ac:dyDescent="0.45">
      <c r="A160" t="s">
        <v>293</v>
      </c>
      <c r="B160">
        <f>(quarterly_pmi!B160-quarterly_pmi!$G$2)/quarterly_pmi!$G$3</f>
        <v>6.7115464628623972E-2</v>
      </c>
      <c r="C160">
        <f>(quarterly_pmi!C160-quarterly_pmi!$H$2)/quarterly_pmi!$H$3</f>
        <v>0.33011238687177924</v>
      </c>
    </row>
    <row r="161" spans="1:3" x14ac:dyDescent="0.45">
      <c r="A161" t="s">
        <v>294</v>
      </c>
      <c r="B161">
        <f>(quarterly_pmi!B161-quarterly_pmi!$G$2)/quarterly_pmi!$G$3</f>
        <v>0.83215400589696431</v>
      </c>
      <c r="C161">
        <f>(quarterly_pmi!C161-quarterly_pmi!$H$2)/quarterly_pmi!$H$3</f>
        <v>0.4925441319867957</v>
      </c>
    </row>
    <row r="162" spans="1:3" x14ac:dyDescent="0.45">
      <c r="A162" t="s">
        <v>295</v>
      </c>
      <c r="B162">
        <f>(quarterly_pmi!B162-quarterly_pmi!$G$2)/quarterly_pmi!$G$3</f>
        <v>0.79512757830214786</v>
      </c>
      <c r="C162">
        <f>(quarterly_pmi!C162-quarterly_pmi!$H$2)/quarterly_pmi!$H$3</f>
        <v>0.74653262111469232</v>
      </c>
    </row>
    <row r="163" spans="1:3" x14ac:dyDescent="0.45">
      <c r="A163" t="s">
        <v>296</v>
      </c>
      <c r="B163">
        <f>(quarterly_pmi!B163-quarterly_pmi!$G$2)/quarterly_pmi!$G$3</f>
        <v>0.55719205877916866</v>
      </c>
      <c r="C163">
        <f>(quarterly_pmi!C163-quarterly_pmi!$H$2)/quarterly_pmi!$H$3</f>
        <v>-0.11741193724508869</v>
      </c>
    </row>
    <row r="164" spans="1:3" x14ac:dyDescent="0.45">
      <c r="A164" t="s">
        <v>297</v>
      </c>
      <c r="B164">
        <f>(quarterly_pmi!B164-quarterly_pmi!$G$2)/quarterly_pmi!$G$3</f>
        <v>-0.19193538473086602</v>
      </c>
      <c r="C164">
        <f>(quarterly_pmi!C164-quarterly_pmi!$H$2)/quarterly_pmi!$H$3</f>
        <v>-0.90728113655467846</v>
      </c>
    </row>
    <row r="165" spans="1:3" x14ac:dyDescent="0.45">
      <c r="A165" t="s">
        <v>298</v>
      </c>
      <c r="B165">
        <f>(quarterly_pmi!B165-quarterly_pmi!$G$2)/quarterly_pmi!$G$3</f>
        <v>-0.14864252513867265</v>
      </c>
      <c r="C165">
        <f>(quarterly_pmi!C165-quarterly_pmi!$H$2)/quarterly_pmi!$H$3</f>
        <v>-0.65546315495570484</v>
      </c>
    </row>
    <row r="166" spans="1:3" x14ac:dyDescent="0.45">
      <c r="A166" t="s">
        <v>299</v>
      </c>
      <c r="B166">
        <f>(quarterly_pmi!B166-quarterly_pmi!$G$2)/quarterly_pmi!$G$3</f>
        <v>0.4670036202813011</v>
      </c>
      <c r="C166">
        <f>(quarterly_pmi!C166-quarterly_pmi!$H$2)/quarterly_pmi!$H$3</f>
        <v>4.1041630407004717E-2</v>
      </c>
    </row>
    <row r="167" spans="1:3" x14ac:dyDescent="0.45">
      <c r="A167" t="s">
        <v>300</v>
      </c>
      <c r="B167">
        <f>(quarterly_pmi!B167-quarterly_pmi!$G$2)/quarterly_pmi!$G$3</f>
        <v>-5.7849070707463299E-2</v>
      </c>
      <c r="C167">
        <f>(quarterly_pmi!C167-quarterly_pmi!$H$2)/quarterly_pmi!$H$3</f>
        <v>-0.58242416436527034</v>
      </c>
    </row>
    <row r="168" spans="1:3" x14ac:dyDescent="0.45">
      <c r="A168" t="s">
        <v>301</v>
      </c>
      <c r="B168">
        <f>(quarterly_pmi!B168-quarterly_pmi!$G$2)/quarterly_pmi!$G$3</f>
        <v>-0.33570469131640313</v>
      </c>
      <c r="C168">
        <f>(quarterly_pmi!C168-quarterly_pmi!$H$2)/quarterly_pmi!$H$3</f>
        <v>-1.1343653266528773</v>
      </c>
    </row>
    <row r="169" spans="1:3" x14ac:dyDescent="0.45">
      <c r="A169" t="s">
        <v>302</v>
      </c>
      <c r="B169">
        <f>(quarterly_pmi!B169-quarterly_pmi!$G$2)/quarterly_pmi!$G$3</f>
        <v>-0.64277080970254863</v>
      </c>
      <c r="C169">
        <f>(quarterly_pmi!C169-quarterly_pmi!$H$2)/quarterly_pmi!$H$3</f>
        <v>-0.99731483174095437</v>
      </c>
    </row>
    <row r="170" spans="1:3" x14ac:dyDescent="0.45">
      <c r="A170" t="s">
        <v>303</v>
      </c>
      <c r="B170">
        <f>(quarterly_pmi!B170-quarterly_pmi!$G$2)/quarterly_pmi!$G$3</f>
        <v>0.18777371008621865</v>
      </c>
      <c r="C170">
        <f>(quarterly_pmi!C170-quarterly_pmi!$H$2)/quarterly_pmi!$H$3</f>
        <v>-1.7946637270966161E-2</v>
      </c>
    </row>
    <row r="171" spans="1:3" x14ac:dyDescent="0.45">
      <c r="A171" t="s">
        <v>304</v>
      </c>
      <c r="B171">
        <f>(quarterly_pmi!B171-quarterly_pmi!$G$2)/quarterly_pmi!$G$3</f>
        <v>-0.52501171299341531</v>
      </c>
      <c r="C171">
        <f>(quarterly_pmi!C171-quarterly_pmi!$H$2)/quarterly_pmi!$H$3</f>
        <v>-0.59341792622348566</v>
      </c>
    </row>
    <row r="172" spans="1:3" x14ac:dyDescent="0.45">
      <c r="A172" t="s">
        <v>305</v>
      </c>
      <c r="B172">
        <f>(quarterly_pmi!B172-quarterly_pmi!$G$2)/quarterly_pmi!$G$3</f>
        <v>-0.77402641569393382</v>
      </c>
      <c r="C172">
        <f>(quarterly_pmi!C172-quarterly_pmi!$H$2)/quarterly_pmi!$H$3</f>
        <v>-0.21684464701607623</v>
      </c>
    </row>
    <row r="173" spans="1:3" x14ac:dyDescent="0.45">
      <c r="A173" t="s">
        <v>306</v>
      </c>
      <c r="B173">
        <f>(quarterly_pmi!B173-quarterly_pmi!$G$2)/quarterly_pmi!$G$3</f>
        <v>-1.1450736534381896</v>
      </c>
      <c r="C173">
        <f>(quarterly_pmi!C173-quarterly_pmi!$H$2)/quarterly_pmi!$H$3</f>
        <v>-0.5372606608580156</v>
      </c>
    </row>
    <row r="174" spans="1:3" x14ac:dyDescent="0.45">
      <c r="A174" t="s">
        <v>307</v>
      </c>
      <c r="B174">
        <f>(quarterly_pmi!B174-quarterly_pmi!$G$2)/quarterly_pmi!$G$3</f>
        <v>-0.64697306969205226</v>
      </c>
      <c r="C174">
        <f>(quarterly_pmi!C174-quarterly_pmi!$H$2)/quarterly_pmi!$H$3</f>
        <v>0.17112868524865574</v>
      </c>
    </row>
    <row r="175" spans="1:3" x14ac:dyDescent="0.45">
      <c r="A175" t="s">
        <v>308</v>
      </c>
      <c r="B175">
        <f>(quarterly_pmi!B175-quarterly_pmi!$G$2)/quarterly_pmi!$G$3</f>
        <v>0.1705595010868669</v>
      </c>
      <c r="C175">
        <f>(quarterly_pmi!C175-quarterly_pmi!$H$2)/quarterly_pmi!$H$3</f>
        <v>0.39862785726679806</v>
      </c>
    </row>
    <row r="176" spans="1:3" x14ac:dyDescent="0.45">
      <c r="A176" t="s">
        <v>309</v>
      </c>
      <c r="B176">
        <f>(quarterly_pmi!B176-quarterly_pmi!$G$2)/quarterly_pmi!$G$3</f>
        <v>1.7690773000649831</v>
      </c>
      <c r="C176">
        <f>(quarterly_pmi!C176-quarterly_pmi!$H$2)/quarterly_pmi!$H$3</f>
        <v>1.0103829057118447</v>
      </c>
    </row>
    <row r="177" spans="1:3" x14ac:dyDescent="0.45">
      <c r="A177" t="s">
        <v>310</v>
      </c>
      <c r="B177">
        <f>(quarterly_pmi!B177-quarterly_pmi!$G$2)/quarterly_pmi!$G$3</f>
        <v>1.7138757558119795</v>
      </c>
      <c r="C177">
        <f>(quarterly_pmi!C177-quarterly_pmi!$H$2)/quarterly_pmi!$H$3</f>
        <v>1.1010662322806539</v>
      </c>
    </row>
    <row r="178" spans="1:3" x14ac:dyDescent="0.45">
      <c r="A178" t="s">
        <v>311</v>
      </c>
      <c r="B178">
        <f>(quarterly_pmi!B178-quarterly_pmi!$G$2)/quarterly_pmi!$G$3</f>
        <v>1.0548272456535044</v>
      </c>
      <c r="C178">
        <f>(quarterly_pmi!C178-quarterly_pmi!$H$2)/quarterly_pmi!$H$3</f>
        <v>1.6311046053799871</v>
      </c>
    </row>
    <row r="179" spans="1:3" x14ac:dyDescent="0.45">
      <c r="A179" t="s">
        <v>312</v>
      </c>
      <c r="B179">
        <f>(quarterly_pmi!B179-quarterly_pmi!$G$2)/quarterly_pmi!$G$3</f>
        <v>1.293679870776798</v>
      </c>
      <c r="C179">
        <f>(quarterly_pmi!C179-quarterly_pmi!$H$2)/quarterly_pmi!$H$3</f>
        <v>1.4774722151119595</v>
      </c>
    </row>
    <row r="180" spans="1:3" x14ac:dyDescent="0.45">
      <c r="A180" t="s">
        <v>313</v>
      </c>
      <c r="B180">
        <f>(quarterly_pmi!B180-quarterly_pmi!$G$2)/quarterly_pmi!$G$3</f>
        <v>1.2437893261196491</v>
      </c>
      <c r="C180">
        <f>(quarterly_pmi!C180-quarterly_pmi!$H$2)/quarterly_pmi!$H$3</f>
        <v>0.89569798087274111</v>
      </c>
    </row>
    <row r="181" spans="1:3" x14ac:dyDescent="0.45">
      <c r="A181" t="s">
        <v>314</v>
      </c>
      <c r="B181">
        <f>(quarterly_pmi!B181-quarterly_pmi!$G$2)/quarterly_pmi!$G$3</f>
        <v>0.58489686079466141</v>
      </c>
      <c r="C181">
        <f>(quarterly_pmi!C181-quarterly_pmi!$H$2)/quarterly_pmi!$H$3</f>
        <v>0.67668529775147501</v>
      </c>
    </row>
    <row r="182" spans="1:3" x14ac:dyDescent="0.45">
      <c r="A182" t="s">
        <v>315</v>
      </c>
      <c r="B182">
        <f>(quarterly_pmi!B182-quarterly_pmi!$G$2)/quarterly_pmi!$G$3</f>
        <v>0.85396195578386247</v>
      </c>
      <c r="C182">
        <f>(quarterly_pmi!C182-quarterly_pmi!$H$2)/quarterly_pmi!$H$3</f>
        <v>0.96043298770386909</v>
      </c>
    </row>
    <row r="183" spans="1:3" x14ac:dyDescent="0.45">
      <c r="A183" t="s">
        <v>316</v>
      </c>
      <c r="B183">
        <f>(quarterly_pmi!B183-quarterly_pmi!$G$2)/quarterly_pmi!$G$3</f>
        <v>0.90763316561723617</v>
      </c>
      <c r="C183">
        <f>(quarterly_pmi!C183-quarterly_pmi!$H$2)/quarterly_pmi!$H$3</f>
        <v>0.91634930626055366</v>
      </c>
    </row>
    <row r="184" spans="1:3" x14ac:dyDescent="0.45">
      <c r="A184" t="s">
        <v>317</v>
      </c>
      <c r="B184">
        <f>(quarterly_pmi!B184-quarterly_pmi!$G$2)/quarterly_pmi!$G$3</f>
        <v>0.30319760955037017</v>
      </c>
      <c r="C184">
        <f>(quarterly_pmi!C184-quarterly_pmi!$H$2)/quarterly_pmi!$H$3</f>
        <v>0.67245943474470937</v>
      </c>
    </row>
    <row r="185" spans="1:3" x14ac:dyDescent="0.45">
      <c r="A185" t="s">
        <v>318</v>
      </c>
      <c r="B185">
        <f>(quarterly_pmi!B185-quarterly_pmi!$G$2)/quarterly_pmi!$G$3</f>
        <v>0.34903920142284434</v>
      </c>
      <c r="C185">
        <f>(quarterly_pmi!C185-quarterly_pmi!$H$2)/quarterly_pmi!$H$3</f>
        <v>0.27600830430394047</v>
      </c>
    </row>
    <row r="186" spans="1:3" x14ac:dyDescent="0.45">
      <c r="A186" t="s">
        <v>319</v>
      </c>
      <c r="B186">
        <f>(quarterly_pmi!B186-quarterly_pmi!$G$2)/quarterly_pmi!$G$3</f>
        <v>-1.0690679450658091E-2</v>
      </c>
      <c r="C186">
        <f>(quarterly_pmi!C186-quarterly_pmi!$H$2)/quarterly_pmi!$H$3</f>
        <v>0.22181731452773654</v>
      </c>
    </row>
    <row r="187" spans="1:3" x14ac:dyDescent="0.45">
      <c r="A187" t="s">
        <v>320</v>
      </c>
      <c r="B187">
        <f>(quarterly_pmi!B187-quarterly_pmi!$G$2)/quarterly_pmi!$G$3</f>
        <v>-0.3812807332090839</v>
      </c>
      <c r="C187">
        <f>(quarterly_pmi!C187-quarterly_pmi!$H$2)/quarterly_pmi!$H$3</f>
        <v>0.3026866445918876</v>
      </c>
    </row>
    <row r="188" spans="1:3" x14ac:dyDescent="0.45">
      <c r="A188" t="s">
        <v>321</v>
      </c>
      <c r="B188">
        <f>(quarterly_pmi!B188-quarterly_pmi!$G$2)/quarterly_pmi!$G$3</f>
        <v>-0.66118136242529524</v>
      </c>
      <c r="C188">
        <f>(quarterly_pmi!C188-quarterly_pmi!$H$2)/quarterly_pmi!$H$3</f>
        <v>-0.7348224722745107</v>
      </c>
    </row>
    <row r="189" spans="1:3" x14ac:dyDescent="0.45">
      <c r="A189" t="s">
        <v>322</v>
      </c>
      <c r="B189">
        <f>(quarterly_pmi!B189-quarterly_pmi!$G$2)/quarterly_pmi!$G$3</f>
        <v>0.39336140939031683</v>
      </c>
      <c r="C189">
        <f>(quarterly_pmi!C189-quarterly_pmi!$H$2)/quarterly_pmi!$H$3</f>
        <v>0.12284086760066672</v>
      </c>
    </row>
    <row r="190" spans="1:3" x14ac:dyDescent="0.45">
      <c r="A190" t="s">
        <v>323</v>
      </c>
      <c r="B190">
        <f>(quarterly_pmi!B190-quarterly_pmi!$G$2)/quarterly_pmi!$G$3</f>
        <v>0.14832721875803132</v>
      </c>
      <c r="C190">
        <f>(quarterly_pmi!C190-quarterly_pmi!$H$2)/quarterly_pmi!$H$3</f>
        <v>0.70875405763828248</v>
      </c>
    </row>
    <row r="191" spans="1:3" x14ac:dyDescent="0.45">
      <c r="A191" t="s">
        <v>324</v>
      </c>
      <c r="B191">
        <f>(quarterly_pmi!B191-quarterly_pmi!$G$2)/quarterly_pmi!$G$3</f>
        <v>0.21714025269690979</v>
      </c>
      <c r="C191">
        <f>(quarterly_pmi!C191-quarterly_pmi!$H$2)/quarterly_pmi!$H$3</f>
        <v>-3.1921316376110731E-2</v>
      </c>
    </row>
    <row r="192" spans="1:3" x14ac:dyDescent="0.45">
      <c r="A192" t="s">
        <v>325</v>
      </c>
      <c r="B192">
        <f>(quarterly_pmi!B192-quarterly_pmi!$G$2)/quarterly_pmi!$G$3</f>
        <v>5.4476414862332234E-3</v>
      </c>
      <c r="C192">
        <f>(quarterly_pmi!C192-quarterly_pmi!$H$2)/quarterly_pmi!$H$3</f>
        <v>-0.35781031166485594</v>
      </c>
    </row>
    <row r="193" spans="1:3" x14ac:dyDescent="0.45">
      <c r="A193" t="s">
        <v>326</v>
      </c>
      <c r="B193">
        <f>(quarterly_pmi!B193-quarterly_pmi!$G$2)/quarterly_pmi!$G$3</f>
        <v>0.31013202294021552</v>
      </c>
      <c r="C193">
        <f>(quarterly_pmi!C193-quarterly_pmi!$H$2)/quarterly_pmi!$H$3</f>
        <v>-0.22117697135308928</v>
      </c>
    </row>
    <row r="194" spans="1:3" x14ac:dyDescent="0.45">
      <c r="A194" t="s">
        <v>327</v>
      </c>
      <c r="B194">
        <f>(quarterly_pmi!B194-quarterly_pmi!$G$2)/quarterly_pmi!$G$3</f>
        <v>-0.16015972890143615</v>
      </c>
      <c r="C194">
        <f>(quarterly_pmi!C194-quarterly_pmi!$H$2)/quarterly_pmi!$H$3</f>
        <v>0.14870445281018962</v>
      </c>
    </row>
    <row r="195" spans="1:3" x14ac:dyDescent="0.45">
      <c r="A195" t="s">
        <v>328</v>
      </c>
      <c r="B195">
        <f>(quarterly_pmi!B195-quarterly_pmi!$G$2)/quarterly_pmi!$G$3</f>
        <v>6.4323083397814076E-2</v>
      </c>
      <c r="C195">
        <f>(quarterly_pmi!C195-quarterly_pmi!$H$2)/quarterly_pmi!$H$3</f>
        <v>-1.5658805010748143E-2</v>
      </c>
    </row>
    <row r="196" spans="1:3" x14ac:dyDescent="0.45">
      <c r="A196" t="s">
        <v>329</v>
      </c>
      <c r="B196">
        <f>(quarterly_pmi!B196-quarterly_pmi!$G$2)/quarterly_pmi!$G$3</f>
        <v>-3.0694532052159291E-2</v>
      </c>
      <c r="C196">
        <f>(quarterly_pmi!C196-quarterly_pmi!$H$2)/quarterly_pmi!$H$3</f>
        <v>-0.21566270898230921</v>
      </c>
    </row>
    <row r="197" spans="1:3" x14ac:dyDescent="0.45">
      <c r="A197" t="s">
        <v>330</v>
      </c>
      <c r="B197">
        <f>(quarterly_pmi!B197-quarterly_pmi!$G$2)/quarterly_pmi!$G$3</f>
        <v>-0.712060191027859</v>
      </c>
      <c r="C197">
        <f>(quarterly_pmi!C197-quarterly_pmi!$H$2)/quarterly_pmi!$H$3</f>
        <v>-1.0807978960966951</v>
      </c>
    </row>
    <row r="198" spans="1:3" x14ac:dyDescent="0.45">
      <c r="A198" t="s">
        <v>331</v>
      </c>
      <c r="B198">
        <f>(quarterly_pmi!B198-quarterly_pmi!$G$2)/quarterly_pmi!$G$3</f>
        <v>-0.94017036129850506</v>
      </c>
      <c r="C198">
        <f>(quarterly_pmi!C198-quarterly_pmi!$H$2)/quarterly_pmi!$H$3</f>
        <v>-1.2304629723028442</v>
      </c>
    </row>
    <row r="199" spans="1:3" x14ac:dyDescent="0.45">
      <c r="A199" t="s">
        <v>332</v>
      </c>
      <c r="B199">
        <f>(quarterly_pmi!B199-quarterly_pmi!$G$2)/quarterly_pmi!$G$3</f>
        <v>-0.96631471497913379</v>
      </c>
      <c r="C199">
        <f>(quarterly_pmi!C199-quarterly_pmi!$H$2)/quarterly_pmi!$H$3</f>
        <v>-0.47622355574283315</v>
      </c>
    </row>
    <row r="200" spans="1:3" x14ac:dyDescent="0.45">
      <c r="A200" t="s">
        <v>333</v>
      </c>
      <c r="B200">
        <f>(quarterly_pmi!B200-quarterly_pmi!$G$2)/quarterly_pmi!$G$3</f>
        <v>-1.0898857973284748</v>
      </c>
      <c r="C200">
        <f>(quarterly_pmi!C200-quarterly_pmi!$H$2)/quarterly_pmi!$H$3</f>
        <v>-1.265191092765632</v>
      </c>
    </row>
    <row r="201" spans="1:3" x14ac:dyDescent="0.45">
      <c r="A201" t="s">
        <v>334</v>
      </c>
      <c r="B201">
        <f>(quarterly_pmi!B201-quarterly_pmi!$G$2)/quarterly_pmi!$G$3</f>
        <v>-1.2411041914914966</v>
      </c>
      <c r="C201">
        <f>(quarterly_pmi!C201-quarterly_pmi!$H$2)/quarterly_pmi!$H$3</f>
        <v>-0.72659887768293963</v>
      </c>
    </row>
    <row r="202" spans="1:3" x14ac:dyDescent="0.45">
      <c r="A202" t="s">
        <v>335</v>
      </c>
      <c r="B202">
        <f>(quarterly_pmi!B202-quarterly_pmi!$G$2)/quarterly_pmi!$G$3</f>
        <v>-1.8088445730311249</v>
      </c>
      <c r="C202">
        <f>(quarterly_pmi!C202-quarterly_pmi!$H$2)/quarterly_pmi!$H$3</f>
        <v>-0.70919353652757455</v>
      </c>
    </row>
    <row r="203" spans="1:3" x14ac:dyDescent="0.45">
      <c r="A203" t="s">
        <v>336</v>
      </c>
      <c r="B203">
        <f>(quarterly_pmi!B203-quarterly_pmi!$G$2)/quarterly_pmi!$G$3</f>
        <v>-6.4450433434318892</v>
      </c>
      <c r="C203">
        <f>(quarterly_pmi!C203-quarterly_pmi!$H$2)/quarterly_pmi!$H$3</f>
        <v>-1.5856853230951002</v>
      </c>
    </row>
    <row r="204" spans="1:3" x14ac:dyDescent="0.45">
      <c r="A204" t="s">
        <v>337</v>
      </c>
      <c r="B204">
        <f>(quarterly_pmi!B204-quarterly_pmi!$G$2)/quarterly_pmi!$G$3</f>
        <v>0.9578412751986749</v>
      </c>
      <c r="C204">
        <f>(quarterly_pmi!C204-quarterly_pmi!$H$2)/quarterly_pmi!$H$3</f>
        <v>0.22943473134095835</v>
      </c>
    </row>
    <row r="205" spans="1:3" x14ac:dyDescent="0.45">
      <c r="A205" t="s">
        <v>338</v>
      </c>
      <c r="B205">
        <f>(quarterly_pmi!B205-quarterly_pmi!$G$2)/quarterly_pmi!$G$3</f>
        <v>-0.9633690265434951</v>
      </c>
      <c r="C205">
        <f>(quarterly_pmi!C205-quarterly_pmi!$H$2)/quarterly_pmi!$H$3</f>
        <v>0.75900163283490818</v>
      </c>
    </row>
    <row r="206" spans="1:3" x14ac:dyDescent="0.45">
      <c r="A206" t="s">
        <v>339</v>
      </c>
      <c r="B206">
        <f>(quarterly_pmi!B206-quarterly_pmi!$G$2)/quarterly_pmi!$G$3</f>
        <v>-1.3570427651432897</v>
      </c>
      <c r="C206">
        <f>(quarterly_pmi!C206-quarterly_pmi!$H$2)/quarterly_pmi!$H$3</f>
        <v>1.9460476377751177</v>
      </c>
    </row>
    <row r="207" spans="1:3" x14ac:dyDescent="0.45">
      <c r="A207" t="s">
        <v>340</v>
      </c>
      <c r="B207">
        <f>(quarterly_pmi!B207-quarterly_pmi!$G$2)/quarterly_pmi!$G$3</f>
        <v>2.1599477069193376</v>
      </c>
      <c r="C207">
        <f>(quarterly_pmi!C207-quarterly_pmi!$H$2)/quarterly_pmi!$H$3</f>
        <v>2.3361545420052194</v>
      </c>
    </row>
    <row r="208" spans="1:3" x14ac:dyDescent="0.45">
      <c r="A208" t="s">
        <v>341</v>
      </c>
      <c r="B208">
        <f>(quarterly_pmi!B208-quarterly_pmi!$G$2)/quarterly_pmi!$G$3</f>
        <v>0.62759839259680172</v>
      </c>
      <c r="C208">
        <f>(quarterly_pmi!C208-quarterly_pmi!$H$2)/quarterly_pmi!$H$3</f>
        <v>1.7397690333595792</v>
      </c>
    </row>
    <row r="209" spans="1:3" x14ac:dyDescent="0.45">
      <c r="A209" t="s">
        <v>342</v>
      </c>
      <c r="B209">
        <f>(quarterly_pmi!B209-quarterly_pmi!$G$2)/quarterly_pmi!$G$3</f>
        <v>0.6228102800745583</v>
      </c>
      <c r="C209">
        <f>(quarterly_pmi!C209-quarterly_pmi!$H$2)/quarterly_pmi!$H$3</f>
        <v>1.3873342312756429</v>
      </c>
    </row>
    <row r="210" spans="1:3" x14ac:dyDescent="0.45">
      <c r="A210" t="s">
        <v>343</v>
      </c>
      <c r="B210">
        <f>(quarterly_pmi!B210-quarterly_pmi!$G$2)/quarterly_pmi!$G$3</f>
        <v>1.1740263350365654</v>
      </c>
      <c r="C210">
        <f>(quarterly_pmi!C210-quarterly_pmi!$H$2)/quarterly_pmi!$H$3</f>
        <v>1.6123587205355843</v>
      </c>
    </row>
    <row r="211" spans="1:3" x14ac:dyDescent="0.45">
      <c r="A211" t="s">
        <v>344</v>
      </c>
      <c r="B211">
        <f>(quarterly_pmi!B211-quarterly_pmi!$G$2)/quarterly_pmi!$G$3</f>
        <v>0.26581255260139963</v>
      </c>
      <c r="C211">
        <f>(quarterly_pmi!C211-quarterly_pmi!$H$2)/quarterly_pmi!$H$3</f>
        <v>-0.17352792168658443</v>
      </c>
    </row>
    <row r="212" spans="1:3" x14ac:dyDescent="0.45">
      <c r="A212" t="s">
        <v>345</v>
      </c>
      <c r="B212">
        <f>(quarterly_pmi!B212-quarterly_pmi!$G$2)/quarterly_pmi!$G$3</f>
        <v>-1.0320725553360655</v>
      </c>
      <c r="C212">
        <f>(quarterly_pmi!C212-quarterly_pmi!$H$2)/quarterly_pmi!$H$3</f>
        <v>-0.94091857155248104</v>
      </c>
    </row>
    <row r="213" spans="1:3" x14ac:dyDescent="0.45">
      <c r="A213" t="s">
        <v>346</v>
      </c>
      <c r="B213">
        <f>(quarterly_pmi!B213-quarterly_pmi!$G$2)/quarterly_pmi!$G$3</f>
        <v>-1.5256067744812301</v>
      </c>
      <c r="C213">
        <f>(quarterly_pmi!C213-quarterly_pmi!$H$2)/quarterly_pmi!$H$3</f>
        <v>-1.5980044198808863</v>
      </c>
    </row>
    <row r="214" spans="1:3" x14ac:dyDescent="0.45">
      <c r="A214" t="s">
        <v>347</v>
      </c>
      <c r="B214">
        <f>(quarterly_pmi!B214-quarterly_pmi!$G$2)/quarterly_pmi!$G$3</f>
        <v>-0.76201917640144767</v>
      </c>
      <c r="C214">
        <f>(quarterly_pmi!C214-quarterly_pmi!$H$2)/quarterly_pmi!$H$3</f>
        <v>0.51117486478011509</v>
      </c>
    </row>
    <row r="215" spans="1:3" x14ac:dyDescent="0.45">
      <c r="A215" t="s">
        <v>348</v>
      </c>
      <c r="B215">
        <f>(quarterly_pmi!B215-quarterly_pmi!$G$2)/quarterly_pmi!$G$3</f>
        <v>-3.8077916541862926E-2</v>
      </c>
      <c r="C215">
        <f>(quarterly_pmi!C215-quarterly_pmi!$H$2)/quarterly_pmi!$H$3</f>
        <v>0.64883805551101048</v>
      </c>
    </row>
    <row r="216" spans="1:3" x14ac:dyDescent="0.45">
      <c r="A216" t="s">
        <v>349</v>
      </c>
      <c r="B216">
        <f>(quarterly_pmi!B216-quarterly_pmi!$G$2)/quarterly_pmi!$G$3</f>
        <v>-1.2936639240898626</v>
      </c>
      <c r="C216">
        <f>(quarterly_pmi!C216-quarterly_pmi!$H$2)/quarterly_pmi!$H$3</f>
        <v>0.29316161455504641</v>
      </c>
    </row>
    <row r="217" spans="1:3" x14ac:dyDescent="0.45">
      <c r="A217" t="s">
        <v>350</v>
      </c>
      <c r="B217">
        <f>(quarterly_pmi!B217-quarterly_pmi!$G$2)/quarterly_pmi!$G$3</f>
        <v>-0.97090298060936708</v>
      </c>
      <c r="C217">
        <f>(quarterly_pmi!C217-quarterly_pmi!$H$2)/quarterly_pmi!$H$3</f>
        <v>0.16449331988996208</v>
      </c>
    </row>
    <row r="218" spans="1:3" x14ac:dyDescent="0.45">
      <c r="A218" t="s">
        <v>351</v>
      </c>
      <c r="B218">
        <f>(quarterly_pmi!B218-quarterly_pmi!$G$2)/quarterly_pmi!$G$3</f>
        <v>-0.3118435199362618</v>
      </c>
      <c r="C218">
        <f>(quarterly_pmi!C218-quarterly_pmi!$H$2)/quarterly_pmi!$H$3</f>
        <v>1.1873585721468003</v>
      </c>
    </row>
    <row r="219" spans="1:3" x14ac:dyDescent="0.45">
      <c r="A219" t="s">
        <v>352</v>
      </c>
      <c r="B219">
        <f>(quarterly_pmi!B219-quarterly_pmi!$G$2)/quarterly_pmi!$G$3</f>
        <v>-0.2504248210017172</v>
      </c>
      <c r="C219">
        <f>(quarterly_pmi!C219-quarterly_pmi!$H$2)/quarterly_pmi!$H$3</f>
        <v>0.92536158376804023</v>
      </c>
    </row>
    <row r="220" spans="1:3" x14ac:dyDescent="0.45">
      <c r="A220" t="s">
        <v>353</v>
      </c>
      <c r="B220">
        <f>(quarterly_pmi!B220-quarterly_pmi!$G$2)/quarterly_pmi!$G$3</f>
        <v>-0.26425258335154561</v>
      </c>
      <c r="C220">
        <f>(quarterly_pmi!C220-quarterly_pmi!$H$2)/quarterly_pmi!$H$3</f>
        <v>1.1826721009357004</v>
      </c>
    </row>
    <row r="221" spans="1:3" x14ac:dyDescent="0.45">
      <c r="A221" t="s">
        <v>354</v>
      </c>
      <c r="B221">
        <f>(quarterly_pmi!B221-quarterly_pmi!$G$2)/quarterly_pmi!$G$3</f>
        <v>-0.86919186309142094</v>
      </c>
      <c r="C221">
        <f>(quarterly_pmi!C221-quarterly_pmi!$H$2)/quarterly_pmi!$H$3</f>
        <v>2.4138178379948132E-2</v>
      </c>
    </row>
    <row r="222" spans="1:3" x14ac:dyDescent="0.45">
      <c r="A222" t="s">
        <v>355</v>
      </c>
      <c r="B222">
        <f>(quarterly_pmi!B222-quarterly_pmi!$G$2)/quarterly_pmi!$G$3</f>
        <v>-0.87378286635031266</v>
      </c>
      <c r="C222">
        <f>(quarterly_pmi!C222-quarterly_pmi!$H$2)/quarterly_pmi!$H$3</f>
        <v>-0.4565043101647383</v>
      </c>
    </row>
    <row r="223" spans="1:3" x14ac:dyDescent="0.45">
      <c r="A223" t="s">
        <v>356</v>
      </c>
      <c r="B223">
        <f>(quarterly_pmi!B223-quarterly_pmi!$G$2)/quarterly_pmi!$G$3</f>
        <v>-1.0369729106332717</v>
      </c>
      <c r="C223">
        <f>(quarterly_pmi!C223-quarterly_pmi!$H$2)/quarterly_pmi!$H$3</f>
        <v>-0.87622701832553562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C3F97-18C9-4948-9305-FCD0B23B29CD}">
  <dimension ref="A1:H223"/>
  <sheetViews>
    <sheetView workbookViewId="0">
      <pane xSplit="1" ySplit="3" topLeftCell="B207" activePane="bottomRight" state="frozen"/>
      <selection pane="topRight" activeCell="B1" sqref="B1"/>
      <selection pane="bottomLeft" activeCell="A4" sqref="A4"/>
      <selection pane="bottomRight" activeCell="C219" sqref="C219"/>
    </sheetView>
  </sheetViews>
  <sheetFormatPr defaultRowHeight="14.25" x14ac:dyDescent="0.45"/>
  <cols>
    <col min="6" max="6" width="19.73046875" bestFit="1" customWidth="1"/>
  </cols>
  <sheetData>
    <row r="1" spans="1:8" x14ac:dyDescent="0.45">
      <c r="B1" t="s">
        <v>391</v>
      </c>
      <c r="C1" t="s">
        <v>392</v>
      </c>
      <c r="G1" t="s">
        <v>391</v>
      </c>
      <c r="H1" t="s">
        <v>392</v>
      </c>
    </row>
    <row r="2" spans="1:8" x14ac:dyDescent="0.45">
      <c r="A2" t="s">
        <v>135</v>
      </c>
      <c r="F2" t="s">
        <v>389</v>
      </c>
      <c r="G2">
        <f>AVERAGE(B122:B201)</f>
        <v>1.6572749749999995</v>
      </c>
      <c r="H2">
        <f>AVERAGE(C122:C201)</f>
        <v>1.9841874812500002</v>
      </c>
    </row>
    <row r="3" spans="1:8" x14ac:dyDescent="0.45">
      <c r="A3" t="s">
        <v>136</v>
      </c>
      <c r="F3" t="s">
        <v>390</v>
      </c>
      <c r="G3">
        <f>_xlfn.STDEV.S(B122:B201)</f>
        <v>1.4610945849949137</v>
      </c>
      <c r="H3">
        <f>_xlfn.STDEV.S(C122:C201)</f>
        <v>0.68257047590050002</v>
      </c>
    </row>
    <row r="4" spans="1:8" x14ac:dyDescent="0.45">
      <c r="A4" t="s">
        <v>137</v>
      </c>
    </row>
    <row r="5" spans="1:8" x14ac:dyDescent="0.45">
      <c r="A5" t="s">
        <v>138</v>
      </c>
    </row>
    <row r="6" spans="1:8" x14ac:dyDescent="0.45">
      <c r="A6" t="s">
        <v>139</v>
      </c>
    </row>
    <row r="7" spans="1:8" x14ac:dyDescent="0.45">
      <c r="A7" t="s">
        <v>140</v>
      </c>
    </row>
    <row r="8" spans="1:8" x14ac:dyDescent="0.45">
      <c r="A8" t="s">
        <v>141</v>
      </c>
    </row>
    <row r="9" spans="1:8" x14ac:dyDescent="0.45">
      <c r="A9" t="s">
        <v>142</v>
      </c>
    </row>
    <row r="10" spans="1:8" x14ac:dyDescent="0.45">
      <c r="A10" t="s">
        <v>143</v>
      </c>
    </row>
    <row r="11" spans="1:8" x14ac:dyDescent="0.45">
      <c r="A11" t="s">
        <v>144</v>
      </c>
    </row>
    <row r="12" spans="1:8" x14ac:dyDescent="0.45">
      <c r="A12" t="s">
        <v>145</v>
      </c>
    </row>
    <row r="13" spans="1:8" x14ac:dyDescent="0.45">
      <c r="A13" t="s">
        <v>146</v>
      </c>
    </row>
    <row r="14" spans="1:8" x14ac:dyDescent="0.45">
      <c r="A14" t="s">
        <v>147</v>
      </c>
    </row>
    <row r="15" spans="1:8" x14ac:dyDescent="0.45">
      <c r="A15" t="s">
        <v>148</v>
      </c>
    </row>
    <row r="16" spans="1:8" x14ac:dyDescent="0.45">
      <c r="A16" t="s">
        <v>149</v>
      </c>
    </row>
    <row r="17" spans="1:1" x14ac:dyDescent="0.45">
      <c r="A17" t="s">
        <v>150</v>
      </c>
    </row>
    <row r="18" spans="1:1" x14ac:dyDescent="0.45">
      <c r="A18" t="s">
        <v>151</v>
      </c>
    </row>
    <row r="19" spans="1:1" x14ac:dyDescent="0.45">
      <c r="A19" t="s">
        <v>152</v>
      </c>
    </row>
    <row r="20" spans="1:1" x14ac:dyDescent="0.45">
      <c r="A20" t="s">
        <v>153</v>
      </c>
    </row>
    <row r="21" spans="1:1" x14ac:dyDescent="0.45">
      <c r="A21" t="s">
        <v>154</v>
      </c>
    </row>
    <row r="22" spans="1:1" x14ac:dyDescent="0.45">
      <c r="A22" t="s">
        <v>155</v>
      </c>
    </row>
    <row r="23" spans="1:1" x14ac:dyDescent="0.45">
      <c r="A23" t="s">
        <v>156</v>
      </c>
    </row>
    <row r="24" spans="1:1" x14ac:dyDescent="0.45">
      <c r="A24" t="s">
        <v>157</v>
      </c>
    </row>
    <row r="25" spans="1:1" x14ac:dyDescent="0.45">
      <c r="A25" t="s">
        <v>158</v>
      </c>
    </row>
    <row r="26" spans="1:1" x14ac:dyDescent="0.45">
      <c r="A26" t="s">
        <v>159</v>
      </c>
    </row>
    <row r="27" spans="1:1" x14ac:dyDescent="0.45">
      <c r="A27" t="s">
        <v>160</v>
      </c>
    </row>
    <row r="28" spans="1:1" x14ac:dyDescent="0.45">
      <c r="A28" t="s">
        <v>161</v>
      </c>
    </row>
    <row r="29" spans="1:1" x14ac:dyDescent="0.45">
      <c r="A29" t="s">
        <v>162</v>
      </c>
    </row>
    <row r="30" spans="1:1" x14ac:dyDescent="0.45">
      <c r="A30" t="s">
        <v>163</v>
      </c>
    </row>
    <row r="31" spans="1:1" x14ac:dyDescent="0.45">
      <c r="A31" t="s">
        <v>164</v>
      </c>
    </row>
    <row r="32" spans="1:1" x14ac:dyDescent="0.45">
      <c r="A32" t="s">
        <v>165</v>
      </c>
    </row>
    <row r="33" spans="1:1" x14ac:dyDescent="0.45">
      <c r="A33" t="s">
        <v>166</v>
      </c>
    </row>
    <row r="34" spans="1:1" x14ac:dyDescent="0.45">
      <c r="A34" t="s">
        <v>167</v>
      </c>
    </row>
    <row r="35" spans="1:1" x14ac:dyDescent="0.45">
      <c r="A35" t="s">
        <v>168</v>
      </c>
    </row>
    <row r="36" spans="1:1" x14ac:dyDescent="0.45">
      <c r="A36" t="s">
        <v>169</v>
      </c>
    </row>
    <row r="37" spans="1:1" x14ac:dyDescent="0.45">
      <c r="A37" t="s">
        <v>170</v>
      </c>
    </row>
    <row r="38" spans="1:1" x14ac:dyDescent="0.45">
      <c r="A38" t="s">
        <v>171</v>
      </c>
    </row>
    <row r="39" spans="1:1" x14ac:dyDescent="0.45">
      <c r="A39" t="s">
        <v>172</v>
      </c>
    </row>
    <row r="40" spans="1:1" x14ac:dyDescent="0.45">
      <c r="A40" t="s">
        <v>173</v>
      </c>
    </row>
    <row r="41" spans="1:1" x14ac:dyDescent="0.45">
      <c r="A41" t="s">
        <v>174</v>
      </c>
    </row>
    <row r="42" spans="1:1" x14ac:dyDescent="0.45">
      <c r="A42" t="s">
        <v>175</v>
      </c>
    </row>
    <row r="43" spans="1:1" x14ac:dyDescent="0.45">
      <c r="A43" t="s">
        <v>176</v>
      </c>
    </row>
    <row r="44" spans="1:1" x14ac:dyDescent="0.45">
      <c r="A44" t="s">
        <v>177</v>
      </c>
    </row>
    <row r="45" spans="1:1" x14ac:dyDescent="0.45">
      <c r="A45" t="s">
        <v>178</v>
      </c>
    </row>
    <row r="46" spans="1:1" x14ac:dyDescent="0.45">
      <c r="A46" t="s">
        <v>179</v>
      </c>
    </row>
    <row r="47" spans="1:1" x14ac:dyDescent="0.45">
      <c r="A47" t="s">
        <v>180</v>
      </c>
    </row>
    <row r="48" spans="1:1" x14ac:dyDescent="0.45">
      <c r="A48" t="s">
        <v>181</v>
      </c>
    </row>
    <row r="49" spans="1:1" x14ac:dyDescent="0.45">
      <c r="A49" t="s">
        <v>182</v>
      </c>
    </row>
    <row r="50" spans="1:1" x14ac:dyDescent="0.45">
      <c r="A50" t="s">
        <v>183</v>
      </c>
    </row>
    <row r="51" spans="1:1" x14ac:dyDescent="0.45">
      <c r="A51" t="s">
        <v>184</v>
      </c>
    </row>
    <row r="52" spans="1:1" x14ac:dyDescent="0.45">
      <c r="A52" t="s">
        <v>185</v>
      </c>
    </row>
    <row r="53" spans="1:1" x14ac:dyDescent="0.45">
      <c r="A53" t="s">
        <v>186</v>
      </c>
    </row>
    <row r="54" spans="1:1" x14ac:dyDescent="0.45">
      <c r="A54" t="s">
        <v>187</v>
      </c>
    </row>
    <row r="55" spans="1:1" x14ac:dyDescent="0.45">
      <c r="A55" t="s">
        <v>188</v>
      </c>
    </row>
    <row r="56" spans="1:1" x14ac:dyDescent="0.45">
      <c r="A56" t="s">
        <v>189</v>
      </c>
    </row>
    <row r="57" spans="1:1" x14ac:dyDescent="0.45">
      <c r="A57" t="s">
        <v>190</v>
      </c>
    </row>
    <row r="58" spans="1:1" x14ac:dyDescent="0.45">
      <c r="A58" t="s">
        <v>191</v>
      </c>
    </row>
    <row r="59" spans="1:1" x14ac:dyDescent="0.45">
      <c r="A59" t="s">
        <v>192</v>
      </c>
    </row>
    <row r="60" spans="1:1" x14ac:dyDescent="0.45">
      <c r="A60" t="s">
        <v>193</v>
      </c>
    </row>
    <row r="61" spans="1:1" x14ac:dyDescent="0.45">
      <c r="A61" t="s">
        <v>194</v>
      </c>
    </row>
    <row r="62" spans="1:1" x14ac:dyDescent="0.45">
      <c r="A62" t="s">
        <v>195</v>
      </c>
    </row>
    <row r="63" spans="1:1" x14ac:dyDescent="0.45">
      <c r="A63" t="s">
        <v>196</v>
      </c>
    </row>
    <row r="64" spans="1:1" x14ac:dyDescent="0.45">
      <c r="A64" t="s">
        <v>197</v>
      </c>
    </row>
    <row r="65" spans="1:1" x14ac:dyDescent="0.45">
      <c r="A65" t="s">
        <v>198</v>
      </c>
    </row>
    <row r="66" spans="1:1" x14ac:dyDescent="0.45">
      <c r="A66" t="s">
        <v>199</v>
      </c>
    </row>
    <row r="67" spans="1:1" x14ac:dyDescent="0.45">
      <c r="A67" t="s">
        <v>200</v>
      </c>
    </row>
    <row r="68" spans="1:1" x14ac:dyDescent="0.45">
      <c r="A68" t="s">
        <v>201</v>
      </c>
    </row>
    <row r="69" spans="1:1" x14ac:dyDescent="0.45">
      <c r="A69" t="s">
        <v>202</v>
      </c>
    </row>
    <row r="70" spans="1:1" x14ac:dyDescent="0.45">
      <c r="A70" t="s">
        <v>203</v>
      </c>
    </row>
    <row r="71" spans="1:1" x14ac:dyDescent="0.45">
      <c r="A71" t="s">
        <v>204</v>
      </c>
    </row>
    <row r="72" spans="1:1" x14ac:dyDescent="0.45">
      <c r="A72" t="s">
        <v>205</v>
      </c>
    </row>
    <row r="73" spans="1:1" x14ac:dyDescent="0.45">
      <c r="A73" t="s">
        <v>206</v>
      </c>
    </row>
    <row r="74" spans="1:1" x14ac:dyDescent="0.45">
      <c r="A74" t="s">
        <v>207</v>
      </c>
    </row>
    <row r="75" spans="1:1" x14ac:dyDescent="0.45">
      <c r="A75" t="s">
        <v>208</v>
      </c>
    </row>
    <row r="76" spans="1:1" x14ac:dyDescent="0.45">
      <c r="A76" t="s">
        <v>209</v>
      </c>
    </row>
    <row r="77" spans="1:1" x14ac:dyDescent="0.45">
      <c r="A77" t="s">
        <v>210</v>
      </c>
    </row>
    <row r="78" spans="1:1" x14ac:dyDescent="0.45">
      <c r="A78" t="s">
        <v>211</v>
      </c>
    </row>
    <row r="79" spans="1:1" x14ac:dyDescent="0.45">
      <c r="A79" t="s">
        <v>212</v>
      </c>
    </row>
    <row r="80" spans="1:1" x14ac:dyDescent="0.45">
      <c r="A80" t="s">
        <v>213</v>
      </c>
    </row>
    <row r="81" spans="1:3" x14ac:dyDescent="0.45">
      <c r="A81" t="s">
        <v>214</v>
      </c>
      <c r="B81">
        <v>2.1076670000000002</v>
      </c>
      <c r="C81">
        <v>1.548333</v>
      </c>
    </row>
    <row r="82" spans="1:3" x14ac:dyDescent="0.45">
      <c r="A82" t="s">
        <v>215</v>
      </c>
      <c r="B82">
        <v>1.2146669999999999</v>
      </c>
      <c r="C82">
        <v>2.0176669999999999</v>
      </c>
    </row>
    <row r="83" spans="1:3" x14ac:dyDescent="0.45">
      <c r="A83" t="s">
        <v>216</v>
      </c>
      <c r="B83">
        <v>1.105667</v>
      </c>
      <c r="C83">
        <v>2.2879999999999998</v>
      </c>
    </row>
    <row r="84" spans="1:3" x14ac:dyDescent="0.45">
      <c r="A84" t="s">
        <v>217</v>
      </c>
      <c r="B84">
        <v>1.3606670000000001</v>
      </c>
      <c r="C84">
        <v>2.0550000000000002</v>
      </c>
    </row>
    <row r="85" spans="1:3" x14ac:dyDescent="0.45">
      <c r="A85" t="s">
        <v>218</v>
      </c>
      <c r="B85">
        <v>1.2390000000000001</v>
      </c>
      <c r="C85">
        <v>0.88333329999999999</v>
      </c>
    </row>
    <row r="86" spans="1:3" x14ac:dyDescent="0.45">
      <c r="A86" t="s">
        <v>219</v>
      </c>
      <c r="B86">
        <v>-0.52200000000000002</v>
      </c>
      <c r="C86">
        <v>2.1320000000000001</v>
      </c>
    </row>
    <row r="87" spans="1:3" x14ac:dyDescent="0.45">
      <c r="A87" t="s">
        <v>220</v>
      </c>
      <c r="B87">
        <v>-1.53</v>
      </c>
      <c r="C87">
        <v>2.1240000000000001</v>
      </c>
    </row>
    <row r="88" spans="1:3" x14ac:dyDescent="0.45">
      <c r="A88" t="s">
        <v>221</v>
      </c>
      <c r="B88">
        <v>-1.9823329999999999</v>
      </c>
      <c r="C88">
        <v>1.7776670000000001</v>
      </c>
    </row>
    <row r="89" spans="1:3" x14ac:dyDescent="0.45">
      <c r="A89" t="s">
        <v>222</v>
      </c>
      <c r="B89">
        <v>-2.1253329999999999</v>
      </c>
      <c r="C89">
        <v>1.7833330000000001</v>
      </c>
    </row>
    <row r="90" spans="1:3" x14ac:dyDescent="0.45">
      <c r="A90" t="s">
        <v>223</v>
      </c>
      <c r="B90">
        <v>1.2143330000000001</v>
      </c>
      <c r="C90">
        <v>2.3879999999999999</v>
      </c>
    </row>
    <row r="91" spans="1:3" x14ac:dyDescent="0.45">
      <c r="A91" t="s">
        <v>224</v>
      </c>
      <c r="B91">
        <v>0.78800000000000003</v>
      </c>
      <c r="C91">
        <v>2.326667</v>
      </c>
    </row>
    <row r="92" spans="1:3" x14ac:dyDescent="0.45">
      <c r="A92" t="s">
        <v>225</v>
      </c>
      <c r="B92">
        <v>-0.4643333</v>
      </c>
      <c r="C92">
        <v>1.691333</v>
      </c>
    </row>
    <row r="93" spans="1:3" x14ac:dyDescent="0.45">
      <c r="A93" t="s">
        <v>226</v>
      </c>
      <c r="B93">
        <v>-0.88500000000000001</v>
      </c>
      <c r="C93">
        <v>1.194</v>
      </c>
    </row>
    <row r="94" spans="1:3" x14ac:dyDescent="0.45">
      <c r="A94" t="s">
        <v>227</v>
      </c>
      <c r="B94">
        <v>1.018667</v>
      </c>
      <c r="C94">
        <v>2.41</v>
      </c>
    </row>
    <row r="95" spans="1:3" x14ac:dyDescent="0.45">
      <c r="A95" t="s">
        <v>228</v>
      </c>
      <c r="B95">
        <v>1.423333</v>
      </c>
      <c r="C95">
        <v>2.5076670000000001</v>
      </c>
    </row>
    <row r="96" spans="1:3" x14ac:dyDescent="0.45">
      <c r="A96" t="s">
        <v>229</v>
      </c>
      <c r="B96">
        <v>1.6446670000000001</v>
      </c>
      <c r="C96">
        <v>2.5896669999999999</v>
      </c>
    </row>
    <row r="97" spans="1:3" x14ac:dyDescent="0.45">
      <c r="A97" t="s">
        <v>230</v>
      </c>
      <c r="B97">
        <v>1.8233330000000001</v>
      </c>
      <c r="C97">
        <v>2.5760000000000001</v>
      </c>
    </row>
    <row r="98" spans="1:3" x14ac:dyDescent="0.45">
      <c r="A98" t="s">
        <v>231</v>
      </c>
      <c r="B98">
        <v>2.5896669999999999</v>
      </c>
      <c r="C98">
        <v>2.5833330000000001</v>
      </c>
    </row>
    <row r="99" spans="1:3" x14ac:dyDescent="0.45">
      <c r="A99" t="s">
        <v>232</v>
      </c>
      <c r="B99">
        <v>2.7170000000000001</v>
      </c>
      <c r="C99">
        <v>2.7130000000000001</v>
      </c>
    </row>
    <row r="100" spans="1:3" x14ac:dyDescent="0.45">
      <c r="A100" t="s">
        <v>233</v>
      </c>
      <c r="B100">
        <v>3.036667</v>
      </c>
      <c r="C100">
        <v>2.8540000000000001</v>
      </c>
    </row>
    <row r="101" spans="1:3" x14ac:dyDescent="0.45">
      <c r="A101" t="s">
        <v>234</v>
      </c>
      <c r="B101">
        <v>3.5716670000000001</v>
      </c>
      <c r="C101">
        <v>3.0223330000000002</v>
      </c>
    </row>
    <row r="102" spans="1:3" x14ac:dyDescent="0.45">
      <c r="A102" t="s">
        <v>235</v>
      </c>
      <c r="B102">
        <v>3.197333</v>
      </c>
      <c r="C102">
        <v>2.7589999999999999</v>
      </c>
    </row>
    <row r="103" spans="1:3" x14ac:dyDescent="0.45">
      <c r="A103" t="s">
        <v>236</v>
      </c>
      <c r="B103">
        <v>3.140333</v>
      </c>
      <c r="C103">
        <v>2.8093330000000001</v>
      </c>
    </row>
    <row r="104" spans="1:3" x14ac:dyDescent="0.45">
      <c r="A104" t="s">
        <v>237</v>
      </c>
      <c r="B104">
        <v>2.9446669999999999</v>
      </c>
      <c r="C104">
        <v>2.7563330000000001</v>
      </c>
    </row>
    <row r="105" spans="1:3" x14ac:dyDescent="0.45">
      <c r="A105" t="s">
        <v>238</v>
      </c>
      <c r="B105">
        <v>2.697667</v>
      </c>
      <c r="C105">
        <v>2.5856669999999999</v>
      </c>
    </row>
    <row r="106" spans="1:3" x14ac:dyDescent="0.45">
      <c r="A106" t="s">
        <v>239</v>
      </c>
      <c r="B106">
        <v>2.3256670000000002</v>
      </c>
      <c r="C106">
        <v>2.951333</v>
      </c>
    </row>
    <row r="107" spans="1:3" x14ac:dyDescent="0.45">
      <c r="A107" t="s">
        <v>240</v>
      </c>
      <c r="B107">
        <v>2.269333</v>
      </c>
      <c r="C107">
        <v>3.0713330000000001</v>
      </c>
    </row>
    <row r="108" spans="1:3" x14ac:dyDescent="0.45">
      <c r="A108" t="s">
        <v>241</v>
      </c>
      <c r="B108">
        <v>2.161667</v>
      </c>
      <c r="C108">
        <v>3.2349999999999999</v>
      </c>
    </row>
    <row r="109" spans="1:3" x14ac:dyDescent="0.45">
      <c r="A109" t="s">
        <v>242</v>
      </c>
      <c r="B109">
        <v>2.3253330000000001</v>
      </c>
      <c r="C109">
        <v>3.363</v>
      </c>
    </row>
    <row r="110" spans="1:3" x14ac:dyDescent="0.45">
      <c r="A110" t="s">
        <v>243</v>
      </c>
      <c r="B110">
        <v>3.3420000000000001</v>
      </c>
      <c r="C110">
        <v>2.6373329999999999</v>
      </c>
    </row>
    <row r="111" spans="1:3" x14ac:dyDescent="0.45">
      <c r="A111" t="s">
        <v>244</v>
      </c>
      <c r="B111">
        <v>3.3333330000000001</v>
      </c>
      <c r="C111">
        <v>2.6333329999999999</v>
      </c>
    </row>
    <row r="112" spans="1:3" x14ac:dyDescent="0.45">
      <c r="A112" t="s">
        <v>245</v>
      </c>
      <c r="B112">
        <v>3.459667</v>
      </c>
      <c r="C112">
        <v>2.5513330000000001</v>
      </c>
    </row>
    <row r="113" spans="1:3" x14ac:dyDescent="0.45">
      <c r="A113" t="s">
        <v>246</v>
      </c>
      <c r="B113">
        <v>3.5156670000000001</v>
      </c>
      <c r="C113">
        <v>2.5493329999999998</v>
      </c>
    </row>
    <row r="114" spans="1:3" x14ac:dyDescent="0.45">
      <c r="A114" t="s">
        <v>247</v>
      </c>
      <c r="B114">
        <v>2.330333</v>
      </c>
      <c r="C114">
        <v>1.9550000000000001</v>
      </c>
    </row>
    <row r="115" spans="1:3" x14ac:dyDescent="0.45">
      <c r="A115" t="s">
        <v>248</v>
      </c>
      <c r="B115">
        <v>2.2376670000000001</v>
      </c>
      <c r="C115">
        <v>1.834333</v>
      </c>
    </row>
    <row r="116" spans="1:3" x14ac:dyDescent="0.45">
      <c r="A116" t="s">
        <v>249</v>
      </c>
      <c r="B116">
        <v>2.1783329999999999</v>
      </c>
      <c r="C116">
        <v>1.383667</v>
      </c>
    </row>
    <row r="117" spans="1:3" x14ac:dyDescent="0.45">
      <c r="A117" t="s">
        <v>250</v>
      </c>
      <c r="B117">
        <v>2.6259999999999999</v>
      </c>
      <c r="C117">
        <v>0.80200000000000005</v>
      </c>
    </row>
    <row r="118" spans="1:3" x14ac:dyDescent="0.45">
      <c r="A118" t="s">
        <v>251</v>
      </c>
      <c r="B118">
        <v>0.53466670000000005</v>
      </c>
      <c r="C118">
        <v>1.833</v>
      </c>
    </row>
    <row r="119" spans="1:3" x14ac:dyDescent="0.45">
      <c r="A119" t="s">
        <v>252</v>
      </c>
      <c r="B119">
        <v>0.753</v>
      </c>
      <c r="C119">
        <v>2.064333</v>
      </c>
    </row>
    <row r="120" spans="1:3" x14ac:dyDescent="0.45">
      <c r="A120" t="s">
        <v>253</v>
      </c>
      <c r="B120">
        <v>1.187667</v>
      </c>
      <c r="C120">
        <v>2.431667</v>
      </c>
    </row>
    <row r="121" spans="1:3" x14ac:dyDescent="0.45">
      <c r="A121" t="s">
        <v>254</v>
      </c>
      <c r="B121">
        <v>1.726667</v>
      </c>
      <c r="C121">
        <v>2.9049999999999998</v>
      </c>
    </row>
    <row r="122" spans="1:3" x14ac:dyDescent="0.45">
      <c r="A122" t="s">
        <v>255</v>
      </c>
      <c r="B122">
        <v>3.1253329999999999</v>
      </c>
      <c r="C122">
        <v>2.6596669999999998</v>
      </c>
    </row>
    <row r="123" spans="1:3" x14ac:dyDescent="0.45">
      <c r="A123" t="s">
        <v>256</v>
      </c>
      <c r="B123">
        <v>3.113</v>
      </c>
      <c r="C123">
        <v>2.6286670000000001</v>
      </c>
    </row>
    <row r="124" spans="1:3" x14ac:dyDescent="0.45">
      <c r="A124" t="s">
        <v>257</v>
      </c>
      <c r="B124">
        <v>3.0116670000000001</v>
      </c>
      <c r="C124">
        <v>2.6589999999999998</v>
      </c>
    </row>
    <row r="125" spans="1:3" x14ac:dyDescent="0.45">
      <c r="A125" t="s">
        <v>258</v>
      </c>
      <c r="B125">
        <v>3.004</v>
      </c>
      <c r="C125">
        <v>2.7029999999999998</v>
      </c>
    </row>
    <row r="126" spans="1:3" x14ac:dyDescent="0.45">
      <c r="A126" t="s">
        <v>259</v>
      </c>
      <c r="B126">
        <v>2.573</v>
      </c>
      <c r="C126">
        <v>2.68</v>
      </c>
    </row>
    <row r="127" spans="1:3" x14ac:dyDescent="0.45">
      <c r="A127" t="s">
        <v>260</v>
      </c>
      <c r="B127">
        <v>2.314333</v>
      </c>
      <c r="C127">
        <v>2.6673330000000002</v>
      </c>
    </row>
    <row r="128" spans="1:3" x14ac:dyDescent="0.45">
      <c r="A128" t="s">
        <v>261</v>
      </c>
      <c r="B128">
        <v>2.1473330000000002</v>
      </c>
      <c r="C128">
        <v>2.661667</v>
      </c>
    </row>
    <row r="129" spans="1:3" x14ac:dyDescent="0.45">
      <c r="A129" t="s">
        <v>262</v>
      </c>
      <c r="B129">
        <v>2.1716669999999998</v>
      </c>
      <c r="C129">
        <v>2.0343330000000002</v>
      </c>
    </row>
    <row r="130" spans="1:3" x14ac:dyDescent="0.45">
      <c r="A130" t="s">
        <v>263</v>
      </c>
      <c r="B130">
        <v>1.994</v>
      </c>
      <c r="C130">
        <v>2.8256670000000002</v>
      </c>
    </row>
    <row r="131" spans="1:3" x14ac:dyDescent="0.45">
      <c r="A131" t="s">
        <v>264</v>
      </c>
      <c r="B131">
        <v>1.870333</v>
      </c>
      <c r="C131">
        <v>2.8253330000000001</v>
      </c>
    </row>
    <row r="132" spans="1:3" x14ac:dyDescent="0.45">
      <c r="A132" t="s">
        <v>265</v>
      </c>
      <c r="B132">
        <v>1.6886669999999999</v>
      </c>
      <c r="C132">
        <v>2.717333</v>
      </c>
    </row>
    <row r="133" spans="1:3" x14ac:dyDescent="0.45">
      <c r="A133" t="s">
        <v>266</v>
      </c>
      <c r="B133">
        <v>1.5556669999999999</v>
      </c>
      <c r="C133">
        <v>2.4323329999999999</v>
      </c>
    </row>
    <row r="134" spans="1:3" x14ac:dyDescent="0.45">
      <c r="A134" t="s">
        <v>267</v>
      </c>
      <c r="B134">
        <v>2.1826669999999999</v>
      </c>
      <c r="C134">
        <v>2.5230000000000001</v>
      </c>
    </row>
    <row r="135" spans="1:3" x14ac:dyDescent="0.45">
      <c r="A135" t="s">
        <v>268</v>
      </c>
      <c r="B135">
        <v>1.9126669999999999</v>
      </c>
      <c r="C135">
        <v>2.427333</v>
      </c>
    </row>
    <row r="136" spans="1:3" x14ac:dyDescent="0.45">
      <c r="A136" t="s">
        <v>269</v>
      </c>
      <c r="B136">
        <v>1.8009999999999999</v>
      </c>
      <c r="C136">
        <v>2.5103330000000001</v>
      </c>
    </row>
    <row r="137" spans="1:3" x14ac:dyDescent="0.45">
      <c r="A137" t="s">
        <v>270</v>
      </c>
      <c r="B137">
        <v>1.997333</v>
      </c>
      <c r="C137">
        <v>2.6206670000000001</v>
      </c>
    </row>
    <row r="138" spans="1:3" x14ac:dyDescent="0.45">
      <c r="A138" t="s">
        <v>271</v>
      </c>
      <c r="B138">
        <v>2.8940000000000001</v>
      </c>
      <c r="C138">
        <v>2.6150000000000002</v>
      </c>
    </row>
    <row r="139" spans="1:3" x14ac:dyDescent="0.45">
      <c r="A139" t="s">
        <v>272</v>
      </c>
      <c r="B139">
        <v>3.0750000000000002</v>
      </c>
      <c r="C139">
        <v>2.6480000000000001</v>
      </c>
    </row>
    <row r="140" spans="1:3" x14ac:dyDescent="0.45">
      <c r="A140" t="s">
        <v>273</v>
      </c>
      <c r="B140">
        <v>3.2743329999999999</v>
      </c>
      <c r="C140">
        <v>2.6419999999999999</v>
      </c>
    </row>
    <row r="141" spans="1:3" x14ac:dyDescent="0.45">
      <c r="A141" t="s">
        <v>274</v>
      </c>
      <c r="B141">
        <v>3.2423329999999999</v>
      </c>
      <c r="C141">
        <v>2.568667</v>
      </c>
    </row>
    <row r="142" spans="1:3" x14ac:dyDescent="0.45">
      <c r="A142" t="s">
        <v>275</v>
      </c>
      <c r="B142">
        <v>2.5299999999999998</v>
      </c>
      <c r="C142">
        <v>2.3439999999999999</v>
      </c>
    </row>
    <row r="143" spans="1:3" x14ac:dyDescent="0.45">
      <c r="A143" t="s">
        <v>276</v>
      </c>
      <c r="B143">
        <v>2.4860000000000002</v>
      </c>
      <c r="C143">
        <v>2.3130000000000002</v>
      </c>
    </row>
    <row r="144" spans="1:3" x14ac:dyDescent="0.45">
      <c r="A144" t="s">
        <v>277</v>
      </c>
      <c r="B144">
        <v>2.0680000000000001</v>
      </c>
      <c r="C144">
        <v>2.2149999999999999</v>
      </c>
    </row>
    <row r="145" spans="1:3" x14ac:dyDescent="0.45">
      <c r="A145" t="s">
        <v>278</v>
      </c>
      <c r="B145">
        <v>1.756</v>
      </c>
      <c r="C145">
        <v>2.1636669999999998</v>
      </c>
    </row>
    <row r="146" spans="1:3" x14ac:dyDescent="0.45">
      <c r="A146" t="s">
        <v>279</v>
      </c>
      <c r="B146">
        <v>2.1646670000000001</v>
      </c>
      <c r="C146">
        <v>2.4260000000000002</v>
      </c>
    </row>
    <row r="147" spans="1:3" x14ac:dyDescent="0.45">
      <c r="A147" t="s">
        <v>280</v>
      </c>
      <c r="B147">
        <v>2.2736670000000001</v>
      </c>
      <c r="C147">
        <v>2.4860000000000002</v>
      </c>
    </row>
    <row r="148" spans="1:3" x14ac:dyDescent="0.45">
      <c r="A148" t="s">
        <v>281</v>
      </c>
      <c r="B148">
        <v>2.5103330000000001</v>
      </c>
      <c r="C148">
        <v>2.4173330000000002</v>
      </c>
    </row>
    <row r="149" spans="1:3" x14ac:dyDescent="0.45">
      <c r="A149" t="s">
        <v>282</v>
      </c>
      <c r="B149">
        <v>2.5739999999999998</v>
      </c>
      <c r="C149">
        <v>2.3963329999999998</v>
      </c>
    </row>
    <row r="150" spans="1:3" x14ac:dyDescent="0.45">
      <c r="A150" t="s">
        <v>283</v>
      </c>
      <c r="B150">
        <v>2.5423330000000002</v>
      </c>
      <c r="C150">
        <v>2.3696670000000002</v>
      </c>
    </row>
    <row r="151" spans="1:3" x14ac:dyDescent="0.45">
      <c r="A151" t="s">
        <v>284</v>
      </c>
      <c r="B151">
        <v>2.6723330000000001</v>
      </c>
      <c r="C151">
        <v>2.3083330000000002</v>
      </c>
    </row>
    <row r="152" spans="1:3" x14ac:dyDescent="0.45">
      <c r="A152" t="s">
        <v>285</v>
      </c>
      <c r="B152">
        <v>2.810333</v>
      </c>
      <c r="C152">
        <v>2.1986669999999999</v>
      </c>
    </row>
    <row r="153" spans="1:3" x14ac:dyDescent="0.45">
      <c r="A153" t="s">
        <v>286</v>
      </c>
      <c r="B153">
        <v>3.0146670000000002</v>
      </c>
      <c r="C153">
        <v>1.9383330000000001</v>
      </c>
    </row>
    <row r="154" spans="1:3" x14ac:dyDescent="0.45">
      <c r="A154" t="s">
        <v>287</v>
      </c>
      <c r="B154">
        <v>1.746667</v>
      </c>
      <c r="C154">
        <v>1.975333</v>
      </c>
    </row>
    <row r="155" spans="1:3" x14ac:dyDescent="0.45">
      <c r="A155" t="s">
        <v>288</v>
      </c>
      <c r="B155">
        <v>1.6539999999999999</v>
      </c>
      <c r="C155">
        <v>1.524667</v>
      </c>
    </row>
    <row r="156" spans="1:3" x14ac:dyDescent="0.45">
      <c r="A156" t="s">
        <v>289</v>
      </c>
      <c r="B156">
        <v>1.3939999999999999</v>
      </c>
      <c r="C156">
        <v>0.79766669999999995</v>
      </c>
    </row>
    <row r="157" spans="1:3" x14ac:dyDescent="0.45">
      <c r="A157" t="s">
        <v>290</v>
      </c>
      <c r="B157">
        <v>0.90766670000000005</v>
      </c>
      <c r="C157">
        <v>-0.86133329999999997</v>
      </c>
    </row>
    <row r="158" spans="1:3" x14ac:dyDescent="0.45">
      <c r="A158" t="s">
        <v>291</v>
      </c>
      <c r="B158">
        <v>-2.6240000000000001</v>
      </c>
      <c r="C158">
        <v>0.55766669999999996</v>
      </c>
    </row>
    <row r="159" spans="1:3" x14ac:dyDescent="0.45">
      <c r="A159" t="s">
        <v>292</v>
      </c>
      <c r="B159">
        <v>-3.609</v>
      </c>
      <c r="C159">
        <v>0.44700000000000001</v>
      </c>
    </row>
    <row r="160" spans="1:3" x14ac:dyDescent="0.45">
      <c r="A160" t="s">
        <v>293</v>
      </c>
      <c r="B160">
        <v>-4.2036670000000003</v>
      </c>
      <c r="C160">
        <v>0.95766669999999998</v>
      </c>
    </row>
    <row r="161" spans="1:3" x14ac:dyDescent="0.45">
      <c r="A161" t="s">
        <v>294</v>
      </c>
      <c r="B161">
        <v>-4.4619999999999997</v>
      </c>
      <c r="C161">
        <v>1.298</v>
      </c>
    </row>
    <row r="162" spans="1:3" x14ac:dyDescent="0.45">
      <c r="A162" t="s">
        <v>295</v>
      </c>
      <c r="B162">
        <v>1.421667</v>
      </c>
      <c r="C162">
        <v>2.2153330000000002</v>
      </c>
    </row>
    <row r="163" spans="1:3" x14ac:dyDescent="0.45">
      <c r="A163" t="s">
        <v>296</v>
      </c>
      <c r="B163">
        <v>1.2829999999999999</v>
      </c>
      <c r="C163">
        <v>2.2629999999999999</v>
      </c>
    </row>
    <row r="164" spans="1:3" x14ac:dyDescent="0.45">
      <c r="A164" t="s">
        <v>297</v>
      </c>
      <c r="B164">
        <v>1.4246669999999999</v>
      </c>
      <c r="C164">
        <v>2.072667</v>
      </c>
    </row>
    <row r="165" spans="1:3" x14ac:dyDescent="0.45">
      <c r="A165" t="s">
        <v>298</v>
      </c>
      <c r="B165">
        <v>1.667667</v>
      </c>
      <c r="C165">
        <v>1.9696670000000001</v>
      </c>
    </row>
    <row r="166" spans="1:3" x14ac:dyDescent="0.45">
      <c r="A166" t="s">
        <v>299</v>
      </c>
      <c r="B166">
        <v>1.9343330000000001</v>
      </c>
      <c r="C166">
        <v>2.1493329999999999</v>
      </c>
    </row>
    <row r="167" spans="1:3" x14ac:dyDescent="0.45">
      <c r="A167" t="s">
        <v>300</v>
      </c>
      <c r="B167">
        <v>1.6919999999999999</v>
      </c>
      <c r="C167">
        <v>2.1709999999999998</v>
      </c>
    </row>
    <row r="168" spans="1:3" x14ac:dyDescent="0.45">
      <c r="A168" t="s">
        <v>301</v>
      </c>
      <c r="B168">
        <v>1.321</v>
      </c>
      <c r="C168">
        <v>1.9703329999999999</v>
      </c>
    </row>
    <row r="169" spans="1:3" x14ac:dyDescent="0.45">
      <c r="A169" t="s">
        <v>302</v>
      </c>
      <c r="B169">
        <v>0.96033329999999995</v>
      </c>
      <c r="C169">
        <v>1.078667</v>
      </c>
    </row>
    <row r="170" spans="1:3" x14ac:dyDescent="0.45">
      <c r="A170" t="s">
        <v>303</v>
      </c>
      <c r="B170">
        <v>0.53033330000000001</v>
      </c>
      <c r="C170">
        <v>1.778</v>
      </c>
    </row>
    <row r="171" spans="1:3" x14ac:dyDescent="0.45">
      <c r="A171" t="s">
        <v>304</v>
      </c>
      <c r="B171">
        <v>0.48199999999999998</v>
      </c>
      <c r="C171">
        <v>1.7896669999999999</v>
      </c>
    </row>
    <row r="172" spans="1:3" x14ac:dyDescent="0.45">
      <c r="A172" t="s">
        <v>305</v>
      </c>
      <c r="B172">
        <v>-9.5000000000000001E-2</v>
      </c>
      <c r="C172">
        <v>1.405</v>
      </c>
    </row>
    <row r="173" spans="1:3" x14ac:dyDescent="0.45">
      <c r="A173" t="s">
        <v>306</v>
      </c>
      <c r="B173">
        <v>-0.15366669999999999</v>
      </c>
      <c r="C173">
        <v>1.175</v>
      </c>
    </row>
    <row r="174" spans="1:3" x14ac:dyDescent="0.45">
      <c r="A174" t="s">
        <v>307</v>
      </c>
      <c r="B174">
        <v>0.93266669999999996</v>
      </c>
      <c r="C174">
        <v>1.6643330000000001</v>
      </c>
    </row>
    <row r="175" spans="1:3" x14ac:dyDescent="0.45">
      <c r="A175" t="s">
        <v>308</v>
      </c>
      <c r="B175">
        <v>0.82066669999999997</v>
      </c>
      <c r="C175">
        <v>1.619</v>
      </c>
    </row>
    <row r="176" spans="1:3" x14ac:dyDescent="0.45">
      <c r="A176" t="s">
        <v>309</v>
      </c>
      <c r="B176">
        <v>1.157</v>
      </c>
      <c r="C176">
        <v>1.917333</v>
      </c>
    </row>
    <row r="177" spans="1:3" x14ac:dyDescent="0.45">
      <c r="A177" t="s">
        <v>310</v>
      </c>
      <c r="B177">
        <v>1.389</v>
      </c>
      <c r="C177">
        <v>2.3616670000000002</v>
      </c>
    </row>
    <row r="178" spans="1:3" x14ac:dyDescent="0.45">
      <c r="A178" t="s">
        <v>311</v>
      </c>
      <c r="B178">
        <v>2.669333</v>
      </c>
      <c r="C178">
        <v>2.4220000000000002</v>
      </c>
    </row>
    <row r="179" spans="1:3" x14ac:dyDescent="0.45">
      <c r="A179" t="s">
        <v>312</v>
      </c>
      <c r="B179">
        <v>2.8809999999999998</v>
      </c>
      <c r="C179">
        <v>2.4990000000000001</v>
      </c>
    </row>
    <row r="180" spans="1:3" x14ac:dyDescent="0.45">
      <c r="A180" t="s">
        <v>313</v>
      </c>
      <c r="B180">
        <v>3.0619999999999998</v>
      </c>
      <c r="C180">
        <v>2.601667</v>
      </c>
    </row>
    <row r="181" spans="1:3" x14ac:dyDescent="0.45">
      <c r="A181" t="s">
        <v>314</v>
      </c>
      <c r="B181">
        <v>3.020667</v>
      </c>
      <c r="C181">
        <v>2.5979999999999999</v>
      </c>
    </row>
    <row r="182" spans="1:3" x14ac:dyDescent="0.45">
      <c r="A182" t="s">
        <v>315</v>
      </c>
      <c r="B182">
        <v>2.6523330000000001</v>
      </c>
      <c r="C182">
        <v>2.4603329999999999</v>
      </c>
    </row>
    <row r="183" spans="1:3" x14ac:dyDescent="0.45">
      <c r="A183" t="s">
        <v>316</v>
      </c>
      <c r="B183">
        <v>2.5099999999999998</v>
      </c>
      <c r="C183">
        <v>2.4783330000000001</v>
      </c>
    </row>
    <row r="184" spans="1:3" x14ac:dyDescent="0.45">
      <c r="A184" t="s">
        <v>317</v>
      </c>
      <c r="B184">
        <v>2.5630000000000002</v>
      </c>
      <c r="C184">
        <v>2.467333</v>
      </c>
    </row>
    <row r="185" spans="1:3" x14ac:dyDescent="0.45">
      <c r="A185" t="s">
        <v>318</v>
      </c>
      <c r="B185">
        <v>2.4743330000000001</v>
      </c>
      <c r="C185">
        <v>2.3653330000000001</v>
      </c>
    </row>
    <row r="186" spans="1:3" x14ac:dyDescent="0.45">
      <c r="A186" t="s">
        <v>319</v>
      </c>
      <c r="B186">
        <v>2.1503329999999998</v>
      </c>
      <c r="C186">
        <v>2.2450000000000001</v>
      </c>
    </row>
    <row r="187" spans="1:3" x14ac:dyDescent="0.45">
      <c r="A187" t="s">
        <v>320</v>
      </c>
      <c r="B187">
        <v>1.93</v>
      </c>
      <c r="C187">
        <v>2.161667</v>
      </c>
    </row>
    <row r="188" spans="1:3" x14ac:dyDescent="0.45">
      <c r="A188" t="s">
        <v>321</v>
      </c>
      <c r="B188">
        <v>1.6493329999999999</v>
      </c>
      <c r="C188">
        <v>0.64066670000000003</v>
      </c>
    </row>
    <row r="189" spans="1:3" x14ac:dyDescent="0.45">
      <c r="A189" t="s">
        <v>322</v>
      </c>
      <c r="B189">
        <v>1.9856670000000001</v>
      </c>
      <c r="C189">
        <v>1.1040000000000001</v>
      </c>
    </row>
    <row r="190" spans="1:3" x14ac:dyDescent="0.45">
      <c r="A190" t="s">
        <v>323</v>
      </c>
      <c r="B190">
        <v>1.503333</v>
      </c>
      <c r="C190">
        <v>1.351</v>
      </c>
    </row>
    <row r="191" spans="1:3" x14ac:dyDescent="0.45">
      <c r="A191" t="s">
        <v>324</v>
      </c>
      <c r="B191">
        <v>1.681333</v>
      </c>
      <c r="C191">
        <v>1.3773329999999999</v>
      </c>
    </row>
    <row r="192" spans="1:3" x14ac:dyDescent="0.45">
      <c r="A192" t="s">
        <v>325</v>
      </c>
      <c r="B192">
        <v>1.5940000000000001</v>
      </c>
      <c r="C192">
        <v>1.403667</v>
      </c>
    </row>
    <row r="193" spans="1:3" x14ac:dyDescent="0.45">
      <c r="A193" t="s">
        <v>326</v>
      </c>
      <c r="B193">
        <v>1.5580000000000001</v>
      </c>
      <c r="C193">
        <v>1.4419999999999999</v>
      </c>
    </row>
    <row r="194" spans="1:3" x14ac:dyDescent="0.45">
      <c r="A194" t="s">
        <v>327</v>
      </c>
      <c r="B194">
        <v>1.506</v>
      </c>
      <c r="C194">
        <v>1.4883329999999999</v>
      </c>
    </row>
    <row r="195" spans="1:3" x14ac:dyDescent="0.45">
      <c r="A195" t="s">
        <v>328</v>
      </c>
      <c r="B195">
        <v>1.425</v>
      </c>
      <c r="C195">
        <v>1.5083329999999999</v>
      </c>
    </row>
    <row r="196" spans="1:3" x14ac:dyDescent="0.45">
      <c r="A196" t="s">
        <v>329</v>
      </c>
      <c r="B196">
        <v>1.314333</v>
      </c>
      <c r="C196">
        <v>1.455333</v>
      </c>
    </row>
    <row r="197" spans="1:3" x14ac:dyDescent="0.45">
      <c r="A197" t="s">
        <v>330</v>
      </c>
      <c r="B197">
        <v>1.294</v>
      </c>
      <c r="C197">
        <v>1.51</v>
      </c>
    </row>
    <row r="198" spans="1:3" x14ac:dyDescent="0.45">
      <c r="A198" t="s">
        <v>331</v>
      </c>
      <c r="B198">
        <v>1.385</v>
      </c>
      <c r="C198">
        <v>1.532667</v>
      </c>
    </row>
    <row r="199" spans="1:3" x14ac:dyDescent="0.45">
      <c r="A199" t="s">
        <v>332</v>
      </c>
      <c r="B199">
        <v>1.331</v>
      </c>
      <c r="C199">
        <v>1.419</v>
      </c>
    </row>
    <row r="200" spans="1:3" x14ac:dyDescent="0.45">
      <c r="A200" t="s">
        <v>333</v>
      </c>
      <c r="B200">
        <v>1.2443329999999999</v>
      </c>
      <c r="C200">
        <v>1.194</v>
      </c>
    </row>
    <row r="201" spans="1:3" x14ac:dyDescent="0.45">
      <c r="A201" t="s">
        <v>334</v>
      </c>
      <c r="B201">
        <v>1.2756670000000001</v>
      </c>
      <c r="C201">
        <v>1.0876669999999999</v>
      </c>
    </row>
    <row r="202" spans="1:3" x14ac:dyDescent="0.45">
      <c r="A202" t="s">
        <v>335</v>
      </c>
      <c r="B202">
        <v>1.010667</v>
      </c>
      <c r="C202">
        <v>1.398333</v>
      </c>
    </row>
    <row r="203" spans="1:3" x14ac:dyDescent="0.45">
      <c r="A203" t="s">
        <v>336</v>
      </c>
      <c r="B203">
        <v>-7.4226669999999997</v>
      </c>
      <c r="C203">
        <v>5.6013330000000003</v>
      </c>
    </row>
    <row r="204" spans="1:3" x14ac:dyDescent="0.45">
      <c r="A204" t="s">
        <v>337</v>
      </c>
      <c r="B204">
        <v>-9.7446669999999997</v>
      </c>
      <c r="C204">
        <v>6.2453329999999996</v>
      </c>
    </row>
    <row r="205" spans="1:3" x14ac:dyDescent="0.45">
      <c r="A205" t="s">
        <v>338</v>
      </c>
      <c r="B205">
        <v>-10.73</v>
      </c>
      <c r="C205">
        <v>5.2026669999999999</v>
      </c>
    </row>
    <row r="206" spans="1:3" x14ac:dyDescent="0.45">
      <c r="A206" t="s">
        <v>339</v>
      </c>
      <c r="B206">
        <v>4.3476670000000004</v>
      </c>
      <c r="C206">
        <v>5.7206669999999997</v>
      </c>
    </row>
    <row r="207" spans="1:3" x14ac:dyDescent="0.45">
      <c r="A207" t="s">
        <v>340</v>
      </c>
      <c r="B207">
        <v>6.0083330000000004</v>
      </c>
      <c r="C207">
        <v>5.4326670000000004</v>
      </c>
    </row>
    <row r="208" spans="1:3" x14ac:dyDescent="0.45">
      <c r="A208" t="s">
        <v>341</v>
      </c>
      <c r="B208">
        <v>6.7886670000000002</v>
      </c>
      <c r="C208">
        <v>5.375</v>
      </c>
    </row>
    <row r="209" spans="1:3" x14ac:dyDescent="0.45">
      <c r="A209" t="s">
        <v>342</v>
      </c>
      <c r="B209">
        <v>6.9456670000000003</v>
      </c>
      <c r="C209">
        <v>4.8463339999999997</v>
      </c>
    </row>
    <row r="210" spans="1:3" x14ac:dyDescent="0.45">
      <c r="A210" t="s">
        <v>343</v>
      </c>
      <c r="B210">
        <v>4.1719999999999997</v>
      </c>
      <c r="C210">
        <v>1.925667</v>
      </c>
    </row>
    <row r="211" spans="1:3" x14ac:dyDescent="0.45">
      <c r="A211" t="s">
        <v>344</v>
      </c>
      <c r="B211">
        <v>3.737333</v>
      </c>
      <c r="C211">
        <v>1.066667</v>
      </c>
    </row>
    <row r="212" spans="1:3" x14ac:dyDescent="0.45">
      <c r="A212" t="s">
        <v>345</v>
      </c>
      <c r="B212">
        <v>3.351667</v>
      </c>
      <c r="C212">
        <v>0.122</v>
      </c>
    </row>
    <row r="213" spans="1:3" x14ac:dyDescent="0.45">
      <c r="A213" t="s">
        <v>346</v>
      </c>
      <c r="B213">
        <v>4.249333</v>
      </c>
      <c r="C213">
        <v>-0.7296667</v>
      </c>
    </row>
    <row r="214" spans="1:3" x14ac:dyDescent="0.45">
      <c r="A214" t="s">
        <v>347</v>
      </c>
    </row>
    <row r="215" spans="1:3" x14ac:dyDescent="0.45">
      <c r="A215" t="s">
        <v>348</v>
      </c>
    </row>
    <row r="216" spans="1:3" x14ac:dyDescent="0.45">
      <c r="A216" t="s">
        <v>349</v>
      </c>
    </row>
    <row r="217" spans="1:3" x14ac:dyDescent="0.45">
      <c r="A217" t="s">
        <v>350</v>
      </c>
    </row>
    <row r="218" spans="1:3" x14ac:dyDescent="0.45">
      <c r="A218" t="s">
        <v>351</v>
      </c>
    </row>
    <row r="219" spans="1:3" x14ac:dyDescent="0.45">
      <c r="A219" t="s">
        <v>352</v>
      </c>
    </row>
    <row r="220" spans="1:3" x14ac:dyDescent="0.45">
      <c r="A220" t="s">
        <v>353</v>
      </c>
    </row>
    <row r="221" spans="1:3" x14ac:dyDescent="0.45">
      <c r="A221" t="s">
        <v>354</v>
      </c>
    </row>
    <row r="222" spans="1:3" x14ac:dyDescent="0.45">
      <c r="A222" t="s">
        <v>355</v>
      </c>
    </row>
    <row r="223" spans="1:3" x14ac:dyDescent="0.45">
      <c r="A223" t="s">
        <v>356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3620-4EEB-4468-8E23-EF6FD1CE3C5A}">
  <sheetPr>
    <tabColor theme="9" tint="0.79998168889431442"/>
  </sheetPr>
  <dimension ref="A1:C223"/>
  <sheetViews>
    <sheetView workbookViewId="0">
      <pane xSplit="1" ySplit="3" topLeftCell="B63" activePane="bottomRight" state="frozen"/>
      <selection pane="topRight" activeCell="B114" sqref="B114"/>
      <selection pane="bottomLeft" activeCell="B114" sqref="B114"/>
      <selection pane="bottomRight" activeCell="B114" sqref="B114"/>
    </sheetView>
  </sheetViews>
  <sheetFormatPr defaultRowHeight="14.25" x14ac:dyDescent="0.45"/>
  <cols>
    <col min="6" max="6" width="19.73046875" bestFit="1" customWidth="1"/>
  </cols>
  <sheetData>
    <row r="1" spans="1:3" x14ac:dyDescent="0.45">
      <c r="B1" t="s">
        <v>387</v>
      </c>
      <c r="C1" t="s">
        <v>388</v>
      </c>
    </row>
    <row r="2" spans="1:3" x14ac:dyDescent="0.45">
      <c r="A2" t="s">
        <v>135</v>
      </c>
    </row>
    <row r="3" spans="1:3" x14ac:dyDescent="0.45">
      <c r="A3" t="s">
        <v>136</v>
      </c>
    </row>
    <row r="4" spans="1:3" x14ac:dyDescent="0.45">
      <c r="A4" t="s">
        <v>137</v>
      </c>
    </row>
    <row r="5" spans="1:3" x14ac:dyDescent="0.45">
      <c r="A5" t="s">
        <v>138</v>
      </c>
    </row>
    <row r="6" spans="1:3" x14ac:dyDescent="0.45">
      <c r="A6" t="s">
        <v>139</v>
      </c>
    </row>
    <row r="7" spans="1:3" x14ac:dyDescent="0.45">
      <c r="A7" t="s">
        <v>140</v>
      </c>
    </row>
    <row r="8" spans="1:3" x14ac:dyDescent="0.45">
      <c r="A8" t="s">
        <v>141</v>
      </c>
    </row>
    <row r="9" spans="1:3" x14ac:dyDescent="0.45">
      <c r="A9" t="s">
        <v>142</v>
      </c>
    </row>
    <row r="10" spans="1:3" x14ac:dyDescent="0.45">
      <c r="A10" t="s">
        <v>143</v>
      </c>
    </row>
    <row r="11" spans="1:3" x14ac:dyDescent="0.45">
      <c r="A11" t="s">
        <v>144</v>
      </c>
    </row>
    <row r="12" spans="1:3" x14ac:dyDescent="0.45">
      <c r="A12" t="s">
        <v>145</v>
      </c>
    </row>
    <row r="13" spans="1:3" x14ac:dyDescent="0.45">
      <c r="A13" t="s">
        <v>146</v>
      </c>
    </row>
    <row r="14" spans="1:3" x14ac:dyDescent="0.45">
      <c r="A14" t="s">
        <v>147</v>
      </c>
    </row>
    <row r="15" spans="1:3" x14ac:dyDescent="0.45">
      <c r="A15" t="s">
        <v>148</v>
      </c>
    </row>
    <row r="16" spans="1:3" x14ac:dyDescent="0.45">
      <c r="A16" t="s">
        <v>149</v>
      </c>
    </row>
    <row r="17" spans="1:1" x14ac:dyDescent="0.45">
      <c r="A17" t="s">
        <v>150</v>
      </c>
    </row>
    <row r="18" spans="1:1" x14ac:dyDescent="0.45">
      <c r="A18" t="s">
        <v>151</v>
      </c>
    </row>
    <row r="19" spans="1:1" x14ac:dyDescent="0.45">
      <c r="A19" t="s">
        <v>152</v>
      </c>
    </row>
    <row r="20" spans="1:1" x14ac:dyDescent="0.45">
      <c r="A20" t="s">
        <v>153</v>
      </c>
    </row>
    <row r="21" spans="1:1" x14ac:dyDescent="0.45">
      <c r="A21" t="s">
        <v>154</v>
      </c>
    </row>
    <row r="22" spans="1:1" x14ac:dyDescent="0.45">
      <c r="A22" t="s">
        <v>155</v>
      </c>
    </row>
    <row r="23" spans="1:1" x14ac:dyDescent="0.45">
      <c r="A23" t="s">
        <v>156</v>
      </c>
    </row>
    <row r="24" spans="1:1" x14ac:dyDescent="0.45">
      <c r="A24" t="s">
        <v>157</v>
      </c>
    </row>
    <row r="25" spans="1:1" x14ac:dyDescent="0.45">
      <c r="A25" t="s">
        <v>158</v>
      </c>
    </row>
    <row r="26" spans="1:1" x14ac:dyDescent="0.45">
      <c r="A26" t="s">
        <v>159</v>
      </c>
    </row>
    <row r="27" spans="1:1" x14ac:dyDescent="0.45">
      <c r="A27" t="s">
        <v>160</v>
      </c>
    </row>
    <row r="28" spans="1:1" x14ac:dyDescent="0.45">
      <c r="A28" t="s">
        <v>161</v>
      </c>
    </row>
    <row r="29" spans="1:1" x14ac:dyDescent="0.45">
      <c r="A29" t="s">
        <v>162</v>
      </c>
    </row>
    <row r="30" spans="1:1" x14ac:dyDescent="0.45">
      <c r="A30" t="s">
        <v>163</v>
      </c>
    </row>
    <row r="31" spans="1:1" x14ac:dyDescent="0.45">
      <c r="A31" t="s">
        <v>164</v>
      </c>
    </row>
    <row r="32" spans="1:1" x14ac:dyDescent="0.45">
      <c r="A32" t="s">
        <v>165</v>
      </c>
    </row>
    <row r="33" spans="1:1" x14ac:dyDescent="0.45">
      <c r="A33" t="s">
        <v>166</v>
      </c>
    </row>
    <row r="34" spans="1:1" x14ac:dyDescent="0.45">
      <c r="A34" t="s">
        <v>167</v>
      </c>
    </row>
    <row r="35" spans="1:1" x14ac:dyDescent="0.45">
      <c r="A35" t="s">
        <v>168</v>
      </c>
    </row>
    <row r="36" spans="1:1" x14ac:dyDescent="0.45">
      <c r="A36" t="s">
        <v>169</v>
      </c>
    </row>
    <row r="37" spans="1:1" x14ac:dyDescent="0.45">
      <c r="A37" t="s">
        <v>170</v>
      </c>
    </row>
    <row r="38" spans="1:1" x14ac:dyDescent="0.45">
      <c r="A38" t="s">
        <v>171</v>
      </c>
    </row>
    <row r="39" spans="1:1" x14ac:dyDescent="0.45">
      <c r="A39" t="s">
        <v>172</v>
      </c>
    </row>
    <row r="40" spans="1:1" x14ac:dyDescent="0.45">
      <c r="A40" t="s">
        <v>173</v>
      </c>
    </row>
    <row r="41" spans="1:1" x14ac:dyDescent="0.45">
      <c r="A41" t="s">
        <v>174</v>
      </c>
    </row>
    <row r="42" spans="1:1" x14ac:dyDescent="0.45">
      <c r="A42" t="s">
        <v>175</v>
      </c>
    </row>
    <row r="43" spans="1:1" x14ac:dyDescent="0.45">
      <c r="A43" t="s">
        <v>176</v>
      </c>
    </row>
    <row r="44" spans="1:1" x14ac:dyDescent="0.45">
      <c r="A44" t="s">
        <v>177</v>
      </c>
    </row>
    <row r="45" spans="1:1" x14ac:dyDescent="0.45">
      <c r="A45" t="s">
        <v>178</v>
      </c>
    </row>
    <row r="46" spans="1:1" x14ac:dyDescent="0.45">
      <c r="A46" t="s">
        <v>179</v>
      </c>
    </row>
    <row r="47" spans="1:1" x14ac:dyDescent="0.45">
      <c r="A47" t="s">
        <v>180</v>
      </c>
    </row>
    <row r="48" spans="1:1" x14ac:dyDescent="0.45">
      <c r="A48" t="s">
        <v>181</v>
      </c>
    </row>
    <row r="49" spans="1:1" x14ac:dyDescent="0.45">
      <c r="A49" t="s">
        <v>182</v>
      </c>
    </row>
    <row r="50" spans="1:1" x14ac:dyDescent="0.45">
      <c r="A50" t="s">
        <v>183</v>
      </c>
    </row>
    <row r="51" spans="1:1" x14ac:dyDescent="0.45">
      <c r="A51" t="s">
        <v>184</v>
      </c>
    </row>
    <row r="52" spans="1:1" x14ac:dyDescent="0.45">
      <c r="A52" t="s">
        <v>185</v>
      </c>
    </row>
    <row r="53" spans="1:1" x14ac:dyDescent="0.45">
      <c r="A53" t="s">
        <v>186</v>
      </c>
    </row>
    <row r="54" spans="1:1" x14ac:dyDescent="0.45">
      <c r="A54" t="s">
        <v>187</v>
      </c>
    </row>
    <row r="55" spans="1:1" x14ac:dyDescent="0.45">
      <c r="A55" t="s">
        <v>188</v>
      </c>
    </row>
    <row r="56" spans="1:1" x14ac:dyDescent="0.45">
      <c r="A56" t="s">
        <v>189</v>
      </c>
    </row>
    <row r="57" spans="1:1" x14ac:dyDescent="0.45">
      <c r="A57" t="s">
        <v>190</v>
      </c>
    </row>
    <row r="58" spans="1:1" x14ac:dyDescent="0.45">
      <c r="A58" t="s">
        <v>191</v>
      </c>
    </row>
    <row r="59" spans="1:1" x14ac:dyDescent="0.45">
      <c r="A59" t="s">
        <v>192</v>
      </c>
    </row>
    <row r="60" spans="1:1" x14ac:dyDescent="0.45">
      <c r="A60" t="s">
        <v>193</v>
      </c>
    </row>
    <row r="61" spans="1:1" x14ac:dyDescent="0.45">
      <c r="A61" t="s">
        <v>194</v>
      </c>
    </row>
    <row r="62" spans="1:1" x14ac:dyDescent="0.45">
      <c r="A62" t="s">
        <v>195</v>
      </c>
    </row>
    <row r="63" spans="1:1" x14ac:dyDescent="0.45">
      <c r="A63" t="s">
        <v>196</v>
      </c>
    </row>
    <row r="64" spans="1:1" x14ac:dyDescent="0.45">
      <c r="A64" t="s">
        <v>197</v>
      </c>
    </row>
    <row r="65" spans="1:1" x14ac:dyDescent="0.45">
      <c r="A65" t="s">
        <v>198</v>
      </c>
    </row>
    <row r="66" spans="1:1" x14ac:dyDescent="0.45">
      <c r="A66" t="s">
        <v>199</v>
      </c>
    </row>
    <row r="67" spans="1:1" x14ac:dyDescent="0.45">
      <c r="A67" t="s">
        <v>200</v>
      </c>
    </row>
    <row r="68" spans="1:1" x14ac:dyDescent="0.45">
      <c r="A68" t="s">
        <v>201</v>
      </c>
    </row>
    <row r="69" spans="1:1" x14ac:dyDescent="0.45">
      <c r="A69" t="s">
        <v>202</v>
      </c>
    </row>
    <row r="70" spans="1:1" x14ac:dyDescent="0.45">
      <c r="A70" t="s">
        <v>203</v>
      </c>
    </row>
    <row r="71" spans="1:1" x14ac:dyDescent="0.45">
      <c r="A71" t="s">
        <v>204</v>
      </c>
    </row>
    <row r="72" spans="1:1" x14ac:dyDescent="0.45">
      <c r="A72" t="s">
        <v>205</v>
      </c>
    </row>
    <row r="73" spans="1:1" x14ac:dyDescent="0.45">
      <c r="A73" t="s">
        <v>206</v>
      </c>
    </row>
    <row r="74" spans="1:1" x14ac:dyDescent="0.45">
      <c r="A74" t="s">
        <v>207</v>
      </c>
    </row>
    <row r="75" spans="1:1" x14ac:dyDescent="0.45">
      <c r="A75" t="s">
        <v>208</v>
      </c>
    </row>
    <row r="76" spans="1:1" x14ac:dyDescent="0.45">
      <c r="A76" t="s">
        <v>209</v>
      </c>
    </row>
    <row r="77" spans="1:1" x14ac:dyDescent="0.45">
      <c r="A77" t="s">
        <v>210</v>
      </c>
    </row>
    <row r="78" spans="1:1" x14ac:dyDescent="0.45">
      <c r="A78" t="s">
        <v>211</v>
      </c>
    </row>
    <row r="79" spans="1:1" x14ac:dyDescent="0.45">
      <c r="A79" t="s">
        <v>212</v>
      </c>
    </row>
    <row r="80" spans="1:1" x14ac:dyDescent="0.45">
      <c r="A80" t="s">
        <v>213</v>
      </c>
    </row>
    <row r="81" spans="1:3" x14ac:dyDescent="0.45">
      <c r="A81" t="s">
        <v>214</v>
      </c>
      <c r="B81">
        <f>(gdp_growth_forecast_consensus!B81-gdp_growth_forecast_consensus!$G$2)/gdp_growth_forecast_consensus!$G$3</f>
        <v>0.30825658354046154</v>
      </c>
      <c r="C81">
        <f>(gdp_growth_forecast_consensus!C81-gdp_growth_forecast_consensus!$H$2)/gdp_growth_forecast_consensus!$H$3</f>
        <v>-0.63854868711540325</v>
      </c>
    </row>
    <row r="82" spans="1:3" x14ac:dyDescent="0.45">
      <c r="A82" t="s">
        <v>215</v>
      </c>
      <c r="B82">
        <f>(gdp_growth_forecast_consensus!B82-gdp_growth_forecast_consensus!$G$2)/gdp_growth_forecast_consensus!$G$3</f>
        <v>-0.30292903659042741</v>
      </c>
      <c r="C82">
        <f>(gdp_growth_forecast_consensus!C82-gdp_growth_forecast_consensus!$H$2)/gdp_growth_forecast_consensus!$H$3</f>
        <v>4.904917504061522E-2</v>
      </c>
    </row>
    <row r="83" spans="1:3" x14ac:dyDescent="0.45">
      <c r="A83" t="s">
        <v>216</v>
      </c>
      <c r="B83">
        <f>(gdp_growth_forecast_consensus!B83-gdp_growth_forecast_consensus!$G$2)/gdp_growth_forecast_consensus!$G$3</f>
        <v>-0.37753064083932653</v>
      </c>
      <c r="C83">
        <f>(gdp_growth_forecast_consensus!C83-gdp_growth_forecast_consensus!$H$2)/gdp_growth_forecast_consensus!$H$3</f>
        <v>0.44510058591266566</v>
      </c>
    </row>
    <row r="84" spans="1:3" x14ac:dyDescent="0.45">
      <c r="A84" t="s">
        <v>217</v>
      </c>
      <c r="B84">
        <f>(gdp_growth_forecast_consensus!B84-gdp_growth_forecast_consensus!$G$2)/gdp_growth_forecast_consensus!$G$3</f>
        <v>-0.20300395200015883</v>
      </c>
      <c r="C84">
        <f>(gdp_growth_forecast_consensus!C84-gdp_growth_forecast_consensus!$H$2)/gdp_growth_forecast_consensus!$H$3</f>
        <v>0.10374389348818312</v>
      </c>
    </row>
    <row r="85" spans="1:3" x14ac:dyDescent="0.45">
      <c r="A85" t="s">
        <v>218</v>
      </c>
      <c r="B85">
        <f>(gdp_growth_forecast_consensus!B85-gdp_growth_forecast_consensus!$G$2)/gdp_growth_forecast_consensus!$G$3</f>
        <v>-0.28627508396484508</v>
      </c>
      <c r="C85">
        <f>(gdp_growth_forecast_consensus!C85-gdp_growth_forecast_consensus!$H$2)/gdp_growth_forecast_consensus!$H$3</f>
        <v>-1.6128066186831007</v>
      </c>
    </row>
    <row r="86" spans="1:3" x14ac:dyDescent="0.45">
      <c r="A86" t="s">
        <v>219</v>
      </c>
      <c r="B86">
        <f>(gdp_growth_forecast_consensus!B86-gdp_growth_forecast_consensus!$G$2)/gdp_growth_forecast_consensus!$G$3</f>
        <v>-1.4915358645365082</v>
      </c>
      <c r="C86">
        <f>(gdp_growth_forecast_consensus!C86-gdp_growth_forecast_consensus!$H$2)/gdp_growth_forecast_consensus!$H$3</f>
        <v>0.2165527575082912</v>
      </c>
    </row>
    <row r="87" spans="1:3" x14ac:dyDescent="0.45">
      <c r="A87" t="s">
        <v>220</v>
      </c>
      <c r="B87">
        <f>(gdp_growth_forecast_consensus!B87-gdp_growth_forecast_consensus!$G$2)/gdp_growth_forecast_consensus!$G$3</f>
        <v>-2.1814295992419237</v>
      </c>
      <c r="C87">
        <f>(gdp_growth_forecast_consensus!C87-gdp_growth_forecast_consensus!$H$2)/gdp_growth_forecast_consensus!$H$3</f>
        <v>0.20483235605165656</v>
      </c>
    </row>
    <row r="88" spans="1:3" x14ac:dyDescent="0.45">
      <c r="A88" t="s">
        <v>221</v>
      </c>
      <c r="B88">
        <f>(gdp_growth_forecast_consensus!B88-gdp_growth_forecast_consensus!$G$2)/gdp_growth_forecast_consensus!$G$3</f>
        <v>-2.4910146217622655</v>
      </c>
      <c r="C88">
        <f>(gdp_growth_forecast_consensus!C88-gdp_growth_forecast_consensus!$H$2)/gdp_growth_forecast_consensus!$H$3</f>
        <v>-0.30256286865842275</v>
      </c>
    </row>
    <row r="89" spans="1:3" x14ac:dyDescent="0.45">
      <c r="A89" t="s">
        <v>222</v>
      </c>
      <c r="B89">
        <f>(gdp_growth_forecast_consensus!B89-gdp_growth_forecast_consensus!$G$2)/gdp_growth_forecast_consensus!$G$3</f>
        <v>-2.5888864511897203</v>
      </c>
      <c r="C89">
        <f>(gdp_growth_forecast_consensus!C89-gdp_growth_forecast_consensus!$H$2)/gdp_growth_forecast_consensus!$H$3</f>
        <v>-0.29426189432676136</v>
      </c>
    </row>
    <row r="90" spans="1:3" x14ac:dyDescent="0.45">
      <c r="A90" t="s">
        <v>223</v>
      </c>
      <c r="B90">
        <f>(gdp_growth_forecast_consensus!B90-gdp_growth_forecast_consensus!$G$2)/gdp_growth_forecast_consensus!$G$3</f>
        <v>-0.30315763233188725</v>
      </c>
      <c r="C90">
        <f>(gdp_growth_forecast_consensus!C90-gdp_growth_forecast_consensus!$H$2)/gdp_growth_forecast_consensus!$H$3</f>
        <v>0.59160560412059837</v>
      </c>
    </row>
    <row r="91" spans="1:3" x14ac:dyDescent="0.45">
      <c r="A91" t="s">
        <v>224</v>
      </c>
      <c r="B91">
        <f>(gdp_growth_forecast_consensus!B91-gdp_growth_forecast_consensus!$G$2)/gdp_growth_forecast_consensus!$G$3</f>
        <v>-0.59494777677451016</v>
      </c>
      <c r="C91">
        <f>(gdp_growth_forecast_consensus!C91-gdp_growth_forecast_consensus!$H$2)/gdp_growth_forecast_consensus!$H$3</f>
        <v>0.50174968130312736</v>
      </c>
    </row>
    <row r="92" spans="1:3" x14ac:dyDescent="0.45">
      <c r="A92" t="s">
        <v>225</v>
      </c>
      <c r="B92">
        <f>(gdp_growth_forecast_consensus!B92-gdp_growth_forecast_consensus!$G$2)/gdp_growth_forecast_consensus!$G$3</f>
        <v>-1.4520677147040313</v>
      </c>
      <c r="C92">
        <f>(gdp_growth_forecast_consensus!C92-gdp_growth_forecast_consensus!$H$2)/gdp_growth_forecast_consensus!$H$3</f>
        <v>-0.42904651107805952</v>
      </c>
    </row>
    <row r="93" spans="1:3" x14ac:dyDescent="0.45">
      <c r="A93" t="s">
        <v>226</v>
      </c>
      <c r="B93">
        <f>(gdp_growth_forecast_consensus!B93-gdp_growth_forecast_consensus!$G$2)/gdp_growth_forecast_consensus!$G$3</f>
        <v>-1.7399797392369707</v>
      </c>
      <c r="C93">
        <f>(gdp_growth_forecast_consensus!C93-gdp_growth_forecast_consensus!$H$2)/gdp_growth_forecast_consensus!$H$3</f>
        <v>-1.1576643132821172</v>
      </c>
    </row>
    <row r="94" spans="1:3" x14ac:dyDescent="0.45">
      <c r="A94" t="s">
        <v>227</v>
      </c>
      <c r="B94">
        <f>(gdp_growth_forecast_consensus!B94-gdp_growth_forecast_consensus!$G$2)/gdp_growth_forecast_consensus!$G$3</f>
        <v>-0.43707504056092483</v>
      </c>
      <c r="C94">
        <f>(gdp_growth_forecast_consensus!C94-gdp_growth_forecast_consensus!$H$2)/gdp_growth_forecast_consensus!$H$3</f>
        <v>0.62383670812634395</v>
      </c>
    </row>
    <row r="95" spans="1:3" x14ac:dyDescent="0.45">
      <c r="A95" t="s">
        <v>228</v>
      </c>
      <c r="B95">
        <f>(gdp_growth_forecast_consensus!B95-gdp_growth_forecast_consensus!$G$2)/gdp_growth_forecast_consensus!$G$3</f>
        <v>-0.16011418932253038</v>
      </c>
      <c r="C95">
        <f>(gdp_growth_forecast_consensus!C95-gdp_growth_forecast_consensus!$H$2)/gdp_growth_forecast_consensus!$H$3</f>
        <v>0.7669237642594855</v>
      </c>
    </row>
    <row r="96" spans="1:3" x14ac:dyDescent="0.45">
      <c r="A96" t="s">
        <v>229</v>
      </c>
      <c r="B96">
        <f>(gdp_growth_forecast_consensus!B96-gdp_growth_forecast_consensus!$G$2)/gdp_growth_forecast_consensus!$G$3</f>
        <v>-8.6291299204584535E-3</v>
      </c>
      <c r="C96">
        <f>(gdp_growth_forecast_consensus!C96-gdp_growth_forecast_consensus!$H$2)/gdp_growth_forecast_consensus!$H$3</f>
        <v>0.88705787918999002</v>
      </c>
    </row>
    <row r="97" spans="1:3" x14ac:dyDescent="0.45">
      <c r="A97" t="s">
        <v>230</v>
      </c>
      <c r="B97">
        <f>(gdp_growth_forecast_consensus!B97-gdp_growth_forecast_consensus!$G$2)/gdp_growth_forecast_consensus!$G$3</f>
        <v>0.1136531657193012</v>
      </c>
      <c r="C97">
        <f>(gdp_growth_forecast_consensus!C97-gdp_growth_forecast_consensus!$H$2)/gdp_growth_forecast_consensus!$H$3</f>
        <v>0.86703503835151208</v>
      </c>
    </row>
    <row r="98" spans="1:3" x14ac:dyDescent="0.45">
      <c r="A98" t="s">
        <v>231</v>
      </c>
      <c r="B98">
        <f>(gdp_growth_forecast_consensus!B98-gdp_growth_forecast_consensus!$G$2)/gdp_growth_forecast_consensus!$G$3</f>
        <v>0.63814624636586836</v>
      </c>
      <c r="C98">
        <f>(gdp_growth_forecast_consensus!C98-gdp_growth_forecast_consensus!$H$2)/gdp_growth_forecast_consensus!$H$3</f>
        <v>0.87777825133669973</v>
      </c>
    </row>
    <row r="99" spans="1:3" x14ac:dyDescent="0.45">
      <c r="A99" t="s">
        <v>232</v>
      </c>
      <c r="B99">
        <f>(gdp_growth_forecast_consensus!B99-gdp_growth_forecast_consensus!$G$2)/gdp_growth_forecast_consensus!$G$3</f>
        <v>0.72529529291472228</v>
      </c>
      <c r="C99">
        <f>(gdp_growth_forecast_consensus!C99-gdp_growth_forecast_consensus!$H$2)/gdp_growth_forecast_consensus!$H$3</f>
        <v>1.0677469132963797</v>
      </c>
    </row>
    <row r="100" spans="1:3" x14ac:dyDescent="0.45">
      <c r="A100" t="s">
        <v>233</v>
      </c>
      <c r="B100">
        <f>(gdp_growth_forecast_consensus!B100-gdp_growth_forecast_consensus!$G$2)/gdp_growth_forecast_consensus!$G$3</f>
        <v>0.94408126562511507</v>
      </c>
      <c r="C100">
        <f>(gdp_growth_forecast_consensus!C100-gdp_growth_forecast_consensus!$H$2)/gdp_growth_forecast_consensus!$H$3</f>
        <v>1.2743189889695647</v>
      </c>
    </row>
    <row r="101" spans="1:3" x14ac:dyDescent="0.45">
      <c r="A101" t="s">
        <v>234</v>
      </c>
      <c r="B101">
        <f>(gdp_growth_forecast_consensus!B101-gdp_growth_forecast_consensus!$G$2)/gdp_growth_forecast_consensus!$G$3</f>
        <v>1.3102451029935649</v>
      </c>
      <c r="C101">
        <f>(gdp_growth_forecast_consensus!C101-gdp_growth_forecast_consensus!$H$2)/gdp_growth_forecast_consensus!$H$3</f>
        <v>1.520935281269524</v>
      </c>
    </row>
    <row r="102" spans="1:3" x14ac:dyDescent="0.45">
      <c r="A102" t="s">
        <v>235</v>
      </c>
      <c r="B102">
        <f>(gdp_growth_forecast_consensus!B102-gdp_growth_forecast_consensus!$G$2)/gdp_growth_forecast_consensus!$G$3</f>
        <v>1.0540440302879923</v>
      </c>
      <c r="C102">
        <f>(gdp_growth_forecast_consensus!C102-gdp_growth_forecast_consensus!$H$2)/gdp_growth_forecast_consensus!$H$3</f>
        <v>1.1351392216720284</v>
      </c>
    </row>
    <row r="103" spans="1:3" x14ac:dyDescent="0.45">
      <c r="A103" t="s">
        <v>236</v>
      </c>
      <c r="B103">
        <f>(gdp_growth_forecast_consensus!B103-gdp_growth_forecast_consensus!$G$2)/gdp_growth_forecast_consensus!$G$3</f>
        <v>1.0150321821945314</v>
      </c>
      <c r="C103">
        <f>(gdp_growth_forecast_consensus!C103-gdp_growth_forecast_consensus!$H$2)/gdp_growth_forecast_consensus!$H$3</f>
        <v>1.2088795924866276</v>
      </c>
    </row>
    <row r="104" spans="1:3" x14ac:dyDescent="0.45">
      <c r="A104" t="s">
        <v>237</v>
      </c>
      <c r="B104">
        <f>(gdp_growth_forecast_consensus!B104-gdp_growth_forecast_consensus!$G$2)/gdp_growth_forecast_consensus!$G$3</f>
        <v>0.88111477396549376</v>
      </c>
      <c r="C104">
        <f>(gdp_growth_forecast_consensus!C104-gdp_growth_forecast_consensus!$H$2)/gdp_growth_forecast_consensus!$H$3</f>
        <v>1.1312319328364233</v>
      </c>
    </row>
    <row r="105" spans="1:3" x14ac:dyDescent="0.45">
      <c r="A105" t="s">
        <v>238</v>
      </c>
      <c r="B105">
        <f>(gdp_growth_forecast_consensus!B105-gdp_growth_forecast_consensus!$G$2)/gdp_growth_forecast_consensus!$G$3</f>
        <v>0.71206343222716295</v>
      </c>
      <c r="C105">
        <f>(gdp_growth_forecast_consensus!C105-gdp_growth_forecast_consensus!$H$2)/gdp_growth_forecast_consensus!$H$3</f>
        <v>0.88119767846167274</v>
      </c>
    </row>
    <row r="106" spans="1:3" x14ac:dyDescent="0.45">
      <c r="A106" t="s">
        <v>239</v>
      </c>
      <c r="B106">
        <f>(gdp_growth_forecast_consensus!B106-gdp_growth_forecast_consensus!$G$2)/gdp_growth_forecast_consensus!$G$3</f>
        <v>0.4574597920382597</v>
      </c>
      <c r="C106">
        <f>(gdp_growth_forecast_consensus!C106-gdp_growth_forecast_consensus!$H$2)/gdp_growth_forecast_consensus!$H$3</f>
        <v>1.4169167183418918</v>
      </c>
    </row>
    <row r="107" spans="1:3" x14ac:dyDescent="0.45">
      <c r="A107" t="s">
        <v>240</v>
      </c>
      <c r="B107">
        <f>(gdp_growth_forecast_consensus!B107-gdp_growth_forecast_consensus!$G$2)/gdp_growth_forecast_consensus!$G$3</f>
        <v>0.41890376659094331</v>
      </c>
      <c r="C107">
        <f>(gdp_growth_forecast_consensus!C107-gdp_growth_forecast_consensus!$H$2)/gdp_growth_forecast_consensus!$H$3</f>
        <v>1.592722740191411</v>
      </c>
    </row>
    <row r="108" spans="1:3" x14ac:dyDescent="0.45">
      <c r="A108" t="s">
        <v>241</v>
      </c>
      <c r="B108">
        <f>(gdp_growth_forecast_consensus!B108-gdp_growth_forecast_consensus!$G$2)/gdp_growth_forecast_consensus!$G$3</f>
        <v>0.34521517647110872</v>
      </c>
      <c r="C108">
        <f>(gdp_growth_forecast_consensus!C108-gdp_growth_forecast_consensus!$H$2)/gdp_growth_forecast_consensus!$H$3</f>
        <v>1.8325031083417878</v>
      </c>
    </row>
    <row r="109" spans="1:3" x14ac:dyDescent="0.45">
      <c r="A109" t="s">
        <v>242</v>
      </c>
      <c r="B109">
        <f>(gdp_growth_forecast_consensus!B109-gdp_growth_forecast_consensus!$G$2)/gdp_growth_forecast_consensus!$G$3</f>
        <v>0.45723119629679976</v>
      </c>
      <c r="C109">
        <f>(gdp_growth_forecast_consensus!C109-gdp_growth_forecast_consensus!$H$2)/gdp_growth_forecast_consensus!$H$3</f>
        <v>2.0200295316479417</v>
      </c>
    </row>
    <row r="110" spans="1:3" x14ac:dyDescent="0.45">
      <c r="A110" t="s">
        <v>243</v>
      </c>
      <c r="B110">
        <f>(gdp_growth_forecast_consensus!B110-gdp_growth_forecast_consensus!$G$2)/gdp_growth_forecast_consensus!$G$3</f>
        <v>1.1530567851675839</v>
      </c>
      <c r="C110">
        <f>(gdp_growth_forecast_consensus!C110-gdp_growth_forecast_consensus!$H$2)/gdp_growth_forecast_consensus!$H$3</f>
        <v>0.9568909611689832</v>
      </c>
    </row>
    <row r="111" spans="1:3" x14ac:dyDescent="0.45">
      <c r="A111" t="s">
        <v>244</v>
      </c>
      <c r="B111">
        <f>(gdp_growth_forecast_consensus!B111-gdp_growth_forecast_consensus!$G$2)/gdp_growth_forecast_consensus!$G$3</f>
        <v>1.1471249310022151</v>
      </c>
      <c r="C111">
        <f>(gdp_growth_forecast_consensus!C111-gdp_growth_forecast_consensus!$H$2)/gdp_growth_forecast_consensus!$H$3</f>
        <v>0.95103076044066581</v>
      </c>
    </row>
    <row r="112" spans="1:3" x14ac:dyDescent="0.45">
      <c r="A112" t="s">
        <v>245</v>
      </c>
      <c r="B112">
        <f>(gdp_growth_forecast_consensus!B112-gdp_growth_forecast_consensus!$G$2)/gdp_growth_forecast_consensus!$G$3</f>
        <v>1.233590243581852</v>
      </c>
      <c r="C112">
        <f>(gdp_growth_forecast_consensus!C112-gdp_growth_forecast_consensus!$H$2)/gdp_growth_forecast_consensus!$H$3</f>
        <v>0.83089664551016129</v>
      </c>
    </row>
    <row r="113" spans="1:3" x14ac:dyDescent="0.45">
      <c r="A113" t="s">
        <v>246</v>
      </c>
      <c r="B113">
        <f>(gdp_growth_forecast_consensus!B113-gdp_growth_forecast_consensus!$G$2)/gdp_growth_forecast_consensus!$G$3</f>
        <v>1.2719176732877084</v>
      </c>
      <c r="C113">
        <f>(gdp_growth_forecast_consensus!C113-gdp_growth_forecast_consensus!$H$2)/gdp_growth_forecast_consensus!$H$3</f>
        <v>0.82796654514600232</v>
      </c>
    </row>
    <row r="114" spans="1:3" x14ac:dyDescent="0.45">
      <c r="A114" t="s">
        <v>247</v>
      </c>
      <c r="B114">
        <f>(gdp_growth_forecast_consensus!B114-gdp_growth_forecast_consensus!$G$2)/gdp_growth_forecast_consensus!$G$3</f>
        <v>0.46065328823482254</v>
      </c>
      <c r="C114">
        <f>(gdp_growth_forecast_consensus!C114-gdp_growth_forecast_consensus!$H$2)/gdp_growth_forecast_consensus!$H$3</f>
        <v>-4.2761124719749639E-2</v>
      </c>
    </row>
    <row r="115" spans="1:3" x14ac:dyDescent="0.45">
      <c r="A115" t="s">
        <v>248</v>
      </c>
      <c r="B115">
        <f>(gdp_growth_forecast_consensus!B115-gdp_growth_forecast_consensus!$G$2)/gdp_growth_forecast_consensus!$G$3</f>
        <v>0.39723097392905671</v>
      </c>
      <c r="C115">
        <f>(gdp_growth_forecast_consensus!C115-gdp_growth_forecast_consensus!$H$2)/gdp_growth_forecast_consensus!$H$3</f>
        <v>-0.21954433504071583</v>
      </c>
    </row>
    <row r="116" spans="1:3" x14ac:dyDescent="0.45">
      <c r="A116" t="s">
        <v>249</v>
      </c>
      <c r="B116">
        <f>(gdp_growth_forecast_consensus!B116-gdp_growth_forecast_consensus!$G$2)/gdp_growth_forecast_consensus!$G$3</f>
        <v>0.35662169331892651</v>
      </c>
      <c r="C116">
        <f>(gdp_growth_forecast_consensus!C116-gdp_growth_forecast_consensus!$H$2)/gdp_growth_forecast_consensus!$H$3</f>
        <v>-0.87979264039767757</v>
      </c>
    </row>
    <row r="117" spans="1:3" x14ac:dyDescent="0.45">
      <c r="A117" t="s">
        <v>250</v>
      </c>
      <c r="B117">
        <f>(gdp_growth_forecast_consensus!B117-gdp_growth_forecast_consensus!$G$2)/gdp_growth_forecast_consensus!$G$3</f>
        <v>0.66301321964270543</v>
      </c>
      <c r="C117">
        <f>(gdp_growth_forecast_consensus!C117-gdp_growth_forecast_consensus!$H$2)/gdp_growth_forecast_consensus!$H$3</f>
        <v>-1.731963984657213</v>
      </c>
    </row>
    <row r="118" spans="1:3" x14ac:dyDescent="0.45">
      <c r="A118" t="s">
        <v>251</v>
      </c>
      <c r="B118">
        <f>(gdp_growth_forecast_consensus!B118-gdp_growth_forecast_consensus!$G$2)/gdp_growth_forecast_consensus!$G$3</f>
        <v>-0.76833374548705713</v>
      </c>
      <c r="C118">
        <f>(gdp_growth_forecast_consensus!C118-gdp_growth_forecast_consensus!$H$2)/gdp_growth_forecast_consensus!$H$3</f>
        <v>-0.22149724693342762</v>
      </c>
    </row>
    <row r="119" spans="1:3" x14ac:dyDescent="0.45">
      <c r="A119" t="s">
        <v>252</v>
      </c>
      <c r="B119">
        <f>(gdp_growth_forecast_consensus!B119-gdp_growth_forecast_consensus!$G$2)/gdp_growth_forecast_consensus!$G$3</f>
        <v>-0.61890242034067044</v>
      </c>
      <c r="C119">
        <f>(gdp_growth_forecast_consensus!C119-gdp_growth_forecast_consensus!$H$2)/gdp_growth_forecast_consensus!$H$3</f>
        <v>0.11741720683752921</v>
      </c>
    </row>
    <row r="120" spans="1:3" x14ac:dyDescent="0.45">
      <c r="A120" t="s">
        <v>253</v>
      </c>
      <c r="B120">
        <f>(gdp_growth_forecast_consensus!B120-gdp_growth_forecast_consensus!$G$2)/gdp_growth_forecast_consensus!$G$3</f>
        <v>-0.32140833305575101</v>
      </c>
      <c r="C120">
        <f>(gdp_growth_forecast_consensus!C120-gdp_growth_forecast_consensus!$H$2)/gdp_growth_forecast_consensus!$H$3</f>
        <v>0.65557995042145656</v>
      </c>
    </row>
    <row r="121" spans="1:3" x14ac:dyDescent="0.45">
      <c r="A121" t="s">
        <v>254</v>
      </c>
      <c r="B121">
        <f>(gdp_growth_forecast_consensus!B121-gdp_growth_forecast_consensus!$G$2)/gdp_growth_forecast_consensus!$G$3</f>
        <v>4.7493177863116902E-2</v>
      </c>
      <c r="C121">
        <f>(gdp_growth_forecast_consensus!C121-gdp_growth_forecast_consensus!$H$2)/gdp_growth_forecast_consensus!$H$3</f>
        <v>1.3490365482556099</v>
      </c>
    </row>
    <row r="122" spans="1:3" x14ac:dyDescent="0.45">
      <c r="A122" t="s">
        <v>255</v>
      </c>
      <c r="B122">
        <f>(gdp_growth_forecast_consensus!B122-gdp_growth_forecast_consensus!$G$2)/gdp_growth_forecast_consensus!$G$3</f>
        <v>1.0047659063804626</v>
      </c>
      <c r="C122">
        <f>(gdp_growth_forecast_consensus!C122-gdp_growth_forecast_consensus!$H$2)/gdp_growth_forecast_consensus!$H$3</f>
        <v>0.98961139193554259</v>
      </c>
    </row>
    <row r="123" spans="1:3" x14ac:dyDescent="0.45">
      <c r="A123" t="s">
        <v>256</v>
      </c>
      <c r="B123">
        <f>(gdp_growth_forecast_consensus!B123-gdp_growth_forecast_consensus!$G$2)/gdp_growth_forecast_consensus!$G$3</f>
        <v>0.99632497440613543</v>
      </c>
      <c r="C123">
        <f>(gdp_growth_forecast_consensus!C123-gdp_growth_forecast_consensus!$H$2)/gdp_growth_forecast_consensus!$H$3</f>
        <v>0.94419483629108392</v>
      </c>
    </row>
    <row r="124" spans="1:3" x14ac:dyDescent="0.45">
      <c r="A124" t="s">
        <v>257</v>
      </c>
      <c r="B124">
        <f>(gdp_growth_forecast_consensus!B124-gdp_growth_forecast_consensus!$G$2)/gdp_growth_forecast_consensus!$G$3</f>
        <v>0.9269708059350007</v>
      </c>
      <c r="C124">
        <f>(gdp_growth_forecast_consensus!C124-gdp_growth_forecast_consensus!$H$2)/gdp_growth_forecast_consensus!$H$3</f>
        <v>0.9886342034640957</v>
      </c>
    </row>
    <row r="125" spans="1:3" x14ac:dyDescent="0.45">
      <c r="A125" t="s">
        <v>258</v>
      </c>
      <c r="B125">
        <f>(gdp_growth_forecast_consensus!B125-gdp_growth_forecast_consensus!$G$2)/gdp_growth_forecast_consensus!$G$3</f>
        <v>0.92172337015723638</v>
      </c>
      <c r="C125">
        <f>(gdp_growth_forecast_consensus!C125-gdp_growth_forecast_consensus!$H$2)/gdp_growth_forecast_consensus!$H$3</f>
        <v>1.0530964114755861</v>
      </c>
    </row>
    <row r="126" spans="1:3" x14ac:dyDescent="0.45">
      <c r="A126" t="s">
        <v>259</v>
      </c>
      <c r="B126">
        <f>(gdp_growth_forecast_consensus!B126-gdp_growth_forecast_consensus!$G$2)/gdp_growth_forecast_consensus!$G$3</f>
        <v>0.62673904509966283</v>
      </c>
      <c r="C126">
        <f>(gdp_growth_forecast_consensus!C126-gdp_growth_forecast_consensus!$H$2)/gdp_growth_forecast_consensus!$H$3</f>
        <v>1.0194002572877621</v>
      </c>
    </row>
    <row r="127" spans="1:3" x14ac:dyDescent="0.45">
      <c r="A127" t="s">
        <v>260</v>
      </c>
      <c r="B127">
        <f>(gdp_growth_forecast_consensus!B127-gdp_growth_forecast_consensus!$G$2)/gdp_growth_forecast_consensus!$G$3</f>
        <v>0.44970259403314927</v>
      </c>
      <c r="C127">
        <f>(gdp_growth_forecast_consensus!C127-gdp_growth_forecast_consensus!$H$2)/gdp_growth_forecast_consensus!$H$3</f>
        <v>1.0008424666313633</v>
      </c>
    </row>
    <row r="128" spans="1:3" x14ac:dyDescent="0.45">
      <c r="A128" t="s">
        <v>261</v>
      </c>
      <c r="B128">
        <f>(gdp_growth_forecast_consensus!B128-gdp_growth_forecast_consensus!$G$2)/gdp_growth_forecast_consensus!$G$3</f>
        <v>0.33540472330318477</v>
      </c>
      <c r="C128">
        <f>(gdp_growth_forecast_consensus!C128-gdp_growth_forecast_consensus!$H$2)/gdp_growth_forecast_consensus!$H$3</f>
        <v>0.99254149229970157</v>
      </c>
    </row>
    <row r="129" spans="1:3" x14ac:dyDescent="0.45">
      <c r="A129" t="s">
        <v>262</v>
      </c>
      <c r="B129">
        <f>(gdp_growth_forecast_consensus!B129-gdp_growth_forecast_consensus!$G$2)/gdp_growth_forecast_consensus!$G$3</f>
        <v>0.35205936034715435</v>
      </c>
      <c r="C129">
        <f>(gdp_growth_forecast_consensus!C129-gdp_growth_forecast_consensus!$H$2)/gdp_growth_forecast_consensus!$H$3</f>
        <v>7.3465701375149697E-2</v>
      </c>
    </row>
    <row r="130" spans="1:3" x14ac:dyDescent="0.45">
      <c r="A130" t="s">
        <v>263</v>
      </c>
      <c r="B130">
        <f>(gdp_growth_forecast_consensus!B130-gdp_growth_forecast_consensus!$G$2)/gdp_growth_forecast_consensus!$G$3</f>
        <v>0.23046079867661179</v>
      </c>
      <c r="C130">
        <f>(gdp_growth_forecast_consensus!C130-gdp_growth_forecast_consensus!$H$2)/gdp_growth_forecast_consensus!$H$3</f>
        <v>1.2328097221607113</v>
      </c>
    </row>
    <row r="131" spans="1:3" x14ac:dyDescent="0.45">
      <c r="A131" t="s">
        <v>264</v>
      </c>
      <c r="B131">
        <f>(gdp_growth_forecast_consensus!B131-gdp_growth_forecast_consensus!$G$2)/gdp_growth_forecast_consensus!$G$3</f>
        <v>0.14582082993671636</v>
      </c>
      <c r="C131">
        <f>(gdp_growth_forecast_consensus!C131-gdp_growth_forecast_consensus!$H$2)/gdp_growth_forecast_consensus!$H$3</f>
        <v>1.2323203953998967</v>
      </c>
    </row>
    <row r="132" spans="1:3" x14ac:dyDescent="0.45">
      <c r="A132" t="s">
        <v>265</v>
      </c>
      <c r="B132">
        <f>(gdp_growth_forecast_consensus!B132-gdp_growth_forecast_consensus!$G$2)/gdp_growth_forecast_consensus!$G$3</f>
        <v>2.1485279134142884E-2</v>
      </c>
      <c r="C132">
        <f>(gdp_growth_forecast_consensus!C132-gdp_growth_forecast_consensus!$H$2)/gdp_growth_forecast_consensus!$H$3</f>
        <v>1.0740949757353293</v>
      </c>
    </row>
    <row r="133" spans="1:3" x14ac:dyDescent="0.45">
      <c r="A133" t="s">
        <v>266</v>
      </c>
      <c r="B133">
        <f>(gdp_growth_forecast_consensus!B133-gdp_growth_forecast_consensus!$G$2)/gdp_growth_forecast_consensus!$G$3</f>
        <v>-6.9542366417266091E-2</v>
      </c>
      <c r="C133">
        <f>(gdp_growth_forecast_consensus!C133-gdp_growth_forecast_consensus!$H$2)/gdp_growth_forecast_consensus!$H$3</f>
        <v>0.65655567384272118</v>
      </c>
    </row>
    <row r="134" spans="1:3" x14ac:dyDescent="0.45">
      <c r="A134" t="s">
        <v>267</v>
      </c>
      <c r="B134">
        <f>(gdp_growth_forecast_consensus!B134-gdp_growth_forecast_consensus!$G$2)/gdp_growth_forecast_consensus!$G$3</f>
        <v>0.35958796261080478</v>
      </c>
      <c r="C134">
        <f>(gdp_growth_forecast_consensus!C134-gdp_growth_forecast_consensus!$H$2)/gdp_growth_forecast_consensus!$H$3</f>
        <v>0.78938737870130782</v>
      </c>
    </row>
    <row r="135" spans="1:3" x14ac:dyDescent="0.45">
      <c r="A135" t="s">
        <v>268</v>
      </c>
      <c r="B135">
        <f>(gdp_growth_forecast_consensus!B135-gdp_growth_forecast_consensus!$G$2)/gdp_growth_forecast_consensus!$G$3</f>
        <v>0.1747949979575685</v>
      </c>
      <c r="C135">
        <f>(gdp_growth_forecast_consensus!C135-gdp_growth_forecast_consensus!$H$2)/gdp_growth_forecast_consensus!$H$3</f>
        <v>0.64923042293232469</v>
      </c>
    </row>
    <row r="136" spans="1:3" x14ac:dyDescent="0.45">
      <c r="A136" t="s">
        <v>269</v>
      </c>
      <c r="B136">
        <f>(gdp_growth_forecast_consensus!B136-gdp_growth_forecast_consensus!$G$2)/gdp_growth_forecast_consensus!$G$3</f>
        <v>9.836804986892804E-2</v>
      </c>
      <c r="C136">
        <f>(gdp_growth_forecast_consensus!C136-gdp_growth_forecast_consensus!$H$2)/gdp_growth_forecast_consensus!$H$3</f>
        <v>0.77082958804490898</v>
      </c>
    </row>
    <row r="137" spans="1:3" x14ac:dyDescent="0.45">
      <c r="A137" t="s">
        <v>270</v>
      </c>
      <c r="B137">
        <f>(gdp_growth_forecast_consensus!B137-gdp_growth_forecast_consensus!$G$2)/gdp_growth_forecast_consensus!$G$3</f>
        <v>0.23274196516249787</v>
      </c>
      <c r="C137">
        <f>(gdp_growth_forecast_consensus!C137-gdp_growth_forecast_consensus!$H$2)/gdp_growth_forecast_consensus!$H$3</f>
        <v>0.93247443483444936</v>
      </c>
    </row>
    <row r="138" spans="1:3" x14ac:dyDescent="0.45">
      <c r="A138" t="s">
        <v>271</v>
      </c>
      <c r="B138">
        <f>(gdp_growth_forecast_consensus!B138-gdp_growth_forecast_consensus!$G$2)/gdp_growth_forecast_consensus!$G$3</f>
        <v>0.84643734752073274</v>
      </c>
      <c r="C138">
        <f>(gdp_growth_forecast_consensus!C138-gdp_growth_forecast_consensus!$H$2)/gdp_growth_forecast_consensus!$H$3</f>
        <v>0.92417199545260598</v>
      </c>
    </row>
    <row r="139" spans="1:3" x14ac:dyDescent="0.45">
      <c r="A139" t="s">
        <v>272</v>
      </c>
      <c r="B139">
        <f>(gdp_growth_forecast_consensus!B139-gdp_growth_forecast_consensus!$G$2)/gdp_growth_forecast_consensus!$G$3</f>
        <v>0.97031707567716152</v>
      </c>
      <c r="C139">
        <f>(gdp_growth_forecast_consensus!C139-gdp_growth_forecast_consensus!$H$2)/gdp_growth_forecast_consensus!$H$3</f>
        <v>0.97251865146122363</v>
      </c>
    </row>
    <row r="140" spans="1:3" x14ac:dyDescent="0.45">
      <c r="A140" t="s">
        <v>273</v>
      </c>
      <c r="B140">
        <f>(gdp_growth_forecast_consensus!B140-gdp_growth_forecast_consensus!$G$2)/gdp_growth_forecast_consensus!$G$3</f>
        <v>1.1067442461335448</v>
      </c>
      <c r="C140">
        <f>(gdp_growth_forecast_consensus!C140-gdp_growth_forecast_consensus!$H$2)/gdp_growth_forecast_consensus!$H$3</f>
        <v>0.96372835036874738</v>
      </c>
    </row>
    <row r="141" spans="1:3" x14ac:dyDescent="0.45">
      <c r="A141" t="s">
        <v>274</v>
      </c>
      <c r="B141">
        <f>(gdp_growth_forecast_consensus!B141-gdp_growth_forecast_consensus!$G$2)/gdp_growth_forecast_consensus!$G$3</f>
        <v>1.0848428577301983</v>
      </c>
      <c r="C141">
        <f>(gdp_growth_forecast_consensus!C141-gdp_growth_forecast_consensus!$H$2)/gdp_growth_forecast_consensus!$H$3</f>
        <v>0.85629182536632431</v>
      </c>
    </row>
    <row r="142" spans="1:3" x14ac:dyDescent="0.45">
      <c r="A142" t="s">
        <v>275</v>
      </c>
      <c r="B142">
        <f>(gdp_growth_forecast_consensus!B142-gdp_growth_forecast_consensus!$G$2)/gdp_growth_forecast_consensus!$G$3</f>
        <v>0.59730905443266591</v>
      </c>
      <c r="C142">
        <f>(gdp_growth_forecast_consensus!C142-gdp_growth_forecast_consensus!$H$2)/gdp_growth_forecast_consensus!$H$3</f>
        <v>0.52714339610910799</v>
      </c>
    </row>
    <row r="143" spans="1:3" x14ac:dyDescent="0.45">
      <c r="A143" t="s">
        <v>276</v>
      </c>
      <c r="B143">
        <f>(gdp_growth_forecast_consensus!B143-gdp_growth_forecast_consensus!$G$2)/gdp_growth_forecast_consensus!$G$3</f>
        <v>0.56719464537806463</v>
      </c>
      <c r="C143">
        <f>(gdp_growth_forecast_consensus!C143-gdp_growth_forecast_consensus!$H$2)/gdp_growth_forecast_consensus!$H$3</f>
        <v>0.48172684046464936</v>
      </c>
    </row>
    <row r="144" spans="1:3" x14ac:dyDescent="0.45">
      <c r="A144" t="s">
        <v>277</v>
      </c>
      <c r="B144">
        <f>(gdp_growth_forecast_consensus!B144-gdp_growth_forecast_consensus!$G$2)/gdp_growth_forecast_consensus!$G$3</f>
        <v>0.28110775935935067</v>
      </c>
      <c r="C144">
        <f>(gdp_growth_forecast_consensus!C144-gdp_growth_forecast_consensus!$H$2)/gdp_growth_forecast_consensus!$H$3</f>
        <v>0.3381519226208749</v>
      </c>
    </row>
    <row r="145" spans="1:3" x14ac:dyDescent="0.45">
      <c r="A145" t="s">
        <v>278</v>
      </c>
      <c r="B145">
        <f>(gdp_growth_forecast_consensus!B145-gdp_growth_forecast_consensus!$G$2)/gdp_growth_forecast_consensus!$G$3</f>
        <v>6.7569222426722045E-2</v>
      </c>
      <c r="C145">
        <f>(gdp_growth_forecast_consensus!C145-gdp_growth_forecast_consensus!$H$2)/gdp_growth_forecast_consensus!$H$3</f>
        <v>0.26294650162419675</v>
      </c>
    </row>
    <row r="146" spans="1:3" x14ac:dyDescent="0.45">
      <c r="A146" t="s">
        <v>279</v>
      </c>
      <c r="B146">
        <f>(gdp_growth_forecast_consensus!B146-gdp_growth_forecast_consensus!$G$2)/gdp_growth_forecast_consensus!$G$3</f>
        <v>0.34726843163392251</v>
      </c>
      <c r="C146">
        <f>(gdp_growth_forecast_consensus!C146-gdp_growth_forecast_consensus!$H$2)/gdp_growth_forecast_consensus!$H$3</f>
        <v>0.64727751103961317</v>
      </c>
    </row>
    <row r="147" spans="1:3" x14ac:dyDescent="0.45">
      <c r="A147" t="s">
        <v>280</v>
      </c>
      <c r="B147">
        <f>(gdp_growth_forecast_consensus!B147-gdp_growth_forecast_consensus!$G$2)/gdp_growth_forecast_consensus!$G$3</f>
        <v>0.42187003588282157</v>
      </c>
      <c r="C147">
        <f>(gdp_growth_forecast_consensus!C147-gdp_growth_forecast_consensus!$H$2)/gdp_growth_forecast_consensus!$H$3</f>
        <v>0.73518052196437289</v>
      </c>
    </row>
    <row r="148" spans="1:3" x14ac:dyDescent="0.45">
      <c r="A148" t="s">
        <v>281</v>
      </c>
      <c r="B148">
        <f>(gdp_growth_forecast_consensus!B148-gdp_growth_forecast_consensus!$G$2)/gdp_growth_forecast_consensus!$G$3</f>
        <v>0.58384859800364686</v>
      </c>
      <c r="C148">
        <f>(gdp_growth_forecast_consensus!C148-gdp_growth_forecast_consensus!$H$2)/gdp_growth_forecast_consensus!$H$3</f>
        <v>0.63457992111153172</v>
      </c>
    </row>
    <row r="149" spans="1:3" x14ac:dyDescent="0.45">
      <c r="A149" t="s">
        <v>282</v>
      </c>
      <c r="B149">
        <f>(gdp_growth_forecast_consensus!B149-gdp_growth_forecast_consensus!$G$2)/gdp_growth_forecast_consensus!$G$3</f>
        <v>0.62742346348726741</v>
      </c>
      <c r="C149">
        <f>(gdp_growth_forecast_consensus!C149-gdp_growth_forecast_consensus!$H$2)/gdp_growth_forecast_consensus!$H$3</f>
        <v>0.60381386728786535</v>
      </c>
    </row>
    <row r="150" spans="1:3" x14ac:dyDescent="0.45">
      <c r="A150" t="s">
        <v>283</v>
      </c>
      <c r="B150">
        <f>(gdp_growth_forecast_consensus!B150-gdp_growth_forecast_consensus!$G$2)/gdp_growth_forecast_consensus!$G$3</f>
        <v>0.6057499864069934</v>
      </c>
      <c r="C150">
        <f>(gdp_growth_forecast_consensus!C150-gdp_growth_forecast_consensus!$H$2)/gdp_growth_forecast_consensus!$H$3</f>
        <v>0.56474683913253854</v>
      </c>
    </row>
    <row r="151" spans="1:3" x14ac:dyDescent="0.45">
      <c r="A151" t="s">
        <v>284</v>
      </c>
      <c r="B151">
        <f>(gdp_growth_forecast_consensus!B151-gdp_growth_forecast_consensus!$G$2)/gdp_growth_forecast_consensus!$G$3</f>
        <v>0.69472437679558852</v>
      </c>
      <c r="C151">
        <f>(gdp_growth_forecast_consensus!C151-gdp_growth_forecast_consensus!$H$2)/gdp_growth_forecast_consensus!$H$3</f>
        <v>0.47488945126488513</v>
      </c>
    </row>
    <row r="152" spans="1:3" x14ac:dyDescent="0.45">
      <c r="A152" t="s">
        <v>285</v>
      </c>
      <c r="B152">
        <f>(gdp_growth_forecast_consensus!B152-gdp_growth_forecast_consensus!$G$2)/gdp_growth_forecast_consensus!$G$3</f>
        <v>0.78917411428502038</v>
      </c>
      <c r="C152">
        <f>(gdp_growth_forecast_consensus!C152-gdp_growth_forecast_consensus!$H$2)/gdp_growth_forecast_consensus!$H$3</f>
        <v>0.31422325799697337</v>
      </c>
    </row>
    <row r="153" spans="1:3" x14ac:dyDescent="0.45">
      <c r="A153" t="s">
        <v>286</v>
      </c>
      <c r="B153">
        <f>(gdp_growth_forecast_consensus!B153-gdp_growth_forecast_consensus!$G$2)/gdp_growth_forecast_consensus!$G$3</f>
        <v>0.92902406109781455</v>
      </c>
      <c r="C153">
        <f>(gdp_growth_forecast_consensus!C153-gdp_growth_forecast_consensus!$H$2)/gdp_growth_forecast_consensus!$H$3</f>
        <v>-6.7179116104465753E-2</v>
      </c>
    </row>
    <row r="154" spans="1:3" x14ac:dyDescent="0.45">
      <c r="A154" t="s">
        <v>287</v>
      </c>
      <c r="B154">
        <f>(gdp_growth_forecast_consensus!B154-gdp_growth_forecast_consensus!$G$2)/gdp_growth_forecast_consensus!$G$3</f>
        <v>6.1181545615208485E-2</v>
      </c>
      <c r="C154">
        <f>(gdp_growth_forecast_consensus!C154-gdp_growth_forecast_consensus!$H$2)/gdp_growth_forecast_consensus!$H$3</f>
        <v>-1.2972259367530792E-2</v>
      </c>
    </row>
    <row r="155" spans="1:3" x14ac:dyDescent="0.45">
      <c r="A155" t="s">
        <v>288</v>
      </c>
      <c r="B155">
        <f>(gdp_growth_forecast_consensus!B155-gdp_growth_forecast_consensus!$G$2)/gdp_growth_forecast_consensus!$G$3</f>
        <v>-2.2414531089450483E-3</v>
      </c>
      <c r="C155">
        <f>(gdp_growth_forecast_consensus!C155-gdp_growth_forecast_consensus!$H$2)/gdp_growth_forecast_consensus!$H$3</f>
        <v>-0.67322056472449254</v>
      </c>
    </row>
    <row r="156" spans="1:3" x14ac:dyDescent="0.45">
      <c r="A156" t="s">
        <v>289</v>
      </c>
      <c r="B156">
        <f>(gdp_growth_forecast_consensus!B156-gdp_growth_forecast_consensus!$G$2)/gdp_growth_forecast_consensus!$G$3</f>
        <v>-0.18019023388613553</v>
      </c>
      <c r="C156">
        <f>(gdp_growth_forecast_consensus!C156-gdp_growth_forecast_consensus!$H$2)/gdp_growth_forecast_consensus!$H$3</f>
        <v>-1.7383124866112174</v>
      </c>
    </row>
    <row r="157" spans="1:3" x14ac:dyDescent="0.45">
      <c r="A157" t="s">
        <v>290</v>
      </c>
      <c r="B157">
        <f>(gdp_growth_forecast_consensus!B157-gdp_growth_forecast_consensus!$G$2)/gdp_growth_forecast_consensus!$G$3</f>
        <v>-0.5130456869105493</v>
      </c>
      <c r="C157">
        <f>(gdp_growth_forecast_consensus!C157-gdp_growth_forecast_consensus!$H$2)/gdp_growth_forecast_consensus!$H$3</f>
        <v>-4.1688307386808203</v>
      </c>
    </row>
    <row r="158" spans="1:3" x14ac:dyDescent="0.45">
      <c r="A158" t="s">
        <v>291</v>
      </c>
      <c r="B158">
        <f>(gdp_growth_forecast_consensus!B158-gdp_growth_forecast_consensus!$G$2)/gdp_growth_forecast_consensus!$G$3</f>
        <v>-2.930183315281333</v>
      </c>
      <c r="C158">
        <f>(gdp_growth_forecast_consensus!C158-gdp_growth_forecast_consensus!$H$2)/gdp_growth_forecast_consensus!$H$3</f>
        <v>-2.0899245303102556</v>
      </c>
    </row>
    <row r="159" spans="1:3" x14ac:dyDescent="0.45">
      <c r="A159" t="s">
        <v>292</v>
      </c>
      <c r="B159">
        <f>(gdp_growth_forecast_consensus!B159-gdp_growth_forecast_consensus!$G$2)/gdp_growth_forecast_consensus!$G$3</f>
        <v>-3.6043354270718431</v>
      </c>
      <c r="C159">
        <f>(gdp_growth_forecast_consensus!C159-gdp_growth_forecast_consensus!$H$2)/gdp_growth_forecast_consensus!$H$3</f>
        <v>-2.2520567992953739</v>
      </c>
    </row>
    <row r="160" spans="1:3" x14ac:dyDescent="0.45">
      <c r="A160" t="s">
        <v>293</v>
      </c>
      <c r="B160">
        <f>(gdp_growth_forecast_consensus!B160-gdp_growth_forecast_consensus!$G$2)/gdp_growth_forecast_consensus!$G$3</f>
        <v>-4.0113364563734946</v>
      </c>
      <c r="C160">
        <f>(gdp_growth_forecast_consensus!C160-gdp_growth_forecast_consensus!$H$2)/gdp_growth_forecast_consensus!$H$3</f>
        <v>-1.5039044574785254</v>
      </c>
    </row>
    <row r="161" spans="1:3" x14ac:dyDescent="0.45">
      <c r="A161" t="s">
        <v>294</v>
      </c>
      <c r="B161">
        <f>(gdp_growth_forecast_consensus!B161-gdp_growth_forecast_consensus!$G$2)/gdp_growth_forecast_consensus!$G$3</f>
        <v>-4.1881443116985491</v>
      </c>
      <c r="C161">
        <f>(gdp_growth_forecast_consensus!C161-gdp_growth_forecast_consensus!$H$2)/gdp_growth_forecast_consensus!$H$3</f>
        <v>-1.0052990943458671</v>
      </c>
    </row>
    <row r="162" spans="1:3" x14ac:dyDescent="0.45">
      <c r="A162" t="s">
        <v>295</v>
      </c>
      <c r="B162">
        <f>(gdp_growth_forecast_consensus!B162-gdp_growth_forecast_consensus!$G$2)/gdp_growth_forecast_consensus!$G$3</f>
        <v>-0.16125443035627957</v>
      </c>
      <c r="C162">
        <f>(gdp_growth_forecast_consensus!C162-gdp_growth_forecast_consensus!$H$2)/gdp_growth_forecast_consensus!$H$3</f>
        <v>0.33863978433150782</v>
      </c>
    </row>
    <row r="163" spans="1:3" x14ac:dyDescent="0.45">
      <c r="A163" t="s">
        <v>296</v>
      </c>
      <c r="B163">
        <f>(gdp_growth_forecast_consensus!B163-gdp_growth_forecast_consensus!$G$2)/gdp_growth_forecast_consensus!$G$3</f>
        <v>-0.25616067491024375</v>
      </c>
      <c r="C163">
        <f>(gdp_growth_forecast_consensus!C163-gdp_growth_forecast_consensus!$H$2)/gdp_growth_forecast_consensus!$H$3</f>
        <v>0.40847433136068262</v>
      </c>
    </row>
    <row r="164" spans="1:3" x14ac:dyDescent="0.45">
      <c r="A164" t="s">
        <v>297</v>
      </c>
      <c r="B164">
        <f>(gdp_growth_forecast_consensus!B164-gdp_growth_forecast_consensus!$G$2)/gdp_growth_forecast_consensus!$G$3</f>
        <v>-0.15920117519346591</v>
      </c>
      <c r="C164">
        <f>(gdp_growth_forecast_consensus!C164-gdp_growth_forecast_consensus!$H$2)/gdp_growth_forecast_consensus!$H$3</f>
        <v>0.12962693505497841</v>
      </c>
    </row>
    <row r="165" spans="1:3" x14ac:dyDescent="0.45">
      <c r="A165" t="s">
        <v>298</v>
      </c>
      <c r="B165">
        <f>(gdp_growth_forecast_consensus!B165-gdp_growth_forecast_consensus!$G$2)/gdp_growth_forecast_consensus!$G$3</f>
        <v>7.1124929944467946E-3</v>
      </c>
      <c r="C165">
        <f>(gdp_growth_forecast_consensus!C165-gdp_growth_forecast_consensus!$H$2)/gdp_growth_forecast_consensus!$H$3</f>
        <v>-2.1273233699192182E-2</v>
      </c>
    </row>
    <row r="166" spans="1:3" x14ac:dyDescent="0.45">
      <c r="A166" t="s">
        <v>299</v>
      </c>
      <c r="B166">
        <f>(gdp_growth_forecast_consensus!B166-gdp_growth_forecast_consensus!$G$2)/gdp_growth_forecast_consensus!$G$3</f>
        <v>0.18962360674340945</v>
      </c>
      <c r="C166">
        <f>(gdp_growth_forecast_consensus!C166-gdp_growth_forecast_consensus!$H$2)/gdp_growth_forecast_consensus!$H$3</f>
        <v>0.24194647231427191</v>
      </c>
    </row>
    <row r="167" spans="1:3" x14ac:dyDescent="0.45">
      <c r="A167" t="s">
        <v>300</v>
      </c>
      <c r="B167">
        <f>(gdp_growth_forecast_consensus!B167-gdp_growth_forecast_consensus!$G$2)/gdp_growth_forecast_consensus!$G$3</f>
        <v>2.3766445620028966E-2</v>
      </c>
      <c r="C167">
        <f>(gdp_growth_forecast_consensus!C167-gdp_growth_forecast_consensus!$H$2)/gdp_growth_forecast_consensus!$H$3</f>
        <v>0.27368971460938446</v>
      </c>
    </row>
    <row r="168" spans="1:3" x14ac:dyDescent="0.45">
      <c r="A168" t="s">
        <v>301</v>
      </c>
      <c r="B168">
        <f>(gdp_growth_forecast_consensus!B168-gdp_growth_forecast_consensus!$G$2)/gdp_growth_forecast_consensus!$G$3</f>
        <v>-0.23015277618126975</v>
      </c>
      <c r="C168">
        <f>(gdp_growth_forecast_consensus!C168-gdp_growth_forecast_consensus!$H$2)/gdp_growth_forecast_consensus!$H$3</f>
        <v>-2.0297510277927592E-2</v>
      </c>
    </row>
    <row r="169" spans="1:3" x14ac:dyDescent="0.45">
      <c r="A169" t="s">
        <v>302</v>
      </c>
      <c r="B169">
        <f>(gdp_growth_forecast_consensus!B169-gdp_growth_forecast_consensus!$G$2)/gdp_growth_forecast_consensus!$G$3</f>
        <v>-0.47699969745793408</v>
      </c>
      <c r="C169">
        <f>(gdp_growth_forecast_consensus!C169-gdp_growth_forecast_consensus!$H$2)/gdp_growth_forecast_consensus!$H$3</f>
        <v>-1.326632945931872</v>
      </c>
    </row>
    <row r="170" spans="1:3" x14ac:dyDescent="0.45">
      <c r="A170" t="s">
        <v>303</v>
      </c>
      <c r="B170">
        <f>(gdp_growth_forecast_consensus!B170-gdp_growth_forecast_consensus!$G$2)/gdp_growth_forecast_consensus!$G$3</f>
        <v>-0.77129960412790277</v>
      </c>
      <c r="C170">
        <f>(gdp_growth_forecast_consensus!C170-gdp_growth_forecast_consensus!$H$2)/gdp_growth_forecast_consensus!$H$3</f>
        <v>-0.30207500694779049</v>
      </c>
    </row>
    <row r="171" spans="1:3" x14ac:dyDescent="0.45">
      <c r="A171" t="s">
        <v>304</v>
      </c>
      <c r="B171">
        <f>(gdp_growth_forecast_consensus!B171-gdp_growth_forecast_consensus!$G$2)/gdp_growth_forecast_consensus!$G$3</f>
        <v>-0.80437980338151127</v>
      </c>
      <c r="C171">
        <f>(gdp_growth_forecast_consensus!C171-gdp_growth_forecast_consensus!$H$2)/gdp_growth_forecast_consensus!$H$3</f>
        <v>-0.28498226647347114</v>
      </c>
    </row>
    <row r="172" spans="1:3" x14ac:dyDescent="0.45">
      <c r="A172" t="s">
        <v>305</v>
      </c>
      <c r="B172">
        <f>(gdp_growth_forecast_consensus!B172-gdp_growth_forecast_consensus!$G$2)/gdp_growth_forecast_consensus!$G$3</f>
        <v>-1.1992892130293531</v>
      </c>
      <c r="C172">
        <f>(gdp_growth_forecast_consensus!C172-gdp_growth_forecast_consensus!$H$2)/gdp_growth_forecast_consensus!$H$3</f>
        <v>-0.84853872486337922</v>
      </c>
    </row>
    <row r="173" spans="1:3" x14ac:dyDescent="0.45">
      <c r="A173" t="s">
        <v>306</v>
      </c>
      <c r="B173">
        <f>(gdp_growth_forecast_consensus!B173-gdp_growth_forecast_consensus!$G$2)/gdp_growth_forecast_consensus!$G$3</f>
        <v>-1.2394417812494347</v>
      </c>
      <c r="C173">
        <f>(gdp_growth_forecast_consensus!C173-gdp_growth_forecast_consensus!$H$2)/gdp_growth_forecast_consensus!$H$3</f>
        <v>-1.1855002667416243</v>
      </c>
    </row>
    <row r="174" spans="1:3" x14ac:dyDescent="0.45">
      <c r="A174" t="s">
        <v>307</v>
      </c>
      <c r="B174">
        <f>(gdp_growth_forecast_consensus!B174-gdp_growth_forecast_consensus!$G$2)/gdp_growth_forecast_consensus!$G$3</f>
        <v>-0.49593522722043493</v>
      </c>
      <c r="C174">
        <f>(gdp_growth_forecast_consensus!C174-gdp_growth_forecast_consensus!$H$2)/gdp_growth_forecast_consensus!$H$3</f>
        <v>-0.4686028659942012</v>
      </c>
    </row>
    <row r="175" spans="1:3" x14ac:dyDescent="0.45">
      <c r="A175" t="s">
        <v>308</v>
      </c>
      <c r="B175">
        <f>(gdp_growth_forecast_consensus!B175-gdp_growth_forecast_consensus!$G$2)/gdp_growth_forecast_consensus!$G$3</f>
        <v>-0.57259008663214772</v>
      </c>
      <c r="C175">
        <f>(gdp_growth_forecast_consensus!C175-gdp_growth_forecast_consensus!$H$2)/gdp_growth_forecast_consensus!$H$3</f>
        <v>-0.53501798589840344</v>
      </c>
    </row>
    <row r="176" spans="1:3" x14ac:dyDescent="0.45">
      <c r="A176" t="s">
        <v>309</v>
      </c>
      <c r="B176">
        <f>(gdp_growth_forecast_consensus!B176-gdp_growth_forecast_consensus!$G$2)/gdp_growth_forecast_consensus!$G$3</f>
        <v>-0.3423973917484206</v>
      </c>
      <c r="C176">
        <f>(gdp_growth_forecast_consensus!C176-gdp_growth_forecast_consensus!$H$2)/gdp_growth_forecast_consensus!$H$3</f>
        <v>-9.7945169928131792E-2</v>
      </c>
    </row>
    <row r="177" spans="1:3" x14ac:dyDescent="0.45">
      <c r="A177" t="s">
        <v>310</v>
      </c>
      <c r="B177">
        <f>(gdp_growth_forecast_consensus!B177-gdp_growth_forecast_consensus!$G$2)/gdp_growth_forecast_consensus!$G$3</f>
        <v>-0.18361232582415835</v>
      </c>
      <c r="C177">
        <f>(gdp_growth_forecast_consensus!C177-gdp_growth_forecast_consensus!$H$2)/gdp_growth_forecast_consensus!$H$3</f>
        <v>0.55302643767590398</v>
      </c>
    </row>
    <row r="178" spans="1:3" x14ac:dyDescent="0.45">
      <c r="A178" t="s">
        <v>311</v>
      </c>
      <c r="B178">
        <f>(gdp_growth_forecast_consensus!B178-gdp_growth_forecast_consensus!$G$2)/gdp_growth_forecast_consensus!$G$3</f>
        <v>0.69267112163277478</v>
      </c>
      <c r="C178">
        <f>(gdp_growth_forecast_consensus!C178-gdp_growth_forecast_consensus!$H$2)/gdp_growth_forecast_consensus!$H$3</f>
        <v>0.6414173103112959</v>
      </c>
    </row>
    <row r="179" spans="1:3" x14ac:dyDescent="0.45">
      <c r="A179" t="s">
        <v>312</v>
      </c>
      <c r="B179">
        <f>(gdp_growth_forecast_consensus!B179-gdp_growth_forecast_consensus!$G$2)/gdp_growth_forecast_consensus!$G$3</f>
        <v>0.83753990848187299</v>
      </c>
      <c r="C179">
        <f>(gdp_growth_forecast_consensus!C179-gdp_growth_forecast_consensus!$H$2)/gdp_growth_forecast_consensus!$H$3</f>
        <v>0.75422617433140393</v>
      </c>
    </row>
    <row r="180" spans="1:3" x14ac:dyDescent="0.45">
      <c r="A180" t="s">
        <v>313</v>
      </c>
      <c r="B180">
        <f>(gdp_growth_forecast_consensus!B180-gdp_growth_forecast_consensus!$G$2)/gdp_growth_forecast_consensus!$G$3</f>
        <v>0.96141963663830177</v>
      </c>
      <c r="C180">
        <f>(gdp_growth_forecast_consensus!C180-gdp_growth_forecast_consensus!$H$2)/gdp_growth_forecast_consensus!$H$3</f>
        <v>0.90463848137494196</v>
      </c>
    </row>
    <row r="181" spans="1:3" x14ac:dyDescent="0.45">
      <c r="A181" t="s">
        <v>314</v>
      </c>
      <c r="B181">
        <f>(gdp_growth_forecast_consensus!B181-gdp_growth_forecast_consensus!$G$2)/gdp_growth_forecast_consensus!$G$3</f>
        <v>0.9331305714234418</v>
      </c>
      <c r="C181">
        <f>(gdp_growth_forecast_consensus!C181-gdp_growth_forecast_consensus!$H$2)/gdp_growth_forecast_consensus!$H$3</f>
        <v>0.89926614235725688</v>
      </c>
    </row>
    <row r="182" spans="1:3" x14ac:dyDescent="0.45">
      <c r="A182" t="s">
        <v>315</v>
      </c>
      <c r="B182">
        <f>(gdp_growth_forecast_consensus!B182-gdp_growth_forecast_consensus!$G$2)/gdp_growth_forecast_consensus!$G$3</f>
        <v>0.68103600904349693</v>
      </c>
      <c r="C182">
        <f>(gdp_growth_forecast_consensus!C182-gdp_growth_forecast_consensus!$H$2)/gdp_growth_forecast_consensus!$H$3</f>
        <v>0.69757707894094234</v>
      </c>
    </row>
    <row r="183" spans="1:3" x14ac:dyDescent="0.45">
      <c r="A183" t="s">
        <v>316</v>
      </c>
      <c r="B183">
        <f>(gdp_growth_forecast_consensus!B183-gdp_growth_forecast_consensus!$G$2)/gdp_growth_forecast_consensus!$G$3</f>
        <v>0.58362068668057432</v>
      </c>
      <c r="C183">
        <f>(gdp_growth_forecast_consensus!C183-gdp_growth_forecast_consensus!$H$2)/gdp_growth_forecast_consensus!$H$3</f>
        <v>0.72394798221837053</v>
      </c>
    </row>
    <row r="184" spans="1:3" x14ac:dyDescent="0.45">
      <c r="A184" t="s">
        <v>317</v>
      </c>
      <c r="B184">
        <f>(gdp_growth_forecast_consensus!B184-gdp_growth_forecast_consensus!$G$2)/gdp_growth_forecast_consensus!$G$3</f>
        <v>0.61989486122361726</v>
      </c>
      <c r="C184">
        <f>(gdp_growth_forecast_consensus!C184-gdp_growth_forecast_consensus!$H$2)/gdp_growth_forecast_consensus!$H$3</f>
        <v>0.7078324302154978</v>
      </c>
    </row>
    <row r="185" spans="1:3" x14ac:dyDescent="0.45">
      <c r="A185" t="s">
        <v>318</v>
      </c>
      <c r="B185">
        <f>(gdp_growth_forecast_consensus!B185-gdp_growth_forecast_consensus!$G$2)/gdp_growth_forecast_consensus!$G$3</f>
        <v>0.55920953604988199</v>
      </c>
      <c r="C185">
        <f>(gdp_growth_forecast_consensus!C185-gdp_growth_forecast_consensus!$H$2)/gdp_growth_forecast_consensus!$H$3</f>
        <v>0.55839731164340667</v>
      </c>
    </row>
    <row r="186" spans="1:3" x14ac:dyDescent="0.45">
      <c r="A186" t="s">
        <v>319</v>
      </c>
      <c r="B186">
        <f>(gdp_growth_forecast_consensus!B186-gdp_growth_forecast_consensus!$G$2)/gdp_growth_forecast_consensus!$G$3</f>
        <v>0.33745797846599829</v>
      </c>
      <c r="C186">
        <f>(gdp_growth_forecast_consensus!C186-gdp_growth_forecast_consensus!$H$2)/gdp_growth_forecast_consensus!$H$3</f>
        <v>0.38210342808325504</v>
      </c>
    </row>
    <row r="187" spans="1:3" x14ac:dyDescent="0.45">
      <c r="A187" t="s">
        <v>320</v>
      </c>
      <c r="B187">
        <f>(gdp_growth_forecast_consensus!B187-gdp_growth_forecast_consensus!$G$2)/gdp_growth_forecast_consensus!$G$3</f>
        <v>0.1866580218699187</v>
      </c>
      <c r="C187">
        <f>(gdp_growth_forecast_consensus!C187-gdp_growth_forecast_consensus!$H$2)/gdp_growth_forecast_consensus!$H$3</f>
        <v>0.26001640126003839</v>
      </c>
    </row>
    <row r="188" spans="1:3" x14ac:dyDescent="0.45">
      <c r="A188" t="s">
        <v>321</v>
      </c>
      <c r="B188">
        <f>(gdp_growth_forecast_consensus!B188-gdp_growth_forecast_consensus!$G$2)/gdp_growth_forecast_consensus!$G$3</f>
        <v>-5.4356337238956019E-3</v>
      </c>
      <c r="C188">
        <f>(gdp_growth_forecast_consensus!C188-gdp_growth_forecast_consensus!$H$2)/gdp_growth_forecast_consensus!$H$3</f>
        <v>-1.9683253651976713</v>
      </c>
    </row>
    <row r="189" spans="1:3" x14ac:dyDescent="0.45">
      <c r="A189" t="s">
        <v>322</v>
      </c>
      <c r="B189">
        <f>(gdp_growth_forecast_consensus!B189-gdp_growth_forecast_consensus!$G$2)/gdp_growth_forecast_consensus!$G$3</f>
        <v>0.22475754025270289</v>
      </c>
      <c r="C189">
        <f>(gdp_growth_forecast_consensus!C189-gdp_growth_forecast_consensus!$H$2)/gdp_growth_forecast_consensus!$H$3</f>
        <v>-1.2895188296692564</v>
      </c>
    </row>
    <row r="190" spans="1:3" x14ac:dyDescent="0.45">
      <c r="A190" t="s">
        <v>323</v>
      </c>
      <c r="B190">
        <f>(gdp_growth_forecast_consensus!B190-gdp_growth_forecast_consensus!$G$2)/gdp_growth_forecast_consensus!$G$3</f>
        <v>-0.10536071831416403</v>
      </c>
      <c r="C190">
        <f>(gdp_growth_forecast_consensus!C190-gdp_growth_forecast_consensus!$H$2)/gdp_growth_forecast_consensus!$H$3</f>
        <v>-0.92765143469566291</v>
      </c>
    </row>
    <row r="191" spans="1:3" x14ac:dyDescent="0.45">
      <c r="A191" t="s">
        <v>324</v>
      </c>
      <c r="B191">
        <f>(gdp_growth_forecast_consensus!B191-gdp_growth_forecast_consensus!$G$2)/gdp_growth_forecast_consensus!$G$3</f>
        <v>1.6465754679450939E-2</v>
      </c>
      <c r="C191">
        <f>(gdp_growth_forecast_consensus!C191-gdp_growth_forecast_consensus!$H$2)/gdp_growth_forecast_consensus!$H$3</f>
        <v>-0.88907226825096808</v>
      </c>
    </row>
    <row r="192" spans="1:3" x14ac:dyDescent="0.45">
      <c r="A192" t="s">
        <v>325</v>
      </c>
      <c r="B192">
        <f>(gdp_growth_forecast_consensus!B192-gdp_growth_forecast_consensus!$G$2)/gdp_growth_forecast_consensus!$G$3</f>
        <v>-4.3306556365219656E-2</v>
      </c>
      <c r="C192">
        <f>(gdp_growth_forecast_consensus!C192-gdp_growth_forecast_consensus!$H$2)/gdp_growth_forecast_consensus!$H$3</f>
        <v>-0.85049163675609096</v>
      </c>
    </row>
    <row r="193" spans="1:3" x14ac:dyDescent="0.45">
      <c r="A193" t="s">
        <v>326</v>
      </c>
      <c r="B193">
        <f>(gdp_growth_forecast_consensus!B193-gdp_growth_forecast_consensus!$G$2)/gdp_growth_forecast_consensus!$G$3</f>
        <v>-6.7945618318984519E-2</v>
      </c>
      <c r="C193">
        <f>(gdp_growth_forecast_consensus!C193-gdp_growth_forecast_consensus!$H$2)/gdp_growth_forecast_consensus!$H$3</f>
        <v>-0.7943318681264443</v>
      </c>
    </row>
    <row r="194" spans="1:3" x14ac:dyDescent="0.45">
      <c r="A194" t="s">
        <v>327</v>
      </c>
      <c r="B194">
        <f>(gdp_growth_forecast_consensus!B194-gdp_growth_forecast_consensus!$G$2)/gdp_growth_forecast_consensus!$G$3</f>
        <v>-0.10353537447442264</v>
      </c>
      <c r="C194">
        <f>(gdp_growth_forecast_consensus!C194-gdp_growth_forecast_consensus!$H$2)/gdp_growth_forecast_consensus!$H$3</f>
        <v>-0.72645169804016285</v>
      </c>
    </row>
    <row r="195" spans="1:3" x14ac:dyDescent="0.45">
      <c r="A195" t="s">
        <v>328</v>
      </c>
      <c r="B195">
        <f>(gdp_growth_forecast_consensus!B195-gdp_growth_forecast_consensus!$G$2)/gdp_growth_forecast_consensus!$G$3</f>
        <v>-0.15897326387039348</v>
      </c>
      <c r="C195">
        <f>(gdp_growth_forecast_consensus!C195-gdp_growth_forecast_consensus!$H$2)/gdp_growth_forecast_consensus!$H$3</f>
        <v>-0.69715069439857635</v>
      </c>
    </row>
    <row r="196" spans="1:3" x14ac:dyDescent="0.45">
      <c r="A196" t="s">
        <v>329</v>
      </c>
      <c r="B196">
        <f>(gdp_growth_forecast_consensus!B196-gdp_growth_forecast_consensus!$G$2)/gdp_growth_forecast_consensus!$G$3</f>
        <v>-0.23471579357142947</v>
      </c>
      <c r="C196">
        <f>(gdp_growth_forecast_consensus!C196-gdp_growth_forecast_consensus!$H$2)/gdp_growth_forecast_consensus!$H$3</f>
        <v>-0.7747983540487805</v>
      </c>
    </row>
    <row r="197" spans="1:3" x14ac:dyDescent="0.45">
      <c r="A197" t="s">
        <v>330</v>
      </c>
      <c r="B197">
        <f>(gdp_growth_forecast_consensus!B197-gdp_growth_forecast_consensus!$G$2)/gdp_growth_forecast_consensus!$G$3</f>
        <v>-0.24863207264659332</v>
      </c>
      <c r="C197">
        <f>(gdp_growth_forecast_consensus!C197-gdp_growth_forecast_consensus!$H$2)/gdp_growth_forecast_consensus!$H$3</f>
        <v>-0.69470845574504991</v>
      </c>
    </row>
    <row r="198" spans="1:3" x14ac:dyDescent="0.45">
      <c r="A198" t="s">
        <v>331</v>
      </c>
      <c r="B198">
        <f>(gdp_growth_forecast_consensus!B198-gdp_growth_forecast_consensus!$G$2)/gdp_growth_forecast_consensus!$G$3</f>
        <v>-0.18634999937457666</v>
      </c>
      <c r="C198">
        <f>(gdp_growth_forecast_consensus!C198-gdp_growth_forecast_consensus!$H$2)/gdp_growth_forecast_consensus!$H$3</f>
        <v>-0.66150016326785788</v>
      </c>
    </row>
    <row r="199" spans="1:3" x14ac:dyDescent="0.45">
      <c r="A199" t="s">
        <v>332</v>
      </c>
      <c r="B199">
        <f>(gdp_growth_forecast_consensus!B199-gdp_growth_forecast_consensus!$G$2)/gdp_growth_forecast_consensus!$G$3</f>
        <v>-0.22330859230522396</v>
      </c>
      <c r="C199">
        <f>(gdp_growth_forecast_consensus!C199-gdp_growth_forecast_consensus!$H$2)/gdp_growth_forecast_consensus!$H$3</f>
        <v>-0.82802802231426864</v>
      </c>
    </row>
    <row r="200" spans="1:3" x14ac:dyDescent="0.45">
      <c r="A200" t="s">
        <v>333</v>
      </c>
      <c r="B200">
        <f>(gdp_growth_forecast_consensus!B200-gdp_growth_forecast_consensus!$G$2)/gdp_growth_forecast_consensus!$G$3</f>
        <v>-0.28262508070375003</v>
      </c>
      <c r="C200">
        <f>(gdp_growth_forecast_consensus!C200-gdp_growth_forecast_consensus!$H$2)/gdp_growth_forecast_consensus!$H$3</f>
        <v>-1.1576643132821172</v>
      </c>
    </row>
    <row r="201" spans="1:3" x14ac:dyDescent="0.45">
      <c r="A201" t="s">
        <v>334</v>
      </c>
      <c r="B201">
        <f>(gdp_growth_forecast_consensus!B201-gdp_growth_forecast_consensus!$G$2)/gdp_growth_forecast_consensus!$G$3</f>
        <v>-0.26117951494654801</v>
      </c>
      <c r="C201">
        <f>(gdp_growth_forecast_consensus!C201-gdp_growth_forecast_consensus!$H$2)/gdp_growth_forecast_consensus!$H$3</f>
        <v>-1.3134474942931582</v>
      </c>
    </row>
    <row r="202" spans="1:3" x14ac:dyDescent="0.45">
      <c r="A202" t="s">
        <v>335</v>
      </c>
      <c r="B202">
        <f>(gdp_growth_forecast_consensus!B202-gdp_growth_forecast_consensus!$G$2)/gdp_growth_forecast_consensus!$G$3</f>
        <v>-0.44255038766176147</v>
      </c>
      <c r="C202">
        <f>(gdp_growth_forecast_consensus!C202-gdp_growth_forecast_consensus!$H$2)/gdp_growth_forecast_consensus!$H$3</f>
        <v>-0.85830621442730204</v>
      </c>
    </row>
    <row r="203" spans="1:3" x14ac:dyDescent="0.45">
      <c r="A203" t="s">
        <v>336</v>
      </c>
      <c r="B203">
        <f>(gdp_growth_forecast_consensus!B203-gdp_growth_forecast_consensus!$G$2)/gdp_growth_forecast_consensus!$G$3</f>
        <v>-6.2144792460726332</v>
      </c>
      <c r="C203">
        <f>(gdp_growth_forecast_consensus!C203-gdp_growth_forecast_consensus!$H$2)/gdp_growth_forecast_consensus!$H$3</f>
        <v>5.2992997008521074</v>
      </c>
    </row>
    <row r="204" spans="1:3" x14ac:dyDescent="0.45">
      <c r="A204" t="s">
        <v>337</v>
      </c>
      <c r="B204">
        <f>(gdp_growth_forecast_consensus!B204-gdp_growth_forecast_consensus!$G$2)/gdp_growth_forecast_consensus!$G$3</f>
        <v>-7.8036987420904662</v>
      </c>
      <c r="C204">
        <f>(gdp_growth_forecast_consensus!C204-gdp_growth_forecast_consensus!$H$2)/gdp_growth_forecast_consensus!$H$3</f>
        <v>6.2427920181111922</v>
      </c>
    </row>
    <row r="205" spans="1:3" x14ac:dyDescent="0.45">
      <c r="A205" t="s">
        <v>338</v>
      </c>
      <c r="B205">
        <f>(gdp_growth_forecast_consensus!B205-gdp_growth_forecast_consensus!$G$2)/gdp_growth_forecast_consensus!$G$3</f>
        <v>-8.4780787652040495</v>
      </c>
      <c r="C205">
        <f>(gdp_growth_forecast_consensus!C205-gdp_growth_forecast_consensus!$H$2)/gdp_growth_forecast_consensus!$H$3</f>
        <v>4.7152340049632695</v>
      </c>
    </row>
    <row r="206" spans="1:3" x14ac:dyDescent="0.45">
      <c r="A206" t="s">
        <v>339</v>
      </c>
      <c r="B206">
        <f>(gdp_growth_forecast_consensus!B206-gdp_growth_forecast_consensus!$G$2)/gdp_growth_forecast_consensus!$G$3</f>
        <v>1.8413537717747182</v>
      </c>
      <c r="C206">
        <f>(gdp_growth_forecast_consensus!C206-gdp_growth_forecast_consensus!$H$2)/gdp_growth_forecast_consensus!$H$3</f>
        <v>5.4741299992803603</v>
      </c>
    </row>
    <row r="207" spans="1:3" x14ac:dyDescent="0.45">
      <c r="A207" t="s">
        <v>340</v>
      </c>
      <c r="B207">
        <f>(gdp_growth_forecast_consensus!B207-gdp_growth_forecast_consensus!$G$2)/gdp_growth_forecast_consensus!$G$3</f>
        <v>2.977944117844463</v>
      </c>
      <c r="C207">
        <f>(gdp_growth_forecast_consensus!C207-gdp_growth_forecast_consensus!$H$2)/gdp_growth_forecast_consensus!$H$3</f>
        <v>5.0521955468415154</v>
      </c>
    </row>
    <row r="208" spans="1:3" x14ac:dyDescent="0.45">
      <c r="A208" t="s">
        <v>341</v>
      </c>
      <c r="B208">
        <f>(gdp_growth_forecast_consensus!B208-gdp_growth_forecast_consensus!$G$2)/gdp_growth_forecast_consensus!$G$3</f>
        <v>3.5120190559174946</v>
      </c>
      <c r="C208">
        <f>(gdp_growth_forecast_consensus!C208-gdp_growth_forecast_consensus!$H$2)/gdp_growth_forecast_consensus!$H$3</f>
        <v>4.9677104979915461</v>
      </c>
    </row>
    <row r="209" spans="1:3" x14ac:dyDescent="0.45">
      <c r="A209" t="s">
        <v>342</v>
      </c>
      <c r="B209">
        <f>(gdp_growth_forecast_consensus!B209-gdp_growth_forecast_consensus!$G$2)/gdp_growth_forecast_consensus!$G$3</f>
        <v>3.6194727427714133</v>
      </c>
      <c r="C209">
        <f>(gdp_growth_forecast_consensus!C209-gdp_growth_forecast_consensus!$H$2)/gdp_growth_forecast_consensus!$H$3</f>
        <v>4.1931882784323964</v>
      </c>
    </row>
    <row r="210" spans="1:3" x14ac:dyDescent="0.45">
      <c r="A210" t="s">
        <v>343</v>
      </c>
      <c r="B210">
        <f>(gdp_growth_forecast_consensus!B210-gdp_growth_forecast_consensus!$G$2)/gdp_growth_forecast_consensus!$G$3</f>
        <v>1.721124046879384</v>
      </c>
      <c r="C210">
        <f>(gdp_growth_forecast_consensus!C210-gdp_growth_forecast_consensus!$H$2)/gdp_growth_forecast_consensus!$H$3</f>
        <v>-8.5735441710682592E-2</v>
      </c>
    </row>
    <row r="211" spans="1:3" x14ac:dyDescent="0.45">
      <c r="A211" t="s">
        <v>344</v>
      </c>
      <c r="B211">
        <f>(gdp_growth_forecast_consensus!B211-gdp_growth_forecast_consensus!$G$2)/gdp_growth_forecast_consensus!$G$3</f>
        <v>1.4236299595944648</v>
      </c>
      <c r="C211">
        <f>(gdp_growth_forecast_consensus!C211-gdp_growth_forecast_consensus!$H$2)/gdp_growth_forecast_consensus!$H$3</f>
        <v>-1.344213548116824</v>
      </c>
    </row>
    <row r="212" spans="1:3" x14ac:dyDescent="0.45">
      <c r="A212" t="s">
        <v>345</v>
      </c>
      <c r="B212">
        <f>(gdp_growth_forecast_consensus!B212-gdp_growth_forecast_consensus!$G$2)/gdp_growth_forecast_consensus!$G$3</f>
        <v>1.1596730577205574</v>
      </c>
      <c r="C212">
        <f>(gdp_growth_forecast_consensus!C212-gdp_growth_forecast_consensus!$H$2)/gdp_growth_forecast_consensus!$H$3</f>
        <v>-2.7281981084711551</v>
      </c>
    </row>
    <row r="213" spans="1:3" x14ac:dyDescent="0.45">
      <c r="A213" t="s">
        <v>346</v>
      </c>
      <c r="B213">
        <f>(gdp_growth_forecast_consensus!B213-gdp_growth_forecast_consensus!$G$2)/gdp_growth_forecast_consensus!$G$3</f>
        <v>1.7740521740480093</v>
      </c>
      <c r="C213">
        <f>(gdp_growth_forecast_consensus!C213-gdp_growth_forecast_consensus!$H$2)/gdp_growth_forecast_consensus!$H$3</f>
        <v>-3.9759325623770541</v>
      </c>
    </row>
    <row r="214" spans="1:3" x14ac:dyDescent="0.45">
      <c r="A214" t="s">
        <v>347</v>
      </c>
    </row>
    <row r="215" spans="1:3" x14ac:dyDescent="0.45">
      <c r="A215" t="s">
        <v>348</v>
      </c>
    </row>
    <row r="216" spans="1:3" x14ac:dyDescent="0.45">
      <c r="A216" t="s">
        <v>349</v>
      </c>
    </row>
    <row r="217" spans="1:3" x14ac:dyDescent="0.45">
      <c r="A217" t="s">
        <v>350</v>
      </c>
    </row>
    <row r="218" spans="1:3" x14ac:dyDescent="0.45">
      <c r="A218" t="s">
        <v>351</v>
      </c>
    </row>
    <row r="219" spans="1:3" x14ac:dyDescent="0.45">
      <c r="A219" t="s">
        <v>352</v>
      </c>
    </row>
    <row r="220" spans="1:3" x14ac:dyDescent="0.45">
      <c r="A220" t="s">
        <v>353</v>
      </c>
    </row>
    <row r="221" spans="1:3" x14ac:dyDescent="0.45">
      <c r="A221" t="s">
        <v>354</v>
      </c>
    </row>
    <row r="222" spans="1:3" x14ac:dyDescent="0.45">
      <c r="A222" t="s">
        <v>355</v>
      </c>
    </row>
    <row r="223" spans="1:3" x14ac:dyDescent="0.45">
      <c r="A223" t="s">
        <v>356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2207-BA94-4061-A67A-CDEEA39F5091}">
  <dimension ref="A1:AB226"/>
  <sheetViews>
    <sheetView zoomScale="85" zoomScaleNormal="85" workbookViewId="0">
      <pane xSplit="1" ySplit="1" topLeftCell="B218" activePane="bottomRight" state="frozen"/>
      <selection pane="topRight" activeCell="B1" sqref="B1"/>
      <selection pane="bottomLeft" activeCell="A2" sqref="A2"/>
      <selection pane="bottomRight" activeCell="F232" sqref="F232"/>
    </sheetView>
  </sheetViews>
  <sheetFormatPr defaultRowHeight="14.25" x14ac:dyDescent="0.45"/>
  <cols>
    <col min="2" max="2" width="12.796875" style="15" bestFit="1" customWidth="1"/>
    <col min="3" max="3" width="12.265625" style="15" bestFit="1" customWidth="1"/>
    <col min="4" max="4" width="19" style="10" bestFit="1" customWidth="1"/>
    <col min="6" max="6" width="18.53125" bestFit="1" customWidth="1"/>
    <col min="7" max="7" width="18.265625" style="10" bestFit="1" customWidth="1"/>
    <col min="9" max="9" width="19" bestFit="1" customWidth="1"/>
  </cols>
  <sheetData>
    <row r="1" spans="1:25" x14ac:dyDescent="0.45">
      <c r="B1" s="15" t="s">
        <v>387</v>
      </c>
      <c r="C1" s="15" t="s">
        <v>392</v>
      </c>
      <c r="D1" s="10" t="s">
        <v>393</v>
      </c>
      <c r="F1" t="s">
        <v>388</v>
      </c>
      <c r="G1" s="10" t="s">
        <v>394</v>
      </c>
    </row>
    <row r="2" spans="1:25" x14ac:dyDescent="0.45">
      <c r="A2" t="s">
        <v>135</v>
      </c>
      <c r="T2" t="s">
        <v>395</v>
      </c>
    </row>
    <row r="3" spans="1:25" ht="14.65" thickBot="1" x14ac:dyDescent="0.5">
      <c r="A3" t="s">
        <v>136</v>
      </c>
    </row>
    <row r="4" spans="1:25" x14ac:dyDescent="0.45">
      <c r="A4" t="s">
        <v>137</v>
      </c>
      <c r="T4" s="20" t="s">
        <v>396</v>
      </c>
      <c r="U4" s="20"/>
    </row>
    <row r="5" spans="1:25" x14ac:dyDescent="0.45">
      <c r="A5" t="s">
        <v>138</v>
      </c>
      <c r="T5" t="s">
        <v>397</v>
      </c>
      <c r="U5">
        <v>0.64516242741826779</v>
      </c>
    </row>
    <row r="6" spans="1:25" x14ac:dyDescent="0.45">
      <c r="A6" t="s">
        <v>139</v>
      </c>
      <c r="T6" t="s">
        <v>398</v>
      </c>
      <c r="U6">
        <v>0.41623455775223162</v>
      </c>
    </row>
    <row r="7" spans="1:25" x14ac:dyDescent="0.45">
      <c r="A7" t="s">
        <v>140</v>
      </c>
      <c r="T7" t="s">
        <v>399</v>
      </c>
      <c r="U7">
        <v>0.40875038541572178</v>
      </c>
    </row>
    <row r="8" spans="1:25" x14ac:dyDescent="0.45">
      <c r="A8" t="s">
        <v>141</v>
      </c>
      <c r="T8" t="s">
        <v>400</v>
      </c>
      <c r="U8">
        <v>2.8087358458633767</v>
      </c>
    </row>
    <row r="9" spans="1:25" ht="14.65" thickBot="1" x14ac:dyDescent="0.5">
      <c r="A9" t="s">
        <v>142</v>
      </c>
      <c r="T9" s="18" t="s">
        <v>401</v>
      </c>
      <c r="U9" s="18">
        <v>80</v>
      </c>
    </row>
    <row r="10" spans="1:25" x14ac:dyDescent="0.45">
      <c r="A10" t="s">
        <v>143</v>
      </c>
    </row>
    <row r="11" spans="1:25" ht="14.65" thickBot="1" x14ac:dyDescent="0.5">
      <c r="A11" t="s">
        <v>144</v>
      </c>
      <c r="T11" t="s">
        <v>402</v>
      </c>
    </row>
    <row r="12" spans="1:25" x14ac:dyDescent="0.45">
      <c r="A12" t="s">
        <v>145</v>
      </c>
      <c r="T12" s="19"/>
      <c r="U12" s="19" t="s">
        <v>403</v>
      </c>
      <c r="V12" s="19" t="s">
        <v>404</v>
      </c>
      <c r="W12" s="19" t="s">
        <v>405</v>
      </c>
      <c r="X12" s="19" t="s">
        <v>406</v>
      </c>
      <c r="Y12" s="19" t="s">
        <v>407</v>
      </c>
    </row>
    <row r="13" spans="1:25" x14ac:dyDescent="0.45">
      <c r="A13" t="s">
        <v>146</v>
      </c>
      <c r="T13" t="s">
        <v>408</v>
      </c>
      <c r="U13">
        <v>1</v>
      </c>
      <c r="V13">
        <v>438.74900942108582</v>
      </c>
      <c r="W13">
        <v>438.74900942108582</v>
      </c>
      <c r="X13">
        <v>55.615309086580623</v>
      </c>
      <c r="Y13">
        <v>1.0490955877432852E-10</v>
      </c>
    </row>
    <row r="14" spans="1:25" x14ac:dyDescent="0.45">
      <c r="A14" t="s">
        <v>147</v>
      </c>
      <c r="T14" t="s">
        <v>409</v>
      </c>
      <c r="U14">
        <v>78</v>
      </c>
      <c r="V14">
        <v>615.34177004335299</v>
      </c>
      <c r="W14">
        <v>7.8889970518378592</v>
      </c>
    </row>
    <row r="15" spans="1:25" ht="14.65" thickBot="1" x14ac:dyDescent="0.5">
      <c r="A15" t="s">
        <v>148</v>
      </c>
      <c r="T15" s="18" t="s">
        <v>410</v>
      </c>
      <c r="U15" s="18">
        <v>79</v>
      </c>
      <c r="V15" s="18">
        <v>1054.0907794644388</v>
      </c>
      <c r="W15" s="18"/>
      <c r="X15" s="18"/>
      <c r="Y15" s="18"/>
    </row>
    <row r="16" spans="1:25" ht="14.65" thickBot="1" x14ac:dyDescent="0.5">
      <c r="A16" t="s">
        <v>149</v>
      </c>
    </row>
    <row r="17" spans="1:28" x14ac:dyDescent="0.45">
      <c r="A17" t="s">
        <v>150</v>
      </c>
      <c r="T17" s="19"/>
      <c r="U17" s="19" t="s">
        <v>411</v>
      </c>
      <c r="V17" s="19" t="s">
        <v>400</v>
      </c>
      <c r="W17" s="19" t="s">
        <v>412</v>
      </c>
      <c r="X17" s="19" t="s">
        <v>413</v>
      </c>
      <c r="Y17" s="19" t="s">
        <v>414</v>
      </c>
      <c r="Z17" s="19" t="s">
        <v>415</v>
      </c>
      <c r="AA17" s="19" t="s">
        <v>416</v>
      </c>
      <c r="AB17" s="19" t="s">
        <v>417</v>
      </c>
    </row>
    <row r="18" spans="1:28" x14ac:dyDescent="0.45">
      <c r="A18" t="s">
        <v>151</v>
      </c>
      <c r="T18" t="s">
        <v>418</v>
      </c>
      <c r="U18">
        <v>47.190683135563091</v>
      </c>
      <c r="V18">
        <v>0.97080491889274589</v>
      </c>
      <c r="W18">
        <v>48.609851698512763</v>
      </c>
      <c r="X18">
        <v>4.3500212415510792E-60</v>
      </c>
      <c r="Y18">
        <v>45.257959008397499</v>
      </c>
      <c r="Z18">
        <v>49.123407262728684</v>
      </c>
      <c r="AA18">
        <v>45.257959008397499</v>
      </c>
      <c r="AB18">
        <v>49.123407262728684</v>
      </c>
    </row>
    <row r="19" spans="1:28" ht="14.65" thickBot="1" x14ac:dyDescent="0.5">
      <c r="A19" t="s">
        <v>152</v>
      </c>
      <c r="T19" s="18" t="s">
        <v>419</v>
      </c>
      <c r="U19" s="18">
        <v>3.4526060688182261</v>
      </c>
      <c r="V19" s="18">
        <v>0.46296680396395473</v>
      </c>
      <c r="W19" s="18">
        <v>7.4575672364773613</v>
      </c>
      <c r="X19" s="18">
        <v>1.049095587743289E-10</v>
      </c>
      <c r="Y19" s="18">
        <v>2.5309099641894695</v>
      </c>
      <c r="Z19" s="18">
        <v>4.3743021734469822</v>
      </c>
      <c r="AA19" s="18">
        <v>2.5309099641894695</v>
      </c>
      <c r="AB19" s="18">
        <v>4.3743021734469822</v>
      </c>
    </row>
    <row r="20" spans="1:28" x14ac:dyDescent="0.45">
      <c r="A20" t="s">
        <v>153</v>
      </c>
    </row>
    <row r="21" spans="1:28" x14ac:dyDescent="0.45">
      <c r="A21" t="s">
        <v>154</v>
      </c>
    </row>
    <row r="22" spans="1:28" x14ac:dyDescent="0.45">
      <c r="A22" t="s">
        <v>155</v>
      </c>
    </row>
    <row r="23" spans="1:28" x14ac:dyDescent="0.45">
      <c r="A23" t="s">
        <v>156</v>
      </c>
    </row>
    <row r="24" spans="1:28" x14ac:dyDescent="0.45">
      <c r="A24" t="s">
        <v>157</v>
      </c>
      <c r="T24" t="s">
        <v>420</v>
      </c>
    </row>
    <row r="25" spans="1:28" ht="14.65" thickBot="1" x14ac:dyDescent="0.5">
      <c r="A25" t="s">
        <v>158</v>
      </c>
    </row>
    <row r="26" spans="1:28" x14ac:dyDescent="0.45">
      <c r="A26" t="s">
        <v>159</v>
      </c>
      <c r="T26" s="20" t="s">
        <v>396</v>
      </c>
      <c r="U26" s="20"/>
    </row>
    <row r="27" spans="1:28" x14ac:dyDescent="0.45">
      <c r="A27" t="s">
        <v>160</v>
      </c>
      <c r="T27" t="s">
        <v>397</v>
      </c>
      <c r="U27">
        <v>0.70798545293730419</v>
      </c>
    </row>
    <row r="28" spans="1:28" x14ac:dyDescent="0.45">
      <c r="A28" t="s">
        <v>161</v>
      </c>
      <c r="T28" t="s">
        <v>398</v>
      </c>
      <c r="U28">
        <v>0.5012434015708398</v>
      </c>
    </row>
    <row r="29" spans="1:28" x14ac:dyDescent="0.45">
      <c r="A29" t="s">
        <v>162</v>
      </c>
      <c r="T29" t="s">
        <v>399</v>
      </c>
      <c r="U29">
        <v>0.49484908620636336</v>
      </c>
    </row>
    <row r="30" spans="1:28" x14ac:dyDescent="0.45">
      <c r="A30" t="s">
        <v>163</v>
      </c>
      <c r="T30" t="s">
        <v>400</v>
      </c>
      <c r="U30">
        <v>3.2712577388647381</v>
      </c>
    </row>
    <row r="31" spans="1:28" ht="14.65" thickBot="1" x14ac:dyDescent="0.5">
      <c r="A31" t="s">
        <v>164</v>
      </c>
      <c r="T31" s="18" t="s">
        <v>401</v>
      </c>
      <c r="U31" s="18">
        <v>80</v>
      </c>
    </row>
    <row r="32" spans="1:28" x14ac:dyDescent="0.45">
      <c r="A32" t="s">
        <v>165</v>
      </c>
    </row>
    <row r="33" spans="1:28" ht="14.65" thickBot="1" x14ac:dyDescent="0.5">
      <c r="A33" t="s">
        <v>166</v>
      </c>
      <c r="T33" t="s">
        <v>402</v>
      </c>
    </row>
    <row r="34" spans="1:28" x14ac:dyDescent="0.45">
      <c r="A34" t="s">
        <v>167</v>
      </c>
      <c r="T34" s="19"/>
      <c r="U34" s="19" t="s">
        <v>403</v>
      </c>
      <c r="V34" s="19" t="s">
        <v>404</v>
      </c>
      <c r="W34" s="19" t="s">
        <v>405</v>
      </c>
      <c r="X34" s="19" t="s">
        <v>406</v>
      </c>
      <c r="Y34" s="19" t="s">
        <v>407</v>
      </c>
    </row>
    <row r="35" spans="1:28" x14ac:dyDescent="0.45">
      <c r="A35" t="s">
        <v>168</v>
      </c>
      <c r="T35" t="s">
        <v>408</v>
      </c>
      <c r="U35">
        <v>1</v>
      </c>
      <c r="V35">
        <v>838.84967970191906</v>
      </c>
      <c r="W35">
        <v>838.84967970191906</v>
      </c>
      <c r="X35">
        <v>78.388908428804598</v>
      </c>
      <c r="Y35">
        <v>2.074371545362274E-13</v>
      </c>
    </row>
    <row r="36" spans="1:28" x14ac:dyDescent="0.45">
      <c r="A36" t="s">
        <v>169</v>
      </c>
      <c r="T36" t="s">
        <v>409</v>
      </c>
      <c r="U36">
        <v>78</v>
      </c>
      <c r="V36">
        <v>834.68792113843028</v>
      </c>
      <c r="W36">
        <v>10.70112719408244</v>
      </c>
    </row>
    <row r="37" spans="1:28" ht="14.65" thickBot="1" x14ac:dyDescent="0.5">
      <c r="A37" t="s">
        <v>170</v>
      </c>
      <c r="T37" s="18" t="s">
        <v>410</v>
      </c>
      <c r="U37" s="18">
        <v>79</v>
      </c>
      <c r="V37" s="18">
        <v>1673.5376008403493</v>
      </c>
      <c r="W37" s="18"/>
      <c r="X37" s="18"/>
      <c r="Y37" s="18"/>
    </row>
    <row r="38" spans="1:28" ht="14.65" thickBot="1" x14ac:dyDescent="0.5">
      <c r="A38" t="s">
        <v>171</v>
      </c>
    </row>
    <row r="39" spans="1:28" x14ac:dyDescent="0.45">
      <c r="A39" t="s">
        <v>172</v>
      </c>
      <c r="T39" s="19"/>
      <c r="U39" s="19" t="s">
        <v>411</v>
      </c>
      <c r="V39" s="19" t="s">
        <v>400</v>
      </c>
      <c r="W39" s="19" t="s">
        <v>412</v>
      </c>
      <c r="X39" s="19" t="s">
        <v>413</v>
      </c>
      <c r="Y39" s="19" t="s">
        <v>414</v>
      </c>
      <c r="Z39" s="19" t="s">
        <v>415</v>
      </c>
      <c r="AA39" s="19" t="s">
        <v>416</v>
      </c>
      <c r="AB39" s="19" t="s">
        <v>417</v>
      </c>
    </row>
    <row r="40" spans="1:28" x14ac:dyDescent="0.45">
      <c r="A40" t="s">
        <v>173</v>
      </c>
      <c r="T40" t="s">
        <v>418</v>
      </c>
      <c r="U40">
        <v>58.05651061451433</v>
      </c>
      <c r="V40">
        <v>1.1306699092166339</v>
      </c>
      <c r="W40">
        <v>51.347002463997498</v>
      </c>
      <c r="X40">
        <v>6.892319382972214E-62</v>
      </c>
      <c r="Y40">
        <v>55.805519739956814</v>
      </c>
      <c r="Z40">
        <v>60.307501489071846</v>
      </c>
      <c r="AA40">
        <v>55.805519739956814</v>
      </c>
      <c r="AB40">
        <v>60.307501489071846</v>
      </c>
    </row>
    <row r="41" spans="1:28" ht="14.65" thickBot="1" x14ac:dyDescent="0.5">
      <c r="A41" t="s">
        <v>174</v>
      </c>
      <c r="T41" s="18" t="s">
        <v>419</v>
      </c>
      <c r="U41" s="18">
        <v>4.7739847418642949</v>
      </c>
      <c r="V41" s="18">
        <v>0.53920476093721947</v>
      </c>
      <c r="W41" s="18">
        <v>8.8537510936780066</v>
      </c>
      <c r="X41" s="18">
        <v>2.0743715453623187E-13</v>
      </c>
      <c r="Y41" s="18">
        <v>3.7005105240631222</v>
      </c>
      <c r="Z41" s="18">
        <v>5.8474589596654676</v>
      </c>
      <c r="AA41" s="18">
        <v>3.7005105240631222</v>
      </c>
      <c r="AB41" s="18">
        <v>5.8474589596654676</v>
      </c>
    </row>
    <row r="42" spans="1:28" x14ac:dyDescent="0.45">
      <c r="A42" t="s">
        <v>175</v>
      </c>
    </row>
    <row r="43" spans="1:28" x14ac:dyDescent="0.45">
      <c r="A43" t="s">
        <v>176</v>
      </c>
    </row>
    <row r="44" spans="1:28" x14ac:dyDescent="0.45">
      <c r="A44" t="s">
        <v>177</v>
      </c>
    </row>
    <row r="45" spans="1:28" x14ac:dyDescent="0.45">
      <c r="A45" t="s">
        <v>178</v>
      </c>
    </row>
    <row r="46" spans="1:28" x14ac:dyDescent="0.45">
      <c r="A46" t="s">
        <v>179</v>
      </c>
    </row>
    <row r="47" spans="1:28" x14ac:dyDescent="0.45">
      <c r="A47" t="s">
        <v>180</v>
      </c>
    </row>
    <row r="48" spans="1:28" x14ac:dyDescent="0.45">
      <c r="A48" t="s">
        <v>181</v>
      </c>
    </row>
    <row r="49" spans="1:1" x14ac:dyDescent="0.45">
      <c r="A49" t="s">
        <v>182</v>
      </c>
    </row>
    <row r="50" spans="1:1" x14ac:dyDescent="0.45">
      <c r="A50" t="s">
        <v>183</v>
      </c>
    </row>
    <row r="51" spans="1:1" x14ac:dyDescent="0.45">
      <c r="A51" t="s">
        <v>184</v>
      </c>
    </row>
    <row r="52" spans="1:1" x14ac:dyDescent="0.45">
      <c r="A52" t="s">
        <v>185</v>
      </c>
    </row>
    <row r="53" spans="1:1" x14ac:dyDescent="0.45">
      <c r="A53" t="s">
        <v>186</v>
      </c>
    </row>
    <row r="54" spans="1:1" x14ac:dyDescent="0.45">
      <c r="A54" t="s">
        <v>187</v>
      </c>
    </row>
    <row r="55" spans="1:1" x14ac:dyDescent="0.45">
      <c r="A55" t="s">
        <v>188</v>
      </c>
    </row>
    <row r="56" spans="1:1" x14ac:dyDescent="0.45">
      <c r="A56" t="s">
        <v>189</v>
      </c>
    </row>
    <row r="57" spans="1:1" x14ac:dyDescent="0.45">
      <c r="A57" t="s">
        <v>190</v>
      </c>
    </row>
    <row r="58" spans="1:1" x14ac:dyDescent="0.45">
      <c r="A58" t="s">
        <v>191</v>
      </c>
    </row>
    <row r="59" spans="1:1" x14ac:dyDescent="0.45">
      <c r="A59" t="s">
        <v>192</v>
      </c>
    </row>
    <row r="60" spans="1:1" x14ac:dyDescent="0.45">
      <c r="A60" t="s">
        <v>193</v>
      </c>
    </row>
    <row r="61" spans="1:1" x14ac:dyDescent="0.45">
      <c r="A61" t="s">
        <v>194</v>
      </c>
    </row>
    <row r="62" spans="1:1" x14ac:dyDescent="0.45">
      <c r="A62" t="s">
        <v>195</v>
      </c>
    </row>
    <row r="63" spans="1:1" x14ac:dyDescent="0.45">
      <c r="A63" t="s">
        <v>196</v>
      </c>
    </row>
    <row r="64" spans="1:1" x14ac:dyDescent="0.45">
      <c r="A64" t="s">
        <v>197</v>
      </c>
    </row>
    <row r="65" spans="1:1" x14ac:dyDescent="0.45">
      <c r="A65" t="s">
        <v>198</v>
      </c>
    </row>
    <row r="66" spans="1:1" x14ac:dyDescent="0.45">
      <c r="A66" t="s">
        <v>199</v>
      </c>
    </row>
    <row r="67" spans="1:1" x14ac:dyDescent="0.45">
      <c r="A67" t="s">
        <v>200</v>
      </c>
    </row>
    <row r="68" spans="1:1" x14ac:dyDescent="0.45">
      <c r="A68" t="s">
        <v>201</v>
      </c>
    </row>
    <row r="69" spans="1:1" x14ac:dyDescent="0.45">
      <c r="A69" t="s">
        <v>202</v>
      </c>
    </row>
    <row r="70" spans="1:1" x14ac:dyDescent="0.45">
      <c r="A70" t="s">
        <v>203</v>
      </c>
    </row>
    <row r="71" spans="1:1" x14ac:dyDescent="0.45">
      <c r="A71" t="s">
        <v>204</v>
      </c>
    </row>
    <row r="72" spans="1:1" x14ac:dyDescent="0.45">
      <c r="A72" t="s">
        <v>205</v>
      </c>
    </row>
    <row r="73" spans="1:1" x14ac:dyDescent="0.45">
      <c r="A73" t="s">
        <v>206</v>
      </c>
    </row>
    <row r="74" spans="1:1" x14ac:dyDescent="0.45">
      <c r="A74" t="s">
        <v>207</v>
      </c>
    </row>
    <row r="75" spans="1:1" x14ac:dyDescent="0.45">
      <c r="A75" t="s">
        <v>208</v>
      </c>
    </row>
    <row r="76" spans="1:1" x14ac:dyDescent="0.45">
      <c r="A76" t="s">
        <v>209</v>
      </c>
    </row>
    <row r="77" spans="1:1" x14ac:dyDescent="0.45">
      <c r="A77" t="s">
        <v>210</v>
      </c>
    </row>
    <row r="78" spans="1:1" x14ac:dyDescent="0.45">
      <c r="A78" t="s">
        <v>211</v>
      </c>
    </row>
    <row r="79" spans="1:1" x14ac:dyDescent="0.45">
      <c r="A79" t="s">
        <v>212</v>
      </c>
    </row>
    <row r="80" spans="1:1" x14ac:dyDescent="0.45">
      <c r="A80" t="s">
        <v>213</v>
      </c>
    </row>
    <row r="81" spans="1:7" x14ac:dyDescent="0.45">
      <c r="A81" t="s">
        <v>214</v>
      </c>
      <c r="C81" s="15">
        <f>gdp_growth_forecast_consensus!C81</f>
        <v>1.548333</v>
      </c>
      <c r="D81" s="22">
        <f t="shared" ref="D81:D113" si="0">$U$18 + C81 *$U$19</f>
        <v>52.53646704791462</v>
      </c>
      <c r="G81" s="22">
        <f t="shared" ref="G81:G112" si="1">$U$40 + C81 *$U$41</f>
        <v>65.448228731839293</v>
      </c>
    </row>
    <row r="82" spans="1:7" x14ac:dyDescent="0.45">
      <c r="A82" t="s">
        <v>215</v>
      </c>
      <c r="C82" s="15">
        <f>gdp_growth_forecast_consensus!C82</f>
        <v>2.0176669999999999</v>
      </c>
      <c r="D82" s="22">
        <f t="shared" si="0"/>
        <v>54.156892464617357</v>
      </c>
      <c r="G82" s="22">
        <f t="shared" si="1"/>
        <v>67.688822086677433</v>
      </c>
    </row>
    <row r="83" spans="1:7" x14ac:dyDescent="0.45">
      <c r="A83" t="s">
        <v>216</v>
      </c>
      <c r="C83" s="15">
        <f>gdp_growth_forecast_consensus!C83</f>
        <v>2.2879999999999998</v>
      </c>
      <c r="D83" s="22">
        <f t="shared" si="0"/>
        <v>55.090245821019195</v>
      </c>
      <c r="G83" s="22">
        <f t="shared" si="1"/>
        <v>68.979387703899832</v>
      </c>
    </row>
    <row r="84" spans="1:7" x14ac:dyDescent="0.45">
      <c r="A84" t="s">
        <v>217</v>
      </c>
      <c r="C84" s="15">
        <f>gdp_growth_forecast_consensus!C84</f>
        <v>2.0550000000000002</v>
      </c>
      <c r="D84" s="22">
        <f t="shared" si="0"/>
        <v>54.285788606984546</v>
      </c>
      <c r="G84" s="22">
        <f t="shared" si="1"/>
        <v>67.867049259045459</v>
      </c>
    </row>
    <row r="85" spans="1:7" x14ac:dyDescent="0.45">
      <c r="A85" t="s">
        <v>218</v>
      </c>
      <c r="C85" s="15">
        <f>gdp_growth_forecast_consensus!C85</f>
        <v>0.88333329999999999</v>
      </c>
      <c r="D85" s="22">
        <f t="shared" si="0"/>
        <v>50.240485047932324</v>
      </c>
      <c r="G85" s="22">
        <f t="shared" si="1"/>
        <v>62.273530310694966</v>
      </c>
    </row>
    <row r="86" spans="1:7" x14ac:dyDescent="0.45">
      <c r="A86" t="s">
        <v>219</v>
      </c>
      <c r="C86" s="15">
        <f>gdp_growth_forecast_consensus!C86</f>
        <v>2.1320000000000001</v>
      </c>
      <c r="D86" s="22">
        <f t="shared" si="0"/>
        <v>54.551639274283552</v>
      </c>
      <c r="G86" s="22">
        <f t="shared" si="1"/>
        <v>68.234646084169015</v>
      </c>
    </row>
    <row r="87" spans="1:7" x14ac:dyDescent="0.45">
      <c r="A87" t="s">
        <v>220</v>
      </c>
      <c r="C87" s="15">
        <f>gdp_growth_forecast_consensus!C87</f>
        <v>2.1240000000000001</v>
      </c>
      <c r="D87" s="22">
        <f t="shared" si="0"/>
        <v>54.524018425733004</v>
      </c>
      <c r="G87" s="22">
        <f t="shared" si="1"/>
        <v>68.196454206234094</v>
      </c>
    </row>
    <row r="88" spans="1:7" x14ac:dyDescent="0.45">
      <c r="A88" t="s">
        <v>221</v>
      </c>
      <c r="C88" s="15">
        <f>gdp_growth_forecast_consensus!C88</f>
        <v>1.7776670000000001</v>
      </c>
      <c r="D88" s="22">
        <f t="shared" si="0"/>
        <v>53.32826700810098</v>
      </c>
      <c r="G88" s="22">
        <f t="shared" si="1"/>
        <v>66.543065748629999</v>
      </c>
    </row>
    <row r="89" spans="1:7" x14ac:dyDescent="0.45">
      <c r="A89" t="s">
        <v>222</v>
      </c>
      <c r="C89" s="15">
        <f>gdp_growth_forecast_consensus!C89</f>
        <v>1.7833330000000001</v>
      </c>
      <c r="D89" s="22">
        <f t="shared" si="0"/>
        <v>53.347829474086907</v>
      </c>
      <c r="G89" s="22">
        <f t="shared" si="1"/>
        <v>66.570115146177415</v>
      </c>
    </row>
    <row r="90" spans="1:7" x14ac:dyDescent="0.45">
      <c r="A90" t="s">
        <v>223</v>
      </c>
      <c r="C90" s="15">
        <f>gdp_growth_forecast_consensus!C90</f>
        <v>2.3879999999999999</v>
      </c>
      <c r="D90" s="22">
        <f t="shared" si="0"/>
        <v>55.435506427901018</v>
      </c>
      <c r="G90" s="22">
        <f t="shared" si="1"/>
        <v>69.456786178086261</v>
      </c>
    </row>
    <row r="91" spans="1:7" x14ac:dyDescent="0.45">
      <c r="A91" t="s">
        <v>224</v>
      </c>
      <c r="C91" s="15">
        <f>gdp_growth_forecast_consensus!C91</f>
        <v>2.326667</v>
      </c>
      <c r="D91" s="22">
        <f t="shared" si="0"/>
        <v>55.223747739882185</v>
      </c>
      <c r="G91" s="22">
        <f t="shared" si="1"/>
        <v>69.163983371913503</v>
      </c>
    </row>
    <row r="92" spans="1:7" x14ac:dyDescent="0.45">
      <c r="A92" t="s">
        <v>225</v>
      </c>
      <c r="C92" s="15">
        <f>gdp_growth_forecast_consensus!C92</f>
        <v>1.691333</v>
      </c>
      <c r="D92" s="22">
        <f t="shared" si="0"/>
        <v>53.030189715755625</v>
      </c>
      <c r="G92" s="22">
        <f t="shared" si="1"/>
        <v>66.130908549925891</v>
      </c>
    </row>
    <row r="93" spans="1:7" x14ac:dyDescent="0.45">
      <c r="A93" t="s">
        <v>226</v>
      </c>
      <c r="C93" s="15">
        <f>gdp_growth_forecast_consensus!C93</f>
        <v>1.194</v>
      </c>
      <c r="D93" s="22">
        <f t="shared" si="0"/>
        <v>51.313094781732055</v>
      </c>
      <c r="G93" s="22">
        <f t="shared" si="1"/>
        <v>63.756648396300299</v>
      </c>
    </row>
    <row r="94" spans="1:7" x14ac:dyDescent="0.45">
      <c r="A94" t="s">
        <v>227</v>
      </c>
      <c r="C94" s="15">
        <f>gdp_growth_forecast_consensus!C94</f>
        <v>2.41</v>
      </c>
      <c r="D94" s="22">
        <f t="shared" si="0"/>
        <v>55.511463761415015</v>
      </c>
      <c r="G94" s="22">
        <f t="shared" si="1"/>
        <v>69.561813842407275</v>
      </c>
    </row>
    <row r="95" spans="1:7" x14ac:dyDescent="0.45">
      <c r="A95" t="s">
        <v>228</v>
      </c>
      <c r="C95" s="15">
        <f>gdp_growth_forecast_consensus!C95</f>
        <v>2.5076670000000001</v>
      </c>
      <c r="D95" s="22">
        <f t="shared" si="0"/>
        <v>55.848669438338284</v>
      </c>
      <c r="G95" s="22">
        <f t="shared" si="1"/>
        <v>70.028074610190941</v>
      </c>
    </row>
    <row r="96" spans="1:7" x14ac:dyDescent="0.45">
      <c r="A96" t="s">
        <v>229</v>
      </c>
      <c r="C96" s="15">
        <f>gdp_growth_forecast_consensus!C96</f>
        <v>2.5896669999999999</v>
      </c>
      <c r="D96" s="22">
        <f t="shared" si="0"/>
        <v>56.131783135981379</v>
      </c>
      <c r="G96" s="22">
        <f t="shared" si="1"/>
        <v>70.41954135902381</v>
      </c>
    </row>
    <row r="97" spans="1:7" x14ac:dyDescent="0.45">
      <c r="A97" t="s">
        <v>230</v>
      </c>
      <c r="C97" s="15">
        <f>gdp_growth_forecast_consensus!C97</f>
        <v>2.5760000000000001</v>
      </c>
      <c r="D97" s="22">
        <f t="shared" si="0"/>
        <v>56.084596368838845</v>
      </c>
      <c r="G97" s="22">
        <f t="shared" si="1"/>
        <v>70.354295309556761</v>
      </c>
    </row>
    <row r="98" spans="1:7" x14ac:dyDescent="0.45">
      <c r="A98" t="s">
        <v>231</v>
      </c>
      <c r="C98" s="15">
        <f>gdp_growth_forecast_consensus!C98</f>
        <v>2.5833330000000001</v>
      </c>
      <c r="D98" s="22">
        <f t="shared" si="0"/>
        <v>56.109914329141489</v>
      </c>
      <c r="G98" s="22">
        <f t="shared" si="1"/>
        <v>70.389302939668852</v>
      </c>
    </row>
    <row r="99" spans="1:7" x14ac:dyDescent="0.45">
      <c r="A99" t="s">
        <v>232</v>
      </c>
      <c r="C99" s="15">
        <f>gdp_growth_forecast_consensus!C99</f>
        <v>2.7130000000000001</v>
      </c>
      <c r="D99" s="22">
        <f t="shared" si="0"/>
        <v>56.557603400266942</v>
      </c>
      <c r="G99" s="22">
        <f t="shared" si="1"/>
        <v>71.008331219192158</v>
      </c>
    </row>
    <row r="100" spans="1:7" x14ac:dyDescent="0.45">
      <c r="A100" t="s">
        <v>233</v>
      </c>
      <c r="C100" s="15">
        <f>gdp_growth_forecast_consensus!C100</f>
        <v>2.8540000000000001</v>
      </c>
      <c r="D100" s="22">
        <f t="shared" si="0"/>
        <v>57.044420855970309</v>
      </c>
      <c r="G100" s="22">
        <f t="shared" si="1"/>
        <v>71.681463067795022</v>
      </c>
    </row>
    <row r="101" spans="1:7" x14ac:dyDescent="0.45">
      <c r="A101" t="s">
        <v>234</v>
      </c>
      <c r="C101" s="15">
        <f>gdp_growth_forecast_consensus!C101</f>
        <v>3.0223330000000002</v>
      </c>
      <c r="D101" s="22">
        <f t="shared" si="0"/>
        <v>57.625608393352685</v>
      </c>
      <c r="G101" s="22">
        <f t="shared" si="1"/>
        <v>72.485082241347271</v>
      </c>
    </row>
    <row r="102" spans="1:7" x14ac:dyDescent="0.45">
      <c r="A102" t="s">
        <v>235</v>
      </c>
      <c r="C102" s="15">
        <f>gdp_growth_forecast_consensus!C102</f>
        <v>2.7589999999999999</v>
      </c>
      <c r="D102" s="22">
        <f t="shared" si="0"/>
        <v>56.716423279432576</v>
      </c>
      <c r="G102" s="22">
        <f t="shared" si="1"/>
        <v>71.227934517317919</v>
      </c>
    </row>
    <row r="103" spans="1:7" x14ac:dyDescent="0.45">
      <c r="A103" t="s">
        <v>236</v>
      </c>
      <c r="C103" s="15">
        <f>gdp_growth_forecast_consensus!C103</f>
        <v>2.8093330000000001</v>
      </c>
      <c r="D103" s="22">
        <f t="shared" si="0"/>
        <v>56.890203300694409</v>
      </c>
      <c r="G103" s="22">
        <f t="shared" si="1"/>
        <v>71.468223491330178</v>
      </c>
    </row>
    <row r="104" spans="1:7" x14ac:dyDescent="0.45">
      <c r="A104" t="s">
        <v>237</v>
      </c>
      <c r="C104" s="15">
        <f>gdp_growth_forecast_consensus!C104</f>
        <v>2.7563330000000001</v>
      </c>
      <c r="D104" s="22">
        <f t="shared" si="0"/>
        <v>56.70721517904704</v>
      </c>
      <c r="G104" s="22">
        <f t="shared" si="1"/>
        <v>71.21520230001137</v>
      </c>
    </row>
    <row r="105" spans="1:7" x14ac:dyDescent="0.45">
      <c r="A105" t="s">
        <v>238</v>
      </c>
      <c r="C105" s="15">
        <f>gdp_growth_forecast_consensus!C105</f>
        <v>2.5856669999999999</v>
      </c>
      <c r="D105" s="22">
        <f t="shared" si="0"/>
        <v>56.117972711706109</v>
      </c>
      <c r="G105" s="22">
        <f t="shared" si="1"/>
        <v>70.400445420056357</v>
      </c>
    </row>
    <row r="106" spans="1:7" x14ac:dyDescent="0.45">
      <c r="A106" t="s">
        <v>239</v>
      </c>
      <c r="C106" s="15">
        <f>gdp_growth_forecast_consensus!C106</f>
        <v>2.951333</v>
      </c>
      <c r="D106" s="22">
        <f t="shared" si="0"/>
        <v>57.380473362466589</v>
      </c>
      <c r="G106" s="22">
        <f t="shared" si="1"/>
        <v>72.146129324674902</v>
      </c>
    </row>
    <row r="107" spans="1:7" x14ac:dyDescent="0.45">
      <c r="A107" t="s">
        <v>240</v>
      </c>
      <c r="C107" s="15">
        <f>gdp_growth_forecast_consensus!C107</f>
        <v>3.0713330000000001</v>
      </c>
      <c r="D107" s="22">
        <f t="shared" si="0"/>
        <v>57.794786090724784</v>
      </c>
      <c r="G107" s="22">
        <f t="shared" si="1"/>
        <v>72.719007493698626</v>
      </c>
    </row>
    <row r="108" spans="1:7" x14ac:dyDescent="0.45">
      <c r="A108" t="s">
        <v>241</v>
      </c>
      <c r="C108" s="15">
        <f>gdp_growth_forecast_consensus!C108</f>
        <v>3.2349999999999999</v>
      </c>
      <c r="D108" s="22">
        <f t="shared" si="0"/>
        <v>58.359863768190053</v>
      </c>
      <c r="G108" s="22">
        <f t="shared" si="1"/>
        <v>73.50035125444532</v>
      </c>
    </row>
    <row r="109" spans="1:7" x14ac:dyDescent="0.45">
      <c r="A109" t="s">
        <v>242</v>
      </c>
      <c r="C109" s="15">
        <f>gdp_growth_forecast_consensus!C109</f>
        <v>3.363</v>
      </c>
      <c r="D109" s="22">
        <f t="shared" si="0"/>
        <v>58.801797344998789</v>
      </c>
      <c r="G109" s="22">
        <f t="shared" si="1"/>
        <v>74.111421301403951</v>
      </c>
    </row>
    <row r="110" spans="1:7" x14ac:dyDescent="0.45">
      <c r="A110" t="s">
        <v>243</v>
      </c>
      <c r="C110" s="15">
        <f>gdp_growth_forecast_consensus!C110</f>
        <v>2.6373329999999999</v>
      </c>
      <c r="D110" s="22">
        <f t="shared" si="0"/>
        <v>56.296355056857671</v>
      </c>
      <c r="G110" s="22">
        <f t="shared" si="1"/>
        <v>70.64709811572952</v>
      </c>
    </row>
    <row r="111" spans="1:7" x14ac:dyDescent="0.45">
      <c r="A111" t="s">
        <v>244</v>
      </c>
      <c r="C111" s="15">
        <f>gdp_growth_forecast_consensus!C111</f>
        <v>2.6333329999999999</v>
      </c>
      <c r="D111" s="22">
        <f t="shared" si="0"/>
        <v>56.2825446325824</v>
      </c>
      <c r="F111" s="4">
        <f>quarterly_pmi!C111</f>
        <v>75.512889999999999</v>
      </c>
      <c r="G111" s="22">
        <f t="shared" si="1"/>
        <v>70.628002176762067</v>
      </c>
    </row>
    <row r="112" spans="1:7" x14ac:dyDescent="0.45">
      <c r="A112" t="s">
        <v>245</v>
      </c>
      <c r="C112" s="15">
        <f>gdp_growth_forecast_consensus!C112</f>
        <v>2.5513330000000001</v>
      </c>
      <c r="D112" s="22">
        <f t="shared" si="0"/>
        <v>55.999430934939305</v>
      </c>
      <c r="F112" s="4">
        <f>quarterly_pmi!C112</f>
        <v>71.993510000000001</v>
      </c>
      <c r="G112" s="22">
        <f t="shared" si="1"/>
        <v>70.236535427929184</v>
      </c>
    </row>
    <row r="113" spans="1:7" x14ac:dyDescent="0.45">
      <c r="A113" t="s">
        <v>246</v>
      </c>
      <c r="C113" s="15">
        <f>gdp_growth_forecast_consensus!C113</f>
        <v>2.5493329999999998</v>
      </c>
      <c r="D113" s="22">
        <f t="shared" si="0"/>
        <v>55.992525722801666</v>
      </c>
      <c r="F113" s="4">
        <f>quarterly_pmi!C113</f>
        <v>72.645489999999995</v>
      </c>
      <c r="G113" s="22">
        <f>$U$40 + C113 *$U$41</f>
        <v>70.226987458445464</v>
      </c>
    </row>
    <row r="114" spans="1:7" s="10" customFormat="1" x14ac:dyDescent="0.45">
      <c r="A114" s="10" t="s">
        <v>247</v>
      </c>
      <c r="B114" s="16">
        <f>quarterly_pmi!B114</f>
        <v>57.145919999999997</v>
      </c>
      <c r="C114" s="16">
        <f>gdp_growth_forecast_consensus!C114</f>
        <v>1.9550000000000001</v>
      </c>
      <c r="D114" s="22">
        <f>B114</f>
        <v>57.145919999999997</v>
      </c>
      <c r="F114" s="10">
        <f>quarterly_pmi!C114</f>
        <v>70.328220000000002</v>
      </c>
      <c r="G114" s="22">
        <f>F114</f>
        <v>70.328220000000002</v>
      </c>
    </row>
    <row r="115" spans="1:7" x14ac:dyDescent="0.45">
      <c r="A115" t="s">
        <v>248</v>
      </c>
      <c r="B115" s="17">
        <f>quarterly_pmi!B115</f>
        <v>54.244869999999999</v>
      </c>
      <c r="C115" s="15">
        <f>gdp_growth_forecast_consensus!C115</f>
        <v>1.834333</v>
      </c>
      <c r="D115" s="22">
        <f t="shared" ref="D115:D178" si="2">B115</f>
        <v>54.244869999999999</v>
      </c>
      <c r="F115">
        <f>quarterly_pmi!C115</f>
        <v>67.178780000000003</v>
      </c>
      <c r="G115" s="22">
        <f t="shared" ref="G115:G178" si="3">F115</f>
        <v>67.178780000000003</v>
      </c>
    </row>
    <row r="116" spans="1:7" x14ac:dyDescent="0.45">
      <c r="A116" t="s">
        <v>249</v>
      </c>
      <c r="B116" s="17">
        <f>quarterly_pmi!B116</f>
        <v>50.972499999999997</v>
      </c>
      <c r="C116" s="15">
        <f>gdp_growth_forecast_consensus!C116</f>
        <v>1.383667</v>
      </c>
      <c r="D116" s="22">
        <f t="shared" si="2"/>
        <v>50.972499999999997</v>
      </c>
      <c r="F116">
        <f>quarterly_pmi!C116</f>
        <v>61.114199999999997</v>
      </c>
      <c r="G116" s="22">
        <f t="shared" si="3"/>
        <v>61.114199999999997</v>
      </c>
    </row>
    <row r="117" spans="1:7" x14ac:dyDescent="0.45">
      <c r="A117" t="s">
        <v>250</v>
      </c>
      <c r="B117" s="17">
        <f>quarterly_pmi!B117</f>
        <v>46.597670000000001</v>
      </c>
      <c r="C117" s="15">
        <f>gdp_growth_forecast_consensus!C117</f>
        <v>0.80200000000000005</v>
      </c>
      <c r="D117" s="22">
        <f t="shared" si="2"/>
        <v>46.597670000000001</v>
      </c>
      <c r="F117">
        <f>quarterly_pmi!C117</f>
        <v>59.2697</v>
      </c>
      <c r="G117" s="22">
        <f t="shared" si="3"/>
        <v>59.2697</v>
      </c>
    </row>
    <row r="118" spans="1:7" x14ac:dyDescent="0.45">
      <c r="A118" t="s">
        <v>251</v>
      </c>
      <c r="B118" s="17">
        <f>quarterly_pmi!B118</f>
        <v>49.254219999999997</v>
      </c>
      <c r="C118" s="15">
        <f>gdp_growth_forecast_consensus!C118</f>
        <v>1.833</v>
      </c>
      <c r="D118" s="22">
        <f t="shared" si="2"/>
        <v>49.254219999999997</v>
      </c>
      <c r="F118">
        <f>quarterly_pmi!C118</f>
        <v>66.675030000000007</v>
      </c>
      <c r="G118" s="22">
        <f t="shared" si="3"/>
        <v>66.675030000000007</v>
      </c>
    </row>
    <row r="119" spans="1:7" x14ac:dyDescent="0.45">
      <c r="A119" t="s">
        <v>252</v>
      </c>
      <c r="B119" s="17">
        <f>quarterly_pmi!B119</f>
        <v>55.406959999999998</v>
      </c>
      <c r="C119" s="15">
        <f>gdp_growth_forecast_consensus!C119</f>
        <v>2.064333</v>
      </c>
      <c r="D119" s="22">
        <f t="shared" si="2"/>
        <v>55.406959999999998</v>
      </c>
      <c r="F119">
        <f>quarterly_pmi!C119</f>
        <v>73.121250000000003</v>
      </c>
      <c r="G119" s="22">
        <f t="shared" si="3"/>
        <v>73.121250000000003</v>
      </c>
    </row>
    <row r="120" spans="1:7" x14ac:dyDescent="0.45">
      <c r="A120" t="s">
        <v>253</v>
      </c>
      <c r="B120" s="17">
        <f>quarterly_pmi!B120</f>
        <v>57.31541</v>
      </c>
      <c r="C120" s="15">
        <f>gdp_growth_forecast_consensus!C120</f>
        <v>2.431667</v>
      </c>
      <c r="D120" s="22">
        <f t="shared" si="2"/>
        <v>57.31541</v>
      </c>
      <c r="F120">
        <f>quarterly_pmi!C120</f>
        <v>73.942689999999999</v>
      </c>
      <c r="G120" s="22">
        <f t="shared" si="3"/>
        <v>73.942689999999999</v>
      </c>
    </row>
    <row r="121" spans="1:7" x14ac:dyDescent="0.45">
      <c r="A121" t="s">
        <v>254</v>
      </c>
      <c r="B121" s="17">
        <f>quarterly_pmi!B121</f>
        <v>57.776040000000002</v>
      </c>
      <c r="C121" s="15">
        <f>gdp_growth_forecast_consensus!C121</f>
        <v>2.9049999999999998</v>
      </c>
      <c r="D121" s="22">
        <f t="shared" si="2"/>
        <v>57.776040000000002</v>
      </c>
      <c r="F121">
        <f>quarterly_pmi!C121</f>
        <v>72.455119999999994</v>
      </c>
      <c r="G121" s="22">
        <f t="shared" si="3"/>
        <v>72.455119999999994</v>
      </c>
    </row>
    <row r="122" spans="1:7" x14ac:dyDescent="0.45">
      <c r="A122" t="s">
        <v>255</v>
      </c>
      <c r="B122" s="17">
        <f>quarterly_pmi!B122</f>
        <v>56.123939999999997</v>
      </c>
      <c r="C122" s="15">
        <f>gdp_growth_forecast_consensus!C122</f>
        <v>2.6596669999999998</v>
      </c>
      <c r="D122" s="22">
        <f t="shared" si="2"/>
        <v>56.123939999999997</v>
      </c>
      <c r="F122">
        <f>quarterly_pmi!C122</f>
        <v>71.2149</v>
      </c>
      <c r="G122" s="22">
        <f t="shared" si="3"/>
        <v>71.2149</v>
      </c>
    </row>
    <row r="123" spans="1:7" x14ac:dyDescent="0.45">
      <c r="A123" t="s">
        <v>256</v>
      </c>
      <c r="B123" s="17">
        <f>quarterly_pmi!B123</f>
        <v>56.128979999999999</v>
      </c>
      <c r="C123" s="15">
        <f>gdp_growth_forecast_consensus!C123</f>
        <v>2.6286670000000001</v>
      </c>
      <c r="D123" s="22">
        <f t="shared" si="2"/>
        <v>56.128979999999999</v>
      </c>
      <c r="F123">
        <f>quarterly_pmi!C123</f>
        <v>69.528239999999997</v>
      </c>
      <c r="G123" s="22">
        <f t="shared" si="3"/>
        <v>69.528239999999997</v>
      </c>
    </row>
    <row r="124" spans="1:7" x14ac:dyDescent="0.45">
      <c r="A124" t="s">
        <v>257</v>
      </c>
      <c r="B124" s="17">
        <f>quarterly_pmi!B124</f>
        <v>55.21443</v>
      </c>
      <c r="C124" s="15">
        <f>gdp_growth_forecast_consensus!C124</f>
        <v>2.6589999999999998</v>
      </c>
      <c r="D124" s="22">
        <f t="shared" si="2"/>
        <v>55.21443</v>
      </c>
      <c r="F124">
        <f>quarterly_pmi!C124</f>
        <v>69.061989999999994</v>
      </c>
      <c r="G124" s="22">
        <f t="shared" si="3"/>
        <v>69.061989999999994</v>
      </c>
    </row>
    <row r="125" spans="1:7" x14ac:dyDescent="0.45">
      <c r="A125" t="s">
        <v>258</v>
      </c>
      <c r="B125" s="17">
        <f>quarterly_pmi!B125</f>
        <v>55.37032</v>
      </c>
      <c r="C125" s="15">
        <f>gdp_growth_forecast_consensus!C125</f>
        <v>2.7029999999999998</v>
      </c>
      <c r="D125" s="22">
        <f t="shared" si="2"/>
        <v>55.37032</v>
      </c>
      <c r="F125">
        <f>quarterly_pmi!C125</f>
        <v>69.545429999999996</v>
      </c>
      <c r="G125" s="22">
        <f t="shared" si="3"/>
        <v>69.545429999999996</v>
      </c>
    </row>
    <row r="126" spans="1:7" x14ac:dyDescent="0.45">
      <c r="A126" t="s">
        <v>259</v>
      </c>
      <c r="B126" s="17">
        <f>quarterly_pmi!B126</f>
        <v>55.020870000000002</v>
      </c>
      <c r="C126" s="15">
        <f>gdp_growth_forecast_consensus!C126</f>
        <v>2.68</v>
      </c>
      <c r="D126" s="22">
        <f t="shared" si="2"/>
        <v>55.020870000000002</v>
      </c>
      <c r="F126">
        <f>quarterly_pmi!C126</f>
        <v>69.690479999999994</v>
      </c>
      <c r="G126" s="22">
        <f t="shared" si="3"/>
        <v>69.690479999999994</v>
      </c>
    </row>
    <row r="127" spans="1:7" x14ac:dyDescent="0.45">
      <c r="A127" t="s">
        <v>260</v>
      </c>
      <c r="B127" s="17">
        <f>quarterly_pmi!B127</f>
        <v>50.288559999999997</v>
      </c>
      <c r="C127" s="15">
        <f>gdp_growth_forecast_consensus!C127</f>
        <v>2.6673330000000002</v>
      </c>
      <c r="D127" s="22">
        <f t="shared" si="2"/>
        <v>50.288559999999997</v>
      </c>
      <c r="F127">
        <f>quarterly_pmi!C127</f>
        <v>66.86739</v>
      </c>
      <c r="G127" s="22">
        <f t="shared" si="3"/>
        <v>66.86739</v>
      </c>
    </row>
    <row r="128" spans="1:7" x14ac:dyDescent="0.45">
      <c r="A128" t="s">
        <v>261</v>
      </c>
      <c r="B128" s="17">
        <f>quarterly_pmi!B128</f>
        <v>48.974769999999999</v>
      </c>
      <c r="C128" s="15">
        <f>gdp_growth_forecast_consensus!C128</f>
        <v>2.661667</v>
      </c>
      <c r="D128" s="22">
        <f t="shared" si="2"/>
        <v>48.974769999999999</v>
      </c>
      <c r="F128">
        <f>quarterly_pmi!C128</f>
        <v>62.861080000000001</v>
      </c>
      <c r="G128" s="22">
        <f t="shared" si="3"/>
        <v>62.861080000000001</v>
      </c>
    </row>
    <row r="129" spans="1:7" x14ac:dyDescent="0.45">
      <c r="A129" t="s">
        <v>262</v>
      </c>
      <c r="B129" s="17">
        <f>quarterly_pmi!B129</f>
        <v>47.369590000000002</v>
      </c>
      <c r="C129" s="15">
        <f>gdp_growth_forecast_consensus!C129</f>
        <v>2.0343330000000002</v>
      </c>
      <c r="D129" s="22">
        <f t="shared" si="2"/>
        <v>47.369590000000002</v>
      </c>
      <c r="F129">
        <f>quarterly_pmi!C129</f>
        <v>61.591299999999997</v>
      </c>
      <c r="G129" s="22">
        <f t="shared" si="3"/>
        <v>61.591299999999997</v>
      </c>
    </row>
    <row r="130" spans="1:7" x14ac:dyDescent="0.45">
      <c r="A130" t="s">
        <v>263</v>
      </c>
      <c r="B130" s="17">
        <f>quarterly_pmi!B130</f>
        <v>52.401200000000003</v>
      </c>
      <c r="C130" s="15">
        <f>gdp_growth_forecast_consensus!C130</f>
        <v>2.8256670000000002</v>
      </c>
      <c r="D130" s="22">
        <f t="shared" si="2"/>
        <v>52.401200000000003</v>
      </c>
      <c r="F130">
        <f>quarterly_pmi!C130</f>
        <v>69.256649999999993</v>
      </c>
      <c r="G130" s="22">
        <f t="shared" si="3"/>
        <v>69.256649999999993</v>
      </c>
    </row>
    <row r="131" spans="1:7" x14ac:dyDescent="0.45">
      <c r="A131" t="s">
        <v>264</v>
      </c>
      <c r="B131" s="17">
        <f>quarterly_pmi!B131</f>
        <v>55.513500000000001</v>
      </c>
      <c r="C131" s="15">
        <f>gdp_growth_forecast_consensus!C131</f>
        <v>2.8253330000000001</v>
      </c>
      <c r="D131" s="22">
        <f t="shared" si="2"/>
        <v>55.513500000000001</v>
      </c>
      <c r="F131">
        <f>quarterly_pmi!C131</f>
        <v>71.119</v>
      </c>
      <c r="G131" s="22">
        <f t="shared" si="3"/>
        <v>71.119</v>
      </c>
    </row>
    <row r="132" spans="1:7" x14ac:dyDescent="0.45">
      <c r="A132" t="s">
        <v>265</v>
      </c>
      <c r="B132" s="17">
        <f>quarterly_pmi!B132</f>
        <v>54.358469999999997</v>
      </c>
      <c r="C132" s="15">
        <f>gdp_growth_forecast_consensus!C132</f>
        <v>2.717333</v>
      </c>
      <c r="D132" s="22">
        <f t="shared" si="2"/>
        <v>54.358469999999997</v>
      </c>
      <c r="F132">
        <f>quarterly_pmi!C132</f>
        <v>68.260670000000005</v>
      </c>
      <c r="G132" s="22">
        <f t="shared" si="3"/>
        <v>68.260670000000005</v>
      </c>
    </row>
    <row r="133" spans="1:7" x14ac:dyDescent="0.45">
      <c r="A133" t="s">
        <v>266</v>
      </c>
      <c r="B133" s="17">
        <f>quarterly_pmi!B133</f>
        <v>53.379570000000001</v>
      </c>
      <c r="C133" s="15">
        <f>gdp_growth_forecast_consensus!C133</f>
        <v>2.4323329999999999</v>
      </c>
      <c r="D133" s="22">
        <f t="shared" si="2"/>
        <v>53.379570000000001</v>
      </c>
      <c r="F133">
        <f>quarterly_pmi!C133</f>
        <v>66.764510000000001</v>
      </c>
      <c r="G133" s="22">
        <f t="shared" si="3"/>
        <v>66.764510000000001</v>
      </c>
    </row>
    <row r="134" spans="1:7" x14ac:dyDescent="0.45">
      <c r="A134" t="s">
        <v>267</v>
      </c>
      <c r="B134" s="17">
        <f>quarterly_pmi!B134</f>
        <v>50.119059999999998</v>
      </c>
      <c r="C134" s="15">
        <f>gdp_growth_forecast_consensus!C134</f>
        <v>2.5230000000000001</v>
      </c>
      <c r="D134" s="22">
        <f t="shared" si="2"/>
        <v>50.119059999999998</v>
      </c>
      <c r="F134">
        <f>quarterly_pmi!C134</f>
        <v>65.406199999999998</v>
      </c>
      <c r="G134" s="22">
        <f t="shared" si="3"/>
        <v>65.406199999999998</v>
      </c>
    </row>
    <row r="135" spans="1:7" x14ac:dyDescent="0.45">
      <c r="A135" t="s">
        <v>268</v>
      </c>
      <c r="B135" s="17">
        <f>quarterly_pmi!B135</f>
        <v>51.803159999999998</v>
      </c>
      <c r="C135" s="15">
        <f>gdp_growth_forecast_consensus!C135</f>
        <v>2.427333</v>
      </c>
      <c r="D135" s="22">
        <f t="shared" si="2"/>
        <v>51.803159999999998</v>
      </c>
      <c r="F135">
        <f>quarterly_pmi!C135</f>
        <v>67.943759999999997</v>
      </c>
      <c r="G135" s="22">
        <f t="shared" si="3"/>
        <v>67.943759999999997</v>
      </c>
    </row>
    <row r="136" spans="1:7" x14ac:dyDescent="0.45">
      <c r="A136" t="s">
        <v>269</v>
      </c>
      <c r="B136" s="17">
        <f>quarterly_pmi!B136</f>
        <v>56.809489999999997</v>
      </c>
      <c r="C136" s="15">
        <f>gdp_growth_forecast_consensus!C136</f>
        <v>2.5103330000000001</v>
      </c>
      <c r="D136" s="22">
        <f t="shared" si="2"/>
        <v>56.809489999999997</v>
      </c>
      <c r="F136">
        <f>quarterly_pmi!C136</f>
        <v>70.631569999999996</v>
      </c>
      <c r="G136" s="22">
        <f t="shared" si="3"/>
        <v>70.631569999999996</v>
      </c>
    </row>
    <row r="137" spans="1:7" x14ac:dyDescent="0.45">
      <c r="A137" t="s">
        <v>270</v>
      </c>
      <c r="B137" s="17">
        <f>quarterly_pmi!B137</f>
        <v>58.765880000000003</v>
      </c>
      <c r="C137" s="15">
        <f>gdp_growth_forecast_consensus!C137</f>
        <v>2.6206670000000001</v>
      </c>
      <c r="D137" s="22">
        <f t="shared" si="2"/>
        <v>58.765880000000003</v>
      </c>
      <c r="F137">
        <f>quarterly_pmi!C137</f>
        <v>73.752750000000006</v>
      </c>
      <c r="G137" s="22">
        <f t="shared" si="3"/>
        <v>73.752750000000006</v>
      </c>
    </row>
    <row r="138" spans="1:7" x14ac:dyDescent="0.45">
      <c r="A138" t="s">
        <v>271</v>
      </c>
      <c r="B138" s="17">
        <f>quarterly_pmi!B138</f>
        <v>58.64893</v>
      </c>
      <c r="C138" s="15">
        <f>gdp_growth_forecast_consensus!C138</f>
        <v>2.6150000000000002</v>
      </c>
      <c r="D138" s="22">
        <f t="shared" si="2"/>
        <v>58.64893</v>
      </c>
      <c r="F138">
        <f>quarterly_pmi!C138</f>
        <v>74.298199999999994</v>
      </c>
      <c r="G138" s="22">
        <f t="shared" si="3"/>
        <v>74.298199999999994</v>
      </c>
    </row>
    <row r="139" spans="1:7" x14ac:dyDescent="0.45">
      <c r="A139" t="s">
        <v>272</v>
      </c>
      <c r="B139" s="17">
        <f>quarterly_pmi!B139</f>
        <v>57.459249999999997</v>
      </c>
      <c r="C139" s="15">
        <f>gdp_growth_forecast_consensus!C139</f>
        <v>2.6480000000000001</v>
      </c>
      <c r="D139" s="22">
        <f t="shared" si="2"/>
        <v>57.459249999999997</v>
      </c>
      <c r="F139">
        <f>quarterly_pmi!C139</f>
        <v>72.741029999999995</v>
      </c>
      <c r="G139" s="22">
        <f t="shared" si="3"/>
        <v>72.741029999999995</v>
      </c>
    </row>
    <row r="140" spans="1:7" x14ac:dyDescent="0.45">
      <c r="A140" t="s">
        <v>273</v>
      </c>
      <c r="B140" s="17">
        <f>quarterly_pmi!B140</f>
        <v>55.736789999999999</v>
      </c>
      <c r="C140" s="15">
        <f>gdp_growth_forecast_consensus!C140</f>
        <v>2.6419999999999999</v>
      </c>
      <c r="D140" s="22">
        <f t="shared" si="2"/>
        <v>55.736789999999999</v>
      </c>
      <c r="F140">
        <f>quarterly_pmi!C140</f>
        <v>70.569659999999999</v>
      </c>
      <c r="G140" s="22">
        <f t="shared" si="3"/>
        <v>70.569659999999999</v>
      </c>
    </row>
    <row r="141" spans="1:7" x14ac:dyDescent="0.45">
      <c r="A141" t="s">
        <v>274</v>
      </c>
      <c r="B141" s="17">
        <f>quarterly_pmi!B141</f>
        <v>55.749870000000001</v>
      </c>
      <c r="C141" s="15">
        <f>gdp_growth_forecast_consensus!C141</f>
        <v>2.568667</v>
      </c>
      <c r="D141" s="22">
        <f t="shared" si="2"/>
        <v>55.749870000000001</v>
      </c>
      <c r="F141">
        <f>quarterly_pmi!C141</f>
        <v>69.936390000000003</v>
      </c>
      <c r="G141" s="22">
        <f t="shared" si="3"/>
        <v>69.936390000000003</v>
      </c>
    </row>
    <row r="142" spans="1:7" x14ac:dyDescent="0.45">
      <c r="A142" t="s">
        <v>275</v>
      </c>
      <c r="B142" s="17">
        <f>quarterly_pmi!B142</f>
        <v>55.284059999999997</v>
      </c>
      <c r="C142" s="15">
        <f>gdp_growth_forecast_consensus!C142</f>
        <v>2.3439999999999999</v>
      </c>
      <c r="D142" s="22">
        <f t="shared" si="2"/>
        <v>55.284059999999997</v>
      </c>
      <c r="F142">
        <f>quarterly_pmi!C142</f>
        <v>70.904899999999998</v>
      </c>
      <c r="G142" s="22">
        <f t="shared" si="3"/>
        <v>70.904899999999998</v>
      </c>
    </row>
    <row r="143" spans="1:7" x14ac:dyDescent="0.45">
      <c r="A143" t="s">
        <v>276</v>
      </c>
      <c r="B143" s="17">
        <f>quarterly_pmi!B143</f>
        <v>53.97589</v>
      </c>
      <c r="C143" s="15">
        <f>gdp_growth_forecast_consensus!C143</f>
        <v>2.3130000000000002</v>
      </c>
      <c r="D143" s="22">
        <f t="shared" si="2"/>
        <v>53.97589</v>
      </c>
      <c r="F143">
        <f>quarterly_pmi!C143</f>
        <v>67.291219999999996</v>
      </c>
      <c r="G143" s="22">
        <f t="shared" si="3"/>
        <v>67.291219999999996</v>
      </c>
    </row>
    <row r="144" spans="1:7" x14ac:dyDescent="0.45">
      <c r="A144" t="s">
        <v>277</v>
      </c>
      <c r="B144" s="17">
        <f>quarterly_pmi!B144</f>
        <v>54.553190000000001</v>
      </c>
      <c r="C144" s="15">
        <f>gdp_growth_forecast_consensus!C144</f>
        <v>2.2149999999999999</v>
      </c>
      <c r="D144" s="22">
        <f t="shared" si="2"/>
        <v>54.553190000000001</v>
      </c>
      <c r="F144">
        <f>quarterly_pmi!C144</f>
        <v>68.835080000000005</v>
      </c>
      <c r="G144" s="22">
        <f t="shared" si="3"/>
        <v>68.835080000000005</v>
      </c>
    </row>
    <row r="145" spans="1:7" x14ac:dyDescent="0.45">
      <c r="A145" t="s">
        <v>278</v>
      </c>
      <c r="B145" s="17">
        <f>quarterly_pmi!B145</f>
        <v>55.930140000000002</v>
      </c>
      <c r="C145" s="15">
        <f>gdp_growth_forecast_consensus!C145</f>
        <v>2.1636669999999998</v>
      </c>
      <c r="D145" s="22">
        <f t="shared" si="2"/>
        <v>55.930140000000002</v>
      </c>
      <c r="F145">
        <f>quarterly_pmi!C145</f>
        <v>68.99973</v>
      </c>
      <c r="G145" s="22">
        <f t="shared" si="3"/>
        <v>68.99973</v>
      </c>
    </row>
    <row r="146" spans="1:7" x14ac:dyDescent="0.45">
      <c r="A146" t="s">
        <v>279</v>
      </c>
      <c r="B146" s="17">
        <f>quarterly_pmi!B146</f>
        <v>56.782260000000001</v>
      </c>
      <c r="C146" s="15">
        <f>gdp_growth_forecast_consensus!C146</f>
        <v>2.4260000000000002</v>
      </c>
      <c r="D146" s="22">
        <f t="shared" si="2"/>
        <v>56.782260000000001</v>
      </c>
      <c r="F146">
        <f>quarterly_pmi!C146</f>
        <v>70.082149999999999</v>
      </c>
      <c r="G146" s="22">
        <f t="shared" si="3"/>
        <v>70.082149999999999</v>
      </c>
    </row>
    <row r="147" spans="1:7" x14ac:dyDescent="0.45">
      <c r="A147" t="s">
        <v>280</v>
      </c>
      <c r="B147" s="17">
        <f>quarterly_pmi!B147</f>
        <v>58.460749999999997</v>
      </c>
      <c r="C147" s="15">
        <f>gdp_growth_forecast_consensus!C147</f>
        <v>2.4860000000000002</v>
      </c>
      <c r="D147" s="22">
        <f t="shared" si="2"/>
        <v>58.460749999999997</v>
      </c>
      <c r="F147">
        <f>quarterly_pmi!C147</f>
        <v>70.454030000000003</v>
      </c>
      <c r="G147" s="22">
        <f t="shared" si="3"/>
        <v>70.454030000000003</v>
      </c>
    </row>
    <row r="148" spans="1:7" x14ac:dyDescent="0.45">
      <c r="A148" t="s">
        <v>281</v>
      </c>
      <c r="B148" s="17">
        <f>quarterly_pmi!B148</f>
        <v>56.56165</v>
      </c>
      <c r="C148" s="15">
        <f>gdp_growth_forecast_consensus!C148</f>
        <v>2.4173330000000002</v>
      </c>
      <c r="D148" s="22">
        <f t="shared" si="2"/>
        <v>56.56165</v>
      </c>
      <c r="F148">
        <f>quarterly_pmi!C148</f>
        <v>68.515010000000004</v>
      </c>
      <c r="G148" s="22">
        <f t="shared" si="3"/>
        <v>68.515010000000004</v>
      </c>
    </row>
    <row r="149" spans="1:7" x14ac:dyDescent="0.45">
      <c r="A149" t="s">
        <v>282</v>
      </c>
      <c r="B149" s="17">
        <f>quarterly_pmi!B149</f>
        <v>58.292310000000001</v>
      </c>
      <c r="C149" s="15">
        <f>gdp_growth_forecast_consensus!C149</f>
        <v>2.3963329999999998</v>
      </c>
      <c r="D149" s="22">
        <f t="shared" si="2"/>
        <v>58.292310000000001</v>
      </c>
      <c r="F149">
        <f>quarterly_pmi!C149</f>
        <v>72.271230000000003</v>
      </c>
      <c r="G149" s="22">
        <f t="shared" si="3"/>
        <v>72.271230000000003</v>
      </c>
    </row>
    <row r="150" spans="1:7" x14ac:dyDescent="0.45">
      <c r="A150" t="s">
        <v>283</v>
      </c>
      <c r="B150" s="17">
        <f>quarterly_pmi!B150</f>
        <v>57.595030000000001</v>
      </c>
      <c r="C150" s="15">
        <f>gdp_growth_forecast_consensus!C150</f>
        <v>2.3696670000000002</v>
      </c>
      <c r="D150" s="22">
        <f t="shared" si="2"/>
        <v>57.595030000000001</v>
      </c>
      <c r="F150">
        <f>quarterly_pmi!C150</f>
        <v>71.583280000000002</v>
      </c>
      <c r="G150" s="22">
        <f t="shared" si="3"/>
        <v>71.583280000000002</v>
      </c>
    </row>
    <row r="151" spans="1:7" x14ac:dyDescent="0.45">
      <c r="A151" t="s">
        <v>284</v>
      </c>
      <c r="B151" s="17">
        <f>quarterly_pmi!B151</f>
        <v>57.215159999999997</v>
      </c>
      <c r="C151" s="15">
        <f>gdp_growth_forecast_consensus!C151</f>
        <v>2.3083330000000002</v>
      </c>
      <c r="D151" s="22">
        <f t="shared" si="2"/>
        <v>57.215159999999997</v>
      </c>
      <c r="F151">
        <f>quarterly_pmi!C151</f>
        <v>70.073719999999994</v>
      </c>
      <c r="G151" s="22">
        <f t="shared" si="3"/>
        <v>70.073719999999994</v>
      </c>
    </row>
    <row r="152" spans="1:7" x14ac:dyDescent="0.45">
      <c r="A152" t="s">
        <v>285</v>
      </c>
      <c r="B152" s="17">
        <f>quarterly_pmi!B152</f>
        <v>57.23404</v>
      </c>
      <c r="C152" s="15">
        <f>gdp_growth_forecast_consensus!C152</f>
        <v>2.1986669999999999</v>
      </c>
      <c r="D152" s="22">
        <f t="shared" si="2"/>
        <v>57.23404</v>
      </c>
      <c r="F152">
        <f>quarterly_pmi!C152</f>
        <v>70.176119999999997</v>
      </c>
      <c r="G152" s="22">
        <f t="shared" si="3"/>
        <v>70.176119999999997</v>
      </c>
    </row>
    <row r="153" spans="1:7" x14ac:dyDescent="0.45">
      <c r="A153" t="s">
        <v>286</v>
      </c>
      <c r="B153" s="17">
        <f>quarterly_pmi!B153</f>
        <v>53.491050000000001</v>
      </c>
      <c r="C153" s="15">
        <f>gdp_growth_forecast_consensus!C153</f>
        <v>1.9383330000000001</v>
      </c>
      <c r="D153" s="22">
        <f t="shared" si="2"/>
        <v>53.491050000000001</v>
      </c>
      <c r="F153">
        <f>quarterly_pmi!C153</f>
        <v>66.935280000000006</v>
      </c>
      <c r="G153" s="22">
        <f t="shared" si="3"/>
        <v>66.935280000000006</v>
      </c>
    </row>
    <row r="154" spans="1:7" x14ac:dyDescent="0.45">
      <c r="A154" t="s">
        <v>287</v>
      </c>
      <c r="B154" s="17">
        <f>quarterly_pmi!B154</f>
        <v>52.954219999999999</v>
      </c>
      <c r="C154" s="15">
        <f>gdp_growth_forecast_consensus!C154</f>
        <v>1.975333</v>
      </c>
      <c r="D154" s="22">
        <f t="shared" si="2"/>
        <v>52.954219999999999</v>
      </c>
      <c r="F154">
        <f>quarterly_pmi!C154</f>
        <v>63.757910000000003</v>
      </c>
      <c r="G154" s="22">
        <f t="shared" si="3"/>
        <v>63.757910000000003</v>
      </c>
    </row>
    <row r="155" spans="1:7" x14ac:dyDescent="0.45">
      <c r="A155" t="s">
        <v>288</v>
      </c>
      <c r="B155" s="17">
        <f>quarterly_pmi!B155</f>
        <v>48.573279999999997</v>
      </c>
      <c r="C155" s="15">
        <f>gdp_growth_forecast_consensus!C155</f>
        <v>1.524667</v>
      </c>
      <c r="D155" s="22">
        <f t="shared" si="2"/>
        <v>48.573279999999997</v>
      </c>
      <c r="F155">
        <f>quarterly_pmi!C155</f>
        <v>59.90325</v>
      </c>
      <c r="G155" s="22">
        <f t="shared" si="3"/>
        <v>59.90325</v>
      </c>
    </row>
    <row r="156" spans="1:7" x14ac:dyDescent="0.45">
      <c r="A156" t="s">
        <v>289</v>
      </c>
      <c r="B156" s="17">
        <f>quarterly_pmi!B156</f>
        <v>46.54495</v>
      </c>
      <c r="C156" s="15">
        <f>gdp_growth_forecast_consensus!C156</f>
        <v>0.79766669999999995</v>
      </c>
      <c r="D156" s="22">
        <f t="shared" si="2"/>
        <v>46.54495</v>
      </c>
      <c r="F156">
        <f>quarterly_pmi!C156</f>
        <v>54.915280000000003</v>
      </c>
      <c r="G156" s="22">
        <f t="shared" si="3"/>
        <v>54.915280000000003</v>
      </c>
    </row>
    <row r="157" spans="1:7" x14ac:dyDescent="0.45">
      <c r="A157" t="s">
        <v>290</v>
      </c>
      <c r="B157" s="17">
        <f>quarterly_pmi!B157</f>
        <v>39.703960000000002</v>
      </c>
      <c r="C157" s="15">
        <f>gdp_growth_forecast_consensus!C157</f>
        <v>-0.86133329999999997</v>
      </c>
      <c r="D157" s="22">
        <f t="shared" si="2"/>
        <v>39.703960000000002</v>
      </c>
      <c r="F157">
        <f>quarterly_pmi!C157</f>
        <v>47.144919999999999</v>
      </c>
      <c r="G157" s="22">
        <f t="shared" si="3"/>
        <v>47.144919999999999</v>
      </c>
    </row>
    <row r="158" spans="1:7" x14ac:dyDescent="0.45">
      <c r="A158" t="s">
        <v>291</v>
      </c>
      <c r="B158" s="17">
        <f>quarterly_pmi!B158</f>
        <v>41.831670000000003</v>
      </c>
      <c r="C158" s="15">
        <f>gdp_growth_forecast_consensus!C158</f>
        <v>0.55766669999999996</v>
      </c>
      <c r="D158" s="22">
        <f t="shared" si="2"/>
        <v>41.831670000000003</v>
      </c>
      <c r="F158">
        <f>quarterly_pmi!C158</f>
        <v>53.139110000000002</v>
      </c>
      <c r="G158" s="22">
        <f t="shared" si="3"/>
        <v>53.139110000000002</v>
      </c>
    </row>
    <row r="159" spans="1:7" x14ac:dyDescent="0.45">
      <c r="A159" t="s">
        <v>292</v>
      </c>
      <c r="B159" s="17">
        <f>quarterly_pmi!B159</f>
        <v>50.09646</v>
      </c>
      <c r="C159" s="15">
        <f>gdp_growth_forecast_consensus!C159</f>
        <v>0.44700000000000001</v>
      </c>
      <c r="D159" s="22">
        <f t="shared" si="2"/>
        <v>50.09646</v>
      </c>
      <c r="F159">
        <f>quarterly_pmi!C159</f>
        <v>64.617750000000001</v>
      </c>
      <c r="G159" s="22">
        <f t="shared" si="3"/>
        <v>64.617750000000001</v>
      </c>
    </row>
    <row r="160" spans="1:7" x14ac:dyDescent="0.45">
      <c r="A160" t="s">
        <v>293</v>
      </c>
      <c r="B160" s="17">
        <f>quarterly_pmi!B160</f>
        <v>54.286459999999998</v>
      </c>
      <c r="C160" s="15">
        <f>gdp_growth_forecast_consensus!C160</f>
        <v>0.95766669999999998</v>
      </c>
      <c r="D160" s="22">
        <f t="shared" si="2"/>
        <v>54.286459999999998</v>
      </c>
      <c r="F160">
        <f>quarterly_pmi!C160</f>
        <v>69.048370000000006</v>
      </c>
      <c r="G160" s="22">
        <f t="shared" si="3"/>
        <v>69.048370000000006</v>
      </c>
    </row>
    <row r="161" spans="1:7" x14ac:dyDescent="0.45">
      <c r="A161" t="s">
        <v>294</v>
      </c>
      <c r="B161" s="17">
        <f>quarterly_pmi!B161</f>
        <v>57.08099</v>
      </c>
      <c r="C161" s="15">
        <f>gdp_growth_forecast_consensus!C161</f>
        <v>1.298</v>
      </c>
      <c r="D161" s="22">
        <f t="shared" si="2"/>
        <v>57.08099</v>
      </c>
      <c r="F161">
        <f>quarterly_pmi!C161</f>
        <v>69.79598</v>
      </c>
      <c r="G161" s="22">
        <f t="shared" si="3"/>
        <v>69.79598</v>
      </c>
    </row>
    <row r="162" spans="1:7" x14ac:dyDescent="0.45">
      <c r="A162" t="s">
        <v>295</v>
      </c>
      <c r="B162" s="17">
        <f>quarterly_pmi!B162</f>
        <v>56.945740000000001</v>
      </c>
      <c r="C162" s="15">
        <f>gdp_growth_forecast_consensus!C162</f>
        <v>2.2153330000000002</v>
      </c>
      <c r="D162" s="22">
        <f t="shared" si="2"/>
        <v>56.945740000000001</v>
      </c>
      <c r="F162">
        <f>quarterly_pmi!C162</f>
        <v>70.96499</v>
      </c>
      <c r="G162" s="22">
        <f t="shared" si="3"/>
        <v>70.96499</v>
      </c>
    </row>
    <row r="163" spans="1:7" x14ac:dyDescent="0.45">
      <c r="A163" t="s">
        <v>296</v>
      </c>
      <c r="B163" s="17">
        <f>quarterly_pmi!B163</f>
        <v>56.076610000000002</v>
      </c>
      <c r="C163" s="15">
        <f>gdp_growth_forecast_consensus!C163</f>
        <v>2.2629999999999999</v>
      </c>
      <c r="D163" s="22">
        <f t="shared" si="2"/>
        <v>56.076610000000002</v>
      </c>
      <c r="F163">
        <f>quarterly_pmi!C163</f>
        <v>66.988590000000002</v>
      </c>
      <c r="G163" s="22">
        <f t="shared" si="3"/>
        <v>66.988590000000002</v>
      </c>
    </row>
    <row r="164" spans="1:7" x14ac:dyDescent="0.45">
      <c r="A164" t="s">
        <v>297</v>
      </c>
      <c r="B164" s="17">
        <f>quarterly_pmi!B164</f>
        <v>53.340200000000003</v>
      </c>
      <c r="C164" s="15">
        <f>gdp_growth_forecast_consensus!C164</f>
        <v>2.072667</v>
      </c>
      <c r="D164" s="22">
        <f t="shared" si="2"/>
        <v>53.340200000000003</v>
      </c>
      <c r="F164">
        <f>quarterly_pmi!C164</f>
        <v>63.35313</v>
      </c>
      <c r="G164" s="22">
        <f t="shared" si="3"/>
        <v>63.35313</v>
      </c>
    </row>
    <row r="165" spans="1:7" x14ac:dyDescent="0.45">
      <c r="A165" t="s">
        <v>298</v>
      </c>
      <c r="B165" s="17">
        <f>quarterly_pmi!B165</f>
        <v>53.498339999999999</v>
      </c>
      <c r="C165" s="15">
        <f>gdp_growth_forecast_consensus!C165</f>
        <v>1.9696670000000001</v>
      </c>
      <c r="D165" s="22">
        <f t="shared" si="2"/>
        <v>53.498339999999999</v>
      </c>
      <c r="F165">
        <f>quarterly_pmi!C165</f>
        <v>64.512150000000005</v>
      </c>
      <c r="G165" s="22">
        <f t="shared" si="3"/>
        <v>64.512150000000005</v>
      </c>
    </row>
    <row r="166" spans="1:7" x14ac:dyDescent="0.45">
      <c r="A166" t="s">
        <v>299</v>
      </c>
      <c r="B166" s="17">
        <f>quarterly_pmi!B166</f>
        <v>55.747169999999997</v>
      </c>
      <c r="C166" s="15">
        <f>gdp_growth_forecast_consensus!C166</f>
        <v>2.1493329999999999</v>
      </c>
      <c r="D166" s="22">
        <f t="shared" si="2"/>
        <v>55.747169999999997</v>
      </c>
      <c r="F166">
        <f>quarterly_pmi!C166</f>
        <v>67.717889999999997</v>
      </c>
      <c r="G166" s="22">
        <f t="shared" si="3"/>
        <v>67.717889999999997</v>
      </c>
    </row>
    <row r="167" spans="1:7" x14ac:dyDescent="0.45">
      <c r="A167" t="s">
        <v>300</v>
      </c>
      <c r="B167" s="17">
        <f>quarterly_pmi!B167</f>
        <v>53.829990000000002</v>
      </c>
      <c r="C167" s="15">
        <f>gdp_growth_forecast_consensus!C167</f>
        <v>2.1709999999999998</v>
      </c>
      <c r="D167" s="22">
        <f t="shared" si="2"/>
        <v>53.829990000000002</v>
      </c>
      <c r="F167">
        <f>quarterly_pmi!C167</f>
        <v>64.848320000000001</v>
      </c>
      <c r="G167" s="22">
        <f t="shared" si="3"/>
        <v>64.848320000000001</v>
      </c>
    </row>
    <row r="168" spans="1:7" x14ac:dyDescent="0.45">
      <c r="A168" t="s">
        <v>301</v>
      </c>
      <c r="B168" s="17">
        <f>quarterly_pmi!B168</f>
        <v>52.815040000000003</v>
      </c>
      <c r="C168" s="15">
        <f>gdp_growth_forecast_consensus!C168</f>
        <v>1.9703329999999999</v>
      </c>
      <c r="D168" s="22">
        <f t="shared" si="2"/>
        <v>52.815040000000003</v>
      </c>
      <c r="F168">
        <f>quarterly_pmi!C168</f>
        <v>62.307949999999998</v>
      </c>
      <c r="G168" s="22">
        <f t="shared" si="3"/>
        <v>62.307949999999998</v>
      </c>
    </row>
    <row r="169" spans="1:7" x14ac:dyDescent="0.45">
      <c r="A169" t="s">
        <v>302</v>
      </c>
      <c r="B169" s="17">
        <f>quarterly_pmi!B169</f>
        <v>51.693390000000001</v>
      </c>
      <c r="C169" s="15">
        <f>gdp_growth_forecast_consensus!C169</f>
        <v>1.078667</v>
      </c>
      <c r="D169" s="22">
        <f t="shared" si="2"/>
        <v>51.693390000000001</v>
      </c>
      <c r="F169">
        <f>quarterly_pmi!C169</f>
        <v>62.938740000000003</v>
      </c>
      <c r="G169" s="22">
        <f t="shared" si="3"/>
        <v>62.938740000000003</v>
      </c>
    </row>
    <row r="170" spans="1:7" x14ac:dyDescent="0.45">
      <c r="A170" t="s">
        <v>303</v>
      </c>
      <c r="B170" s="17">
        <f>quarterly_pmi!B170</f>
        <v>54.727200000000003</v>
      </c>
      <c r="C170" s="15">
        <f>gdp_growth_forecast_consensus!C170</f>
        <v>1.778</v>
      </c>
      <c r="D170" s="22">
        <f t="shared" si="2"/>
        <v>54.727200000000003</v>
      </c>
      <c r="F170">
        <f>quarterly_pmi!C170</f>
        <v>67.446389999999994</v>
      </c>
      <c r="G170" s="22">
        <f t="shared" si="3"/>
        <v>67.446389999999994</v>
      </c>
    </row>
    <row r="171" spans="1:7" x14ac:dyDescent="0.45">
      <c r="A171" t="s">
        <v>304</v>
      </c>
      <c r="B171" s="17">
        <f>quarterly_pmi!B171</f>
        <v>52.123539999999998</v>
      </c>
      <c r="C171" s="15">
        <f>gdp_growth_forecast_consensus!C171</f>
        <v>1.7896669999999999</v>
      </c>
      <c r="D171" s="22">
        <f t="shared" si="2"/>
        <v>52.123539999999998</v>
      </c>
      <c r="F171">
        <f>quarterly_pmi!C171</f>
        <v>64.797719999999998</v>
      </c>
      <c r="G171" s="22">
        <f t="shared" si="3"/>
        <v>64.797719999999998</v>
      </c>
    </row>
    <row r="172" spans="1:7" x14ac:dyDescent="0.45">
      <c r="A172" t="s">
        <v>305</v>
      </c>
      <c r="B172" s="17">
        <f>quarterly_pmi!B172</f>
        <v>51.213940000000001</v>
      </c>
      <c r="C172" s="15">
        <f>gdp_growth_forecast_consensus!C172</f>
        <v>1.405</v>
      </c>
      <c r="D172" s="22">
        <f t="shared" si="2"/>
        <v>51.213940000000001</v>
      </c>
      <c r="F172">
        <f>quarterly_pmi!C172</f>
        <v>66.530940000000001</v>
      </c>
      <c r="G172" s="22">
        <f t="shared" si="3"/>
        <v>66.530940000000001</v>
      </c>
    </row>
    <row r="173" spans="1:7" x14ac:dyDescent="0.45">
      <c r="A173" t="s">
        <v>306</v>
      </c>
      <c r="B173" s="17">
        <f>quarterly_pmi!B173</f>
        <v>49.858580000000003</v>
      </c>
      <c r="C173" s="15">
        <f>gdp_growth_forecast_consensus!C173</f>
        <v>1.175</v>
      </c>
      <c r="D173" s="22">
        <f t="shared" si="2"/>
        <v>49.858580000000003</v>
      </c>
      <c r="F173">
        <f>quarterly_pmi!C173</f>
        <v>65.056190000000001</v>
      </c>
      <c r="G173" s="22">
        <f t="shared" si="3"/>
        <v>65.056190000000001</v>
      </c>
    </row>
    <row r="174" spans="1:7" x14ac:dyDescent="0.45">
      <c r="A174" t="s">
        <v>307</v>
      </c>
      <c r="B174" s="17">
        <f>quarterly_pmi!B174</f>
        <v>51.678040000000003</v>
      </c>
      <c r="C174" s="15">
        <f>gdp_growth_forecast_consensus!C174</f>
        <v>1.6643330000000001</v>
      </c>
      <c r="D174" s="22">
        <f t="shared" si="2"/>
        <v>51.678040000000003</v>
      </c>
      <c r="F174">
        <f>quarterly_pmi!C174</f>
        <v>68.316630000000004</v>
      </c>
      <c r="G174" s="22">
        <f t="shared" si="3"/>
        <v>68.316630000000004</v>
      </c>
    </row>
    <row r="175" spans="1:7" x14ac:dyDescent="0.45">
      <c r="A175" t="s">
        <v>308</v>
      </c>
      <c r="B175" s="17">
        <f>quarterly_pmi!B175</f>
        <v>54.664319999999996</v>
      </c>
      <c r="C175" s="15">
        <f>gdp_growth_forecast_consensus!C175</f>
        <v>1.619</v>
      </c>
      <c r="D175" s="22">
        <f t="shared" si="2"/>
        <v>54.664319999999996</v>
      </c>
      <c r="F175">
        <f>quarterly_pmi!C175</f>
        <v>69.363720000000001</v>
      </c>
      <c r="G175" s="22">
        <f t="shared" si="3"/>
        <v>69.363720000000001</v>
      </c>
    </row>
    <row r="176" spans="1:7" x14ac:dyDescent="0.45">
      <c r="A176" t="s">
        <v>309</v>
      </c>
      <c r="B176" s="17">
        <f>quarterly_pmi!B176</f>
        <v>60.50338</v>
      </c>
      <c r="C176" s="15">
        <f>gdp_growth_forecast_consensus!C176</f>
        <v>1.917333</v>
      </c>
      <c r="D176" s="22">
        <f t="shared" si="2"/>
        <v>60.50338</v>
      </c>
      <c r="F176">
        <f>quarterly_pmi!C176</f>
        <v>72.179389999999998</v>
      </c>
      <c r="G176" s="22">
        <f t="shared" si="3"/>
        <v>72.179389999999998</v>
      </c>
    </row>
    <row r="177" spans="1:7" x14ac:dyDescent="0.45">
      <c r="A177" t="s">
        <v>310</v>
      </c>
      <c r="B177" s="17">
        <f>quarterly_pmi!B177</f>
        <v>60.301740000000002</v>
      </c>
      <c r="C177" s="15">
        <f>gdp_growth_forecast_consensus!C177</f>
        <v>2.3616670000000002</v>
      </c>
      <c r="D177" s="22">
        <f t="shared" si="2"/>
        <v>60.301740000000002</v>
      </c>
      <c r="F177">
        <f>quarterly_pmi!C177</f>
        <v>72.596770000000006</v>
      </c>
      <c r="G177" s="22">
        <f t="shared" si="3"/>
        <v>72.596770000000006</v>
      </c>
    </row>
    <row r="178" spans="1:7" x14ac:dyDescent="0.45">
      <c r="A178" t="s">
        <v>311</v>
      </c>
      <c r="B178" s="17">
        <f>quarterly_pmi!B178</f>
        <v>57.894370000000002</v>
      </c>
      <c r="C178" s="15">
        <f>gdp_growth_forecast_consensus!C178</f>
        <v>2.4220000000000002</v>
      </c>
      <c r="D178" s="22">
        <f t="shared" si="2"/>
        <v>57.894370000000002</v>
      </c>
      <c r="F178">
        <f>quarterly_pmi!C178</f>
        <v>75.036330000000007</v>
      </c>
      <c r="G178" s="22">
        <f t="shared" si="3"/>
        <v>75.036330000000007</v>
      </c>
    </row>
    <row r="179" spans="1:7" x14ac:dyDescent="0.45">
      <c r="A179" t="s">
        <v>312</v>
      </c>
      <c r="B179" s="17">
        <f>quarterly_pmi!B179</f>
        <v>58.766849999999998</v>
      </c>
      <c r="C179" s="15">
        <f>gdp_growth_forecast_consensus!C179</f>
        <v>2.4990000000000001</v>
      </c>
      <c r="D179" s="22">
        <f t="shared" ref="D179:D224" si="4">B179</f>
        <v>58.766849999999998</v>
      </c>
      <c r="F179">
        <f>quarterly_pmi!C179</f>
        <v>74.329220000000007</v>
      </c>
      <c r="G179" s="22">
        <f t="shared" ref="G179:G224" si="5">F179</f>
        <v>74.329220000000007</v>
      </c>
    </row>
    <row r="180" spans="1:7" x14ac:dyDescent="0.45">
      <c r="A180" t="s">
        <v>313</v>
      </c>
      <c r="B180" s="17">
        <f>quarterly_pmi!B180</f>
        <v>58.584609999999998</v>
      </c>
      <c r="C180" s="15">
        <f>gdp_growth_forecast_consensus!C180</f>
        <v>2.601667</v>
      </c>
      <c r="D180" s="22">
        <f t="shared" si="4"/>
        <v>58.584609999999998</v>
      </c>
      <c r="F180">
        <f>quarterly_pmi!C180</f>
        <v>71.651539999999997</v>
      </c>
      <c r="G180" s="22">
        <f t="shared" si="5"/>
        <v>71.651539999999997</v>
      </c>
    </row>
    <row r="181" spans="1:7" x14ac:dyDescent="0.45">
      <c r="A181" t="s">
        <v>314</v>
      </c>
      <c r="B181" s="17">
        <f>quarterly_pmi!B181</f>
        <v>56.177810000000001</v>
      </c>
      <c r="C181" s="15">
        <f>gdp_growth_forecast_consensus!C181</f>
        <v>2.5979999999999999</v>
      </c>
      <c r="D181" s="22">
        <f t="shared" si="4"/>
        <v>56.177810000000001</v>
      </c>
      <c r="F181">
        <f>quarterly_pmi!C181</f>
        <v>70.643510000000006</v>
      </c>
      <c r="G181" s="22">
        <f t="shared" si="5"/>
        <v>70.643510000000006</v>
      </c>
    </row>
    <row r="182" spans="1:7" x14ac:dyDescent="0.45">
      <c r="A182" t="s">
        <v>315</v>
      </c>
      <c r="B182" s="17">
        <f>quarterly_pmi!B182</f>
        <v>57.160649999999997</v>
      </c>
      <c r="C182" s="15">
        <f>gdp_growth_forecast_consensus!C182</f>
        <v>2.4603329999999999</v>
      </c>
      <c r="D182" s="22">
        <f t="shared" si="4"/>
        <v>57.160649999999997</v>
      </c>
      <c r="F182">
        <f>quarterly_pmi!C182</f>
        <v>71.949489999999997</v>
      </c>
      <c r="G182" s="22">
        <f t="shared" si="5"/>
        <v>71.949489999999997</v>
      </c>
    </row>
    <row r="183" spans="1:7" x14ac:dyDescent="0.45">
      <c r="A183" t="s">
        <v>316</v>
      </c>
      <c r="B183" s="17">
        <f>quarterly_pmi!B183</f>
        <v>57.356699999999996</v>
      </c>
      <c r="C183" s="15">
        <f>gdp_growth_forecast_consensus!C183</f>
        <v>2.4783330000000001</v>
      </c>
      <c r="D183" s="22">
        <f t="shared" si="4"/>
        <v>57.356699999999996</v>
      </c>
      <c r="F183">
        <f>quarterly_pmi!C183</f>
        <v>71.746589999999998</v>
      </c>
      <c r="G183" s="22">
        <f t="shared" si="5"/>
        <v>71.746589999999998</v>
      </c>
    </row>
    <row r="184" spans="1:7" x14ac:dyDescent="0.45">
      <c r="A184" t="s">
        <v>317</v>
      </c>
      <c r="B184" s="17">
        <f>quarterly_pmi!B184</f>
        <v>55.148820000000001</v>
      </c>
      <c r="C184" s="15">
        <f>gdp_growth_forecast_consensus!C184</f>
        <v>2.467333</v>
      </c>
      <c r="D184" s="22">
        <f t="shared" si="4"/>
        <v>55.148820000000001</v>
      </c>
      <c r="F184">
        <f>quarterly_pmi!C184</f>
        <v>70.62406</v>
      </c>
      <c r="G184" s="22">
        <f t="shared" si="5"/>
        <v>70.62406</v>
      </c>
    </row>
    <row r="185" spans="1:7" x14ac:dyDescent="0.45">
      <c r="A185" t="s">
        <v>318</v>
      </c>
      <c r="B185" s="17">
        <f>quarterly_pmi!B185</f>
        <v>55.316270000000003</v>
      </c>
      <c r="C185" s="15">
        <f>gdp_growth_forecast_consensus!C185</f>
        <v>2.3653330000000001</v>
      </c>
      <c r="D185" s="22">
        <f t="shared" si="4"/>
        <v>55.316270000000003</v>
      </c>
      <c r="F185">
        <f>quarterly_pmi!C185</f>
        <v>68.799350000000004</v>
      </c>
      <c r="G185" s="22">
        <f t="shared" si="5"/>
        <v>68.799350000000004</v>
      </c>
    </row>
    <row r="186" spans="1:7" x14ac:dyDescent="0.45">
      <c r="A186" t="s">
        <v>319</v>
      </c>
      <c r="B186" s="17">
        <f>quarterly_pmi!B186</f>
        <v>54.002249999999997</v>
      </c>
      <c r="C186" s="15">
        <f>gdp_growth_forecast_consensus!C186</f>
        <v>2.2450000000000001</v>
      </c>
      <c r="D186" s="22">
        <f t="shared" si="4"/>
        <v>54.002249999999997</v>
      </c>
      <c r="F186">
        <f>quarterly_pmi!C186</f>
        <v>68.549930000000003</v>
      </c>
      <c r="G186" s="22">
        <f t="shared" si="5"/>
        <v>68.549930000000003</v>
      </c>
    </row>
    <row r="187" spans="1:7" x14ac:dyDescent="0.45">
      <c r="A187" t="s">
        <v>320</v>
      </c>
      <c r="B187" s="17">
        <f>quarterly_pmi!B187</f>
        <v>52.648560000000003</v>
      </c>
      <c r="C187" s="15">
        <f>gdp_growth_forecast_consensus!C187</f>
        <v>2.161667</v>
      </c>
      <c r="D187" s="22">
        <f t="shared" si="4"/>
        <v>52.648560000000003</v>
      </c>
      <c r="F187">
        <f>quarterly_pmi!C187</f>
        <v>68.922139999999999</v>
      </c>
      <c r="G187" s="22">
        <f t="shared" si="5"/>
        <v>68.922139999999999</v>
      </c>
    </row>
    <row r="188" spans="1:7" x14ac:dyDescent="0.45">
      <c r="A188" t="s">
        <v>321</v>
      </c>
      <c r="B188" s="17">
        <f>quarterly_pmi!B188</f>
        <v>51.626139999999999</v>
      </c>
      <c r="C188" s="15">
        <f>gdp_growth_forecast_consensus!C188</f>
        <v>0.64066670000000003</v>
      </c>
      <c r="D188" s="22">
        <f t="shared" si="4"/>
        <v>51.626139999999999</v>
      </c>
      <c r="F188">
        <f>quarterly_pmi!C188</f>
        <v>64.146889999999999</v>
      </c>
      <c r="G188" s="22">
        <f t="shared" si="5"/>
        <v>64.146889999999999</v>
      </c>
    </row>
    <row r="189" spans="1:7" x14ac:dyDescent="0.45">
      <c r="A189" t="s">
        <v>322</v>
      </c>
      <c r="B189" s="17">
        <f>quarterly_pmi!B189</f>
        <v>55.478169999999999</v>
      </c>
      <c r="C189" s="15">
        <f>gdp_growth_forecast_consensus!C189</f>
        <v>1.1040000000000001</v>
      </c>
      <c r="D189" s="22">
        <f t="shared" si="4"/>
        <v>55.478169999999999</v>
      </c>
      <c r="F189">
        <f>quarterly_pmi!C189</f>
        <v>68.094380000000001</v>
      </c>
      <c r="G189" s="22">
        <f t="shared" si="5"/>
        <v>68.094380000000001</v>
      </c>
    </row>
    <row r="190" spans="1:7" x14ac:dyDescent="0.45">
      <c r="A190" t="s">
        <v>323</v>
      </c>
      <c r="B190" s="17">
        <f>quarterly_pmi!B190</f>
        <v>54.583109999999998</v>
      </c>
      <c r="C190" s="15">
        <f>gdp_growth_forecast_consensus!C190</f>
        <v>1.351</v>
      </c>
      <c r="D190" s="22">
        <f t="shared" si="4"/>
        <v>54.583109999999998</v>
      </c>
      <c r="F190">
        <f>quarterly_pmi!C190</f>
        <v>70.791110000000003</v>
      </c>
      <c r="G190" s="22">
        <f t="shared" si="5"/>
        <v>70.791110000000003</v>
      </c>
    </row>
    <row r="191" spans="1:7" x14ac:dyDescent="0.45">
      <c r="A191" t="s">
        <v>324</v>
      </c>
      <c r="B191" s="17">
        <f>quarterly_pmi!B191</f>
        <v>54.834470000000003</v>
      </c>
      <c r="C191" s="15">
        <f>gdp_growth_forecast_consensus!C191</f>
        <v>1.3773329999999999</v>
      </c>
      <c r="D191" s="22">
        <f t="shared" si="4"/>
        <v>54.834470000000003</v>
      </c>
      <c r="F191">
        <f>quarterly_pmi!C191</f>
        <v>67.382069999999999</v>
      </c>
      <c r="G191" s="22">
        <f t="shared" si="5"/>
        <v>67.382069999999999</v>
      </c>
    </row>
    <row r="192" spans="1:7" x14ac:dyDescent="0.45">
      <c r="A192" t="s">
        <v>325</v>
      </c>
      <c r="B192" s="17">
        <f>quarterly_pmi!B192</f>
        <v>54.061199999999999</v>
      </c>
      <c r="C192" s="15">
        <f>gdp_growth_forecast_consensus!C192</f>
        <v>1.403667</v>
      </c>
      <c r="D192" s="22">
        <f t="shared" si="4"/>
        <v>54.061199999999999</v>
      </c>
      <c r="F192">
        <f>quarterly_pmi!C192</f>
        <v>65.882130000000004</v>
      </c>
      <c r="G192" s="22">
        <f t="shared" si="5"/>
        <v>65.882130000000004</v>
      </c>
    </row>
    <row r="193" spans="1:7" x14ac:dyDescent="0.45">
      <c r="A193" t="s">
        <v>326</v>
      </c>
      <c r="B193" s="17">
        <f>quarterly_pmi!B193</f>
        <v>55.174149999999997</v>
      </c>
      <c r="C193" s="15">
        <f>gdp_growth_forecast_consensus!C193</f>
        <v>1.4419999999999999</v>
      </c>
      <c r="D193" s="22">
        <f t="shared" si="4"/>
        <v>55.174149999999997</v>
      </c>
      <c r="F193">
        <f>quarterly_pmi!C193</f>
        <v>66.510999999999996</v>
      </c>
      <c r="G193" s="22">
        <f t="shared" si="5"/>
        <v>66.510999999999996</v>
      </c>
    </row>
    <row r="194" spans="1:7" x14ac:dyDescent="0.45">
      <c r="A194" t="s">
        <v>327</v>
      </c>
      <c r="B194" s="17">
        <f>quarterly_pmi!B194</f>
        <v>53.456270000000004</v>
      </c>
      <c r="C194" s="15">
        <f>gdp_growth_forecast_consensus!C194</f>
        <v>1.4883329999999999</v>
      </c>
      <c r="D194" s="22">
        <f t="shared" si="4"/>
        <v>53.456270000000004</v>
      </c>
      <c r="F194">
        <f>quarterly_pmi!C194</f>
        <v>68.213419999999999</v>
      </c>
      <c r="G194" s="22">
        <f t="shared" si="5"/>
        <v>68.213419999999999</v>
      </c>
    </row>
    <row r="195" spans="1:7" x14ac:dyDescent="0.45">
      <c r="A195" t="s">
        <v>328</v>
      </c>
      <c r="B195" s="17">
        <f>quarterly_pmi!B195</f>
        <v>54.276260000000001</v>
      </c>
      <c r="C195" s="15">
        <f>gdp_growth_forecast_consensus!C195</f>
        <v>1.5083329999999999</v>
      </c>
      <c r="D195" s="22">
        <f t="shared" si="4"/>
        <v>54.276260000000001</v>
      </c>
      <c r="F195">
        <f>quarterly_pmi!C195</f>
        <v>67.456919999999997</v>
      </c>
      <c r="G195" s="22">
        <f t="shared" si="5"/>
        <v>67.456919999999997</v>
      </c>
    </row>
    <row r="196" spans="1:7" x14ac:dyDescent="0.45">
      <c r="A196" t="s">
        <v>329</v>
      </c>
      <c r="B196" s="17">
        <f>quarterly_pmi!B196</f>
        <v>53.929180000000002</v>
      </c>
      <c r="C196" s="15">
        <f>gdp_growth_forecast_consensus!C196</f>
        <v>1.455333</v>
      </c>
      <c r="D196" s="22">
        <f t="shared" si="4"/>
        <v>53.929180000000002</v>
      </c>
      <c r="F196">
        <f>quarterly_pmi!C196</f>
        <v>66.536379999999994</v>
      </c>
      <c r="G196" s="22">
        <f t="shared" si="5"/>
        <v>66.536379999999994</v>
      </c>
    </row>
    <row r="197" spans="1:7" x14ac:dyDescent="0.45">
      <c r="A197" t="s">
        <v>330</v>
      </c>
      <c r="B197" s="17">
        <f>quarterly_pmi!B197</f>
        <v>51.440289999999997</v>
      </c>
      <c r="C197" s="15">
        <f>gdp_growth_forecast_consensus!C197</f>
        <v>1.51</v>
      </c>
      <c r="D197" s="22">
        <f t="shared" si="4"/>
        <v>51.440289999999997</v>
      </c>
      <c r="F197">
        <f>quarterly_pmi!C197</f>
        <v>62.554499999999997</v>
      </c>
      <c r="G197" s="22">
        <f t="shared" si="5"/>
        <v>62.554499999999997</v>
      </c>
    </row>
    <row r="198" spans="1:7" x14ac:dyDescent="0.45">
      <c r="A198" t="s">
        <v>331</v>
      </c>
      <c r="B198" s="17">
        <f>quarterly_pmi!B198</f>
        <v>50.607050000000001</v>
      </c>
      <c r="C198" s="15">
        <f>gdp_growth_forecast_consensus!C198</f>
        <v>1.532667</v>
      </c>
      <c r="D198" s="22">
        <f t="shared" si="4"/>
        <v>50.607050000000001</v>
      </c>
      <c r="F198">
        <f>quarterly_pmi!C198</f>
        <v>61.865650000000002</v>
      </c>
      <c r="G198" s="22">
        <f t="shared" si="5"/>
        <v>61.865650000000002</v>
      </c>
    </row>
    <row r="199" spans="1:7" x14ac:dyDescent="0.45">
      <c r="A199" t="s">
        <v>332</v>
      </c>
      <c r="B199" s="17">
        <f>quarterly_pmi!B199</f>
        <v>50.51155</v>
      </c>
      <c r="C199" s="15">
        <f>gdp_growth_forecast_consensus!C199</f>
        <v>1.419</v>
      </c>
      <c r="D199" s="22">
        <f t="shared" si="4"/>
        <v>50.51155</v>
      </c>
      <c r="F199">
        <f>quarterly_pmi!C199</f>
        <v>65.337119999999999</v>
      </c>
      <c r="G199" s="22">
        <f t="shared" si="5"/>
        <v>65.337119999999999</v>
      </c>
    </row>
    <row r="200" spans="1:7" x14ac:dyDescent="0.45">
      <c r="A200" t="s">
        <v>333</v>
      </c>
      <c r="B200" s="17">
        <f>quarterly_pmi!B200</f>
        <v>50.060169999999999</v>
      </c>
      <c r="C200" s="15">
        <f>gdp_growth_forecast_consensus!C200</f>
        <v>1.194</v>
      </c>
      <c r="D200" s="22">
        <f t="shared" si="4"/>
        <v>50.060169999999999</v>
      </c>
      <c r="F200">
        <f>quarterly_pmi!C200</f>
        <v>61.70581</v>
      </c>
      <c r="G200" s="22">
        <f t="shared" si="5"/>
        <v>61.70581</v>
      </c>
    </row>
    <row r="201" spans="1:7" x14ac:dyDescent="0.45">
      <c r="A201" t="s">
        <v>334</v>
      </c>
      <c r="B201" s="17">
        <f>quarterly_pmi!B201</f>
        <v>49.507800000000003</v>
      </c>
      <c r="C201" s="15">
        <f>gdp_growth_forecast_consensus!C201</f>
        <v>1.0876669999999999</v>
      </c>
      <c r="D201" s="22">
        <f t="shared" si="4"/>
        <v>49.507800000000003</v>
      </c>
      <c r="F201">
        <f>quarterly_pmi!C201</f>
        <v>64.184740000000005</v>
      </c>
      <c r="G201" s="22">
        <f t="shared" si="5"/>
        <v>64.184740000000005</v>
      </c>
    </row>
    <row r="202" spans="1:7" x14ac:dyDescent="0.45">
      <c r="A202" t="s">
        <v>335</v>
      </c>
      <c r="B202" s="17">
        <f>quarterly_pmi!B202</f>
        <v>47.433959999999999</v>
      </c>
      <c r="C202" s="15">
        <f>gdp_growth_forecast_consensus!C202</f>
        <v>1.398333</v>
      </c>
      <c r="D202" s="22">
        <f t="shared" si="4"/>
        <v>47.433959999999999</v>
      </c>
      <c r="F202">
        <f>quarterly_pmi!C202</f>
        <v>64.264849999999996</v>
      </c>
      <c r="G202" s="22">
        <f t="shared" si="5"/>
        <v>64.264849999999996</v>
      </c>
    </row>
    <row r="203" spans="1:7" x14ac:dyDescent="0.45">
      <c r="A203" t="s">
        <v>336</v>
      </c>
      <c r="B203" s="17">
        <f>quarterly_pmi!B203</f>
        <v>30.49887</v>
      </c>
      <c r="C203" s="15">
        <f>gdp_growth_forecast_consensus!C203</f>
        <v>5.6013330000000003</v>
      </c>
      <c r="D203" s="22">
        <f t="shared" si="4"/>
        <v>30.49887</v>
      </c>
      <c r="F203">
        <f>quarterly_pmi!C203</f>
        <v>60.230699999999999</v>
      </c>
      <c r="G203" s="22">
        <f t="shared" si="5"/>
        <v>60.230699999999999</v>
      </c>
    </row>
    <row r="204" spans="1:7" x14ac:dyDescent="0.45">
      <c r="A204" t="s">
        <v>337</v>
      </c>
      <c r="B204" s="17">
        <f>quarterly_pmi!B204</f>
        <v>57.540100000000002</v>
      </c>
      <c r="C204" s="15">
        <f>gdp_growth_forecast_consensus!C204</f>
        <v>6.2453329999999996</v>
      </c>
      <c r="D204" s="22">
        <f t="shared" si="4"/>
        <v>57.540100000000002</v>
      </c>
      <c r="F204">
        <f>quarterly_pmi!C204</f>
        <v>68.584990000000005</v>
      </c>
      <c r="G204" s="22">
        <f t="shared" si="5"/>
        <v>68.584990000000005</v>
      </c>
    </row>
    <row r="205" spans="1:7" x14ac:dyDescent="0.45">
      <c r="A205" t="s">
        <v>338</v>
      </c>
      <c r="B205" s="17">
        <f>quarterly_pmi!B205</f>
        <v>50.522309999999997</v>
      </c>
      <c r="C205" s="15">
        <f>gdp_growth_forecast_consensus!C205</f>
        <v>5.2026669999999999</v>
      </c>
      <c r="D205" s="22">
        <f t="shared" si="4"/>
        <v>50.522309999999997</v>
      </c>
      <c r="F205">
        <f>quarterly_pmi!C205</f>
        <v>71.022379999999998</v>
      </c>
      <c r="G205" s="22">
        <f t="shared" si="5"/>
        <v>71.022379999999998</v>
      </c>
    </row>
    <row r="206" spans="1:7" x14ac:dyDescent="0.45">
      <c r="A206" t="s">
        <v>339</v>
      </c>
      <c r="B206" s="17">
        <f>quarterly_pmi!B206</f>
        <v>49.084299999999999</v>
      </c>
      <c r="C206" s="15">
        <f>gdp_growth_forecast_consensus!C206</f>
        <v>5.7206669999999997</v>
      </c>
      <c r="D206" s="22">
        <f t="shared" si="4"/>
        <v>49.084299999999999</v>
      </c>
      <c r="F206">
        <f>quarterly_pmi!C206</f>
        <v>76.485889999999998</v>
      </c>
      <c r="G206" s="22">
        <f t="shared" si="5"/>
        <v>76.485889999999998</v>
      </c>
    </row>
    <row r="207" spans="1:7" x14ac:dyDescent="0.45">
      <c r="A207" t="s">
        <v>340</v>
      </c>
      <c r="B207" s="17">
        <f>quarterly_pmi!B207</f>
        <v>61.931150000000002</v>
      </c>
      <c r="C207" s="15">
        <f>gdp_growth_forecast_consensus!C207</f>
        <v>5.4326670000000004</v>
      </c>
      <c r="D207" s="22">
        <f t="shared" si="4"/>
        <v>61.931150000000002</v>
      </c>
      <c r="F207">
        <f>quarterly_pmi!C207</f>
        <v>78.281400000000005</v>
      </c>
      <c r="G207" s="22">
        <f t="shared" si="5"/>
        <v>78.281400000000005</v>
      </c>
    </row>
    <row r="208" spans="1:7" x14ac:dyDescent="0.45">
      <c r="A208" t="s">
        <v>341</v>
      </c>
      <c r="B208" s="17">
        <f>quarterly_pmi!B208</f>
        <v>56.33379</v>
      </c>
      <c r="C208" s="15">
        <f>gdp_growth_forecast_consensus!C208</f>
        <v>5.375</v>
      </c>
      <c r="D208" s="22">
        <f t="shared" si="4"/>
        <v>56.33379</v>
      </c>
      <c r="F208">
        <f>quarterly_pmi!C208</f>
        <v>75.536469999999994</v>
      </c>
      <c r="G208" s="22">
        <f t="shared" si="5"/>
        <v>75.536469999999994</v>
      </c>
    </row>
    <row r="209" spans="1:7" x14ac:dyDescent="0.45">
      <c r="A209" t="s">
        <v>342</v>
      </c>
      <c r="B209" s="17">
        <f>quarterly_pmi!B209</f>
        <v>56.316299999999998</v>
      </c>
      <c r="C209" s="15">
        <f>gdp_growth_forecast_consensus!C209</f>
        <v>4.8463339999999997</v>
      </c>
      <c r="D209" s="22">
        <f t="shared" si="4"/>
        <v>56.316299999999998</v>
      </c>
      <c r="F209">
        <f>quarterly_pmi!C209</f>
        <v>73.914349999999999</v>
      </c>
      <c r="G209" s="22">
        <f t="shared" si="5"/>
        <v>73.914349999999999</v>
      </c>
    </row>
    <row r="210" spans="1:7" x14ac:dyDescent="0.45">
      <c r="A210" t="s">
        <v>343</v>
      </c>
      <c r="B210" s="17">
        <f>quarterly_pmi!B210</f>
        <v>58.32978</v>
      </c>
      <c r="C210" s="15">
        <f>gdp_growth_forecast_consensus!C210</f>
        <v>1.925667</v>
      </c>
      <c r="D210" s="22">
        <f t="shared" si="4"/>
        <v>58.32978</v>
      </c>
      <c r="F210">
        <f>quarterly_pmi!C210</f>
        <v>74.950050000000005</v>
      </c>
      <c r="G210" s="22">
        <f t="shared" si="5"/>
        <v>74.950050000000005</v>
      </c>
    </row>
    <row r="211" spans="1:7" x14ac:dyDescent="0.45">
      <c r="A211" t="s">
        <v>344</v>
      </c>
      <c r="B211" s="17">
        <f>quarterly_pmi!B211</f>
        <v>55.012259999999998</v>
      </c>
      <c r="C211" s="15">
        <f>gdp_growth_forecast_consensus!C211</f>
        <v>1.066667</v>
      </c>
      <c r="D211" s="22">
        <f t="shared" si="4"/>
        <v>55.012259999999998</v>
      </c>
      <c r="F211">
        <f>quarterly_pmi!C211</f>
        <v>66.730310000000003</v>
      </c>
      <c r="G211" s="22">
        <f t="shared" si="5"/>
        <v>66.730310000000003</v>
      </c>
    </row>
    <row r="212" spans="1:7" x14ac:dyDescent="0.45">
      <c r="A212" t="s">
        <v>345</v>
      </c>
      <c r="B212" s="17">
        <f>quarterly_pmi!B212</f>
        <v>50.271349999999998</v>
      </c>
      <c r="C212" s="15">
        <f>gdp_growth_forecast_consensus!C212</f>
        <v>0.122</v>
      </c>
      <c r="D212" s="22">
        <f t="shared" si="4"/>
        <v>50.271349999999998</v>
      </c>
      <c r="F212">
        <f>quarterly_pmi!C212</f>
        <v>63.198309999999999</v>
      </c>
      <c r="G212" s="22">
        <f t="shared" si="5"/>
        <v>63.198309999999999</v>
      </c>
    </row>
    <row r="213" spans="1:7" x14ac:dyDescent="0.45">
      <c r="A213" t="s">
        <v>346</v>
      </c>
      <c r="B213" s="17">
        <f>quarterly_pmi!B213</f>
        <v>48.46857</v>
      </c>
      <c r="C213" s="15">
        <f>gdp_growth_forecast_consensus!C213</f>
        <v>-0.7296667</v>
      </c>
      <c r="D213" s="22">
        <f t="shared" si="4"/>
        <v>48.46857</v>
      </c>
      <c r="F213">
        <f>quarterly_pmi!C213</f>
        <v>60.173999999999999</v>
      </c>
      <c r="G213" s="22">
        <f t="shared" si="5"/>
        <v>60.173999999999999</v>
      </c>
    </row>
    <row r="214" spans="1:7" x14ac:dyDescent="0.45">
      <c r="A214" t="s">
        <v>347</v>
      </c>
      <c r="B214" s="17">
        <f>quarterly_pmi!B214</f>
        <v>51.257800000000003</v>
      </c>
      <c r="D214" s="22">
        <f t="shared" si="4"/>
        <v>51.257800000000003</v>
      </c>
      <c r="F214">
        <f>quarterly_pmi!C214</f>
        <v>69.881730000000005</v>
      </c>
      <c r="G214" s="22">
        <f t="shared" si="5"/>
        <v>69.881730000000005</v>
      </c>
    </row>
    <row r="215" spans="1:7" x14ac:dyDescent="0.45">
      <c r="A215" t="s">
        <v>348</v>
      </c>
      <c r="B215" s="17">
        <f>quarterly_pmi!B215</f>
        <v>53.902209999999997</v>
      </c>
      <c r="D215" s="22">
        <f t="shared" si="4"/>
        <v>53.902209999999997</v>
      </c>
      <c r="F215">
        <f>quarterly_pmi!C215</f>
        <v>70.515339999999995</v>
      </c>
      <c r="G215" s="22">
        <f t="shared" si="5"/>
        <v>70.515339999999995</v>
      </c>
    </row>
    <row r="216" spans="1:7" x14ac:dyDescent="0.45">
      <c r="A216" t="s">
        <v>349</v>
      </c>
      <c r="B216" s="17">
        <f>quarterly_pmi!B216</f>
        <v>49.315809999999999</v>
      </c>
      <c r="D216" s="22">
        <f t="shared" si="4"/>
        <v>49.315809999999999</v>
      </c>
      <c r="F216">
        <f>quarterly_pmi!C216</f>
        <v>68.878299999999996</v>
      </c>
      <c r="G216" s="22">
        <f t="shared" si="5"/>
        <v>68.878299999999996</v>
      </c>
    </row>
    <row r="217" spans="1:7" x14ac:dyDescent="0.45">
      <c r="A217" t="s">
        <v>350</v>
      </c>
      <c r="B217" s="17">
        <f>quarterly_pmi!B217</f>
        <v>50.494790000000002</v>
      </c>
      <c r="D217" s="22">
        <f t="shared" si="4"/>
        <v>50.494790000000002</v>
      </c>
      <c r="F217">
        <f>quarterly_pmi!C217</f>
        <v>68.286090000000002</v>
      </c>
      <c r="G217" s="22">
        <f t="shared" si="5"/>
        <v>68.286090000000002</v>
      </c>
    </row>
    <row r="218" spans="1:7" x14ac:dyDescent="0.45">
      <c r="A218" t="s">
        <v>351</v>
      </c>
      <c r="B218" s="17">
        <f>quarterly_pmi!B218</f>
        <v>52.902200000000001</v>
      </c>
      <c r="D218" s="22">
        <f t="shared" si="4"/>
        <v>52.902200000000001</v>
      </c>
      <c r="F218">
        <f>quarterly_pmi!C218</f>
        <v>72.993939999999995</v>
      </c>
      <c r="G218" s="22">
        <f t="shared" si="5"/>
        <v>72.993939999999995</v>
      </c>
    </row>
    <row r="219" spans="1:7" x14ac:dyDescent="0.45">
      <c r="A219" t="s">
        <v>352</v>
      </c>
      <c r="B219" s="17">
        <f>quarterly_pmi!B219</f>
        <v>53.126550000000002</v>
      </c>
      <c r="D219" s="22">
        <f t="shared" si="4"/>
        <v>53.126550000000002</v>
      </c>
      <c r="F219">
        <f>quarterly_pmi!C219</f>
        <v>71.788070000000005</v>
      </c>
      <c r="G219" s="22">
        <f t="shared" si="5"/>
        <v>71.788070000000005</v>
      </c>
    </row>
    <row r="220" spans="1:7" x14ac:dyDescent="0.45">
      <c r="A220" t="s">
        <v>353</v>
      </c>
      <c r="B220" s="17">
        <f>quarterly_pmi!B220</f>
        <v>53.076039999999999</v>
      </c>
      <c r="D220" s="22">
        <f t="shared" si="4"/>
        <v>53.076039999999999</v>
      </c>
      <c r="F220">
        <f>quarterly_pmi!C220</f>
        <v>72.972369999999998</v>
      </c>
      <c r="G220" s="22">
        <f t="shared" si="5"/>
        <v>72.972369999999998</v>
      </c>
    </row>
    <row r="221" spans="1:7" x14ac:dyDescent="0.45">
      <c r="A221" t="s">
        <v>354</v>
      </c>
      <c r="B221" s="17">
        <f>quarterly_pmi!B221</f>
        <v>50.866320000000002</v>
      </c>
      <c r="D221" s="22">
        <f t="shared" si="4"/>
        <v>50.866320000000002</v>
      </c>
      <c r="F221">
        <f>quarterly_pmi!C221</f>
        <v>67.640090000000001</v>
      </c>
      <c r="G221" s="22">
        <f t="shared" si="5"/>
        <v>67.640090000000001</v>
      </c>
    </row>
    <row r="222" spans="1:7" x14ac:dyDescent="0.45">
      <c r="A222" t="s">
        <v>355</v>
      </c>
      <c r="B222" s="17">
        <f>quarterly_pmi!B222</f>
        <v>50.849550000000001</v>
      </c>
      <c r="D222" s="22">
        <f t="shared" si="4"/>
        <v>50.849550000000001</v>
      </c>
      <c r="F222">
        <f>quarterly_pmi!C222</f>
        <v>65.427880000000002</v>
      </c>
      <c r="G222" s="22">
        <f t="shared" si="5"/>
        <v>65.427880000000002</v>
      </c>
    </row>
    <row r="223" spans="1:7" x14ac:dyDescent="0.45">
      <c r="A223" t="s">
        <v>356</v>
      </c>
      <c r="B223" s="17">
        <f>quarterly_pmi!B223</f>
        <v>50.253450000000001</v>
      </c>
      <c r="D223" s="22">
        <f t="shared" si="4"/>
        <v>50.253450000000001</v>
      </c>
      <c r="F223">
        <f>quarterly_pmi!C223</f>
        <v>63.49606</v>
      </c>
      <c r="G223" s="22">
        <f t="shared" si="5"/>
        <v>63.49606</v>
      </c>
    </row>
    <row r="224" spans="1:7" x14ac:dyDescent="0.45">
      <c r="A224" t="s">
        <v>357</v>
      </c>
      <c r="B224" s="15">
        <v>51.67</v>
      </c>
      <c r="D224" s="22">
        <f t="shared" si="4"/>
        <v>51.67</v>
      </c>
      <c r="F224">
        <f>quarterly_pmi!C224</f>
        <v>66.791364596666668</v>
      </c>
      <c r="G224" s="22">
        <f t="shared" si="5"/>
        <v>66.791364596666668</v>
      </c>
    </row>
    <row r="225" spans="1:7" x14ac:dyDescent="0.45">
      <c r="A225" t="s">
        <v>438</v>
      </c>
      <c r="B225" s="15">
        <v>52.67</v>
      </c>
      <c r="D225" s="22">
        <f t="shared" ref="D225" si="6">B225</f>
        <v>52.67</v>
      </c>
      <c r="F225">
        <f>quarterly_pmi!C225</f>
        <v>66.791364596666668</v>
      </c>
      <c r="G225" s="22">
        <f t="shared" ref="G225" si="7">F225</f>
        <v>66.791364596666668</v>
      </c>
    </row>
    <row r="226" spans="1:7" x14ac:dyDescent="0.45">
      <c r="A226" s="4" t="s">
        <v>441</v>
      </c>
      <c r="B226" s="52">
        <v>53.67</v>
      </c>
      <c r="C226" s="52"/>
      <c r="D226" s="53">
        <f t="shared" ref="D226" si="8">B226</f>
        <v>53.67</v>
      </c>
      <c r="E226" s="4"/>
      <c r="F226" s="4">
        <f>quarterly_pmi!C226</f>
        <v>66.791364596666668</v>
      </c>
      <c r="G226" s="53">
        <f t="shared" ref="G226" si="9">F226</f>
        <v>66.791364596666668</v>
      </c>
    </row>
  </sheetData>
  <phoneticPr fontId="3" type="noConversion"/>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EBF4-3FA4-41EF-80A3-1C032BE60CD5}">
  <dimension ref="A1:U226"/>
  <sheetViews>
    <sheetView zoomScale="85" zoomScaleNormal="85" workbookViewId="0">
      <pane xSplit="1" ySplit="1" topLeftCell="B208" activePane="bottomRight" state="frozen"/>
      <selection pane="topRight" activeCell="B1" sqref="B1"/>
      <selection pane="bottomLeft" activeCell="A2" sqref="A2"/>
      <selection pane="bottomRight" activeCell="F230" sqref="F230"/>
    </sheetView>
  </sheetViews>
  <sheetFormatPr defaultRowHeight="14.25" x14ac:dyDescent="0.45"/>
  <cols>
    <col min="2" max="2" width="12.796875" style="15" bestFit="1" customWidth="1"/>
    <col min="3" max="3" width="8.53125" style="15" bestFit="1" customWidth="1"/>
    <col min="4" max="4" width="19.796875" style="10" bestFit="1" customWidth="1"/>
    <col min="6" max="6" width="18.53125" bestFit="1" customWidth="1"/>
    <col min="7" max="7" width="18.265625" style="10" bestFit="1" customWidth="1"/>
    <col min="9" max="9" width="19" bestFit="1" customWidth="1"/>
    <col min="13" max="13" width="19.796875" bestFit="1" customWidth="1"/>
  </cols>
  <sheetData>
    <row r="1" spans="1:18" x14ac:dyDescent="0.45">
      <c r="B1" s="15" t="s">
        <v>387</v>
      </c>
      <c r="C1" s="15" t="s">
        <v>421</v>
      </c>
      <c r="D1" s="10" t="s">
        <v>422</v>
      </c>
      <c r="F1" t="s">
        <v>388</v>
      </c>
      <c r="G1" s="10" t="s">
        <v>394</v>
      </c>
    </row>
    <row r="2" spans="1:18" x14ac:dyDescent="0.45">
      <c r="A2" t="s">
        <v>135</v>
      </c>
    </row>
    <row r="3" spans="1:18" x14ac:dyDescent="0.45">
      <c r="A3" t="s">
        <v>136</v>
      </c>
    </row>
    <row r="4" spans="1:18" x14ac:dyDescent="0.45">
      <c r="A4" t="s">
        <v>137</v>
      </c>
      <c r="M4" s="26" t="s">
        <v>423</v>
      </c>
      <c r="O4" t="s">
        <v>424</v>
      </c>
    </row>
    <row r="5" spans="1:18" x14ac:dyDescent="0.45">
      <c r="A5" t="s">
        <v>138</v>
      </c>
      <c r="M5" t="s">
        <v>425</v>
      </c>
      <c r="O5" t="s">
        <v>426</v>
      </c>
    </row>
    <row r="6" spans="1:18" ht="14.65" thickBot="1" x14ac:dyDescent="0.5">
      <c r="A6" t="s">
        <v>139</v>
      </c>
      <c r="C6" s="15">
        <f>g4rgdp!B6</f>
        <v>3.7558927516482044</v>
      </c>
      <c r="D6" s="22">
        <f>$N$21 + C6 *$N$22</f>
        <v>56.070286938149152</v>
      </c>
      <c r="G6" s="22">
        <f t="shared" ref="G6:G69" si="0">$N$44 + C6 * $N$45</f>
        <v>70.100758477585927</v>
      </c>
    </row>
    <row r="7" spans="1:18" x14ac:dyDescent="0.45">
      <c r="A7" t="s">
        <v>140</v>
      </c>
      <c r="C7" s="15">
        <f>g4rgdp!B7</f>
        <v>3.1690425980844594</v>
      </c>
      <c r="D7" s="22">
        <f t="shared" ref="D7:D8" si="1">$N$21 + C7 *$N$22</f>
        <v>55.457302359676426</v>
      </c>
      <c r="G7" s="22">
        <f t="shared" si="0"/>
        <v>69.323792286471786</v>
      </c>
      <c r="M7" s="20" t="s">
        <v>396</v>
      </c>
      <c r="N7" s="20"/>
    </row>
    <row r="8" spans="1:18" x14ac:dyDescent="0.45">
      <c r="A8" t="s">
        <v>141</v>
      </c>
      <c r="C8" s="15">
        <f>g4rgdp!B8</f>
        <v>3.9080272416976314</v>
      </c>
      <c r="D8" s="22">
        <f t="shared" si="1"/>
        <v>56.229196492296488</v>
      </c>
      <c r="G8" s="22">
        <f t="shared" si="0"/>
        <v>70.302178473053218</v>
      </c>
      <c r="M8" t="s">
        <v>397</v>
      </c>
      <c r="N8">
        <v>0.54770828937758831</v>
      </c>
    </row>
    <row r="9" spans="1:18" x14ac:dyDescent="0.45">
      <c r="A9" t="s">
        <v>142</v>
      </c>
      <c r="C9" s="15">
        <f>g4rgdp!B9</f>
        <v>3.3708729388914449</v>
      </c>
      <c r="D9" s="22">
        <f t="shared" ref="D9:D72" si="2">$N$21 + C9 *$N$22</f>
        <v>55.668120889127721</v>
      </c>
      <c r="G9" s="22">
        <f t="shared" si="0"/>
        <v>69.591007605741595</v>
      </c>
      <c r="M9" t="s">
        <v>398</v>
      </c>
      <c r="N9">
        <v>0.29998437025292402</v>
      </c>
    </row>
    <row r="10" spans="1:18" x14ac:dyDescent="0.45">
      <c r="A10" t="s">
        <v>143</v>
      </c>
      <c r="C10" s="15">
        <f>g4rgdp!B10</f>
        <v>4.0631250073184688</v>
      </c>
      <c r="D10" s="22">
        <f t="shared" si="2"/>
        <v>56.391201286712587</v>
      </c>
      <c r="G10" s="22">
        <f t="shared" si="0"/>
        <v>70.507521727158107</v>
      </c>
      <c r="M10" t="s">
        <v>399</v>
      </c>
      <c r="N10">
        <v>0.2910098108971923</v>
      </c>
    </row>
    <row r="11" spans="1:18" x14ac:dyDescent="0.45">
      <c r="A11" t="s">
        <v>144</v>
      </c>
      <c r="C11" s="15">
        <f>g4rgdp!B11</f>
        <v>4.8928192465451659</v>
      </c>
      <c r="D11" s="22">
        <f t="shared" si="2"/>
        <v>57.257844620458222</v>
      </c>
      <c r="G11" s="22">
        <f t="shared" si="0"/>
        <v>71.606003799500769</v>
      </c>
      <c r="M11" t="s">
        <v>400</v>
      </c>
      <c r="N11">
        <v>3.0757113431908958</v>
      </c>
    </row>
    <row r="12" spans="1:18" ht="14.65" thickBot="1" x14ac:dyDescent="0.5">
      <c r="A12" t="s">
        <v>145</v>
      </c>
      <c r="C12" s="15">
        <f>g4rgdp!B12</f>
        <v>3.4729729476637772</v>
      </c>
      <c r="D12" s="22">
        <f>$N$21 + C12 *$N$22</f>
        <v>55.774767757087638</v>
      </c>
      <c r="G12" s="22">
        <f t="shared" si="0"/>
        <v>69.726183944108087</v>
      </c>
      <c r="M12" s="18" t="s">
        <v>401</v>
      </c>
      <c r="N12" s="18">
        <v>80</v>
      </c>
    </row>
    <row r="13" spans="1:18" x14ac:dyDescent="0.45">
      <c r="A13" t="s">
        <v>146</v>
      </c>
      <c r="C13" s="15">
        <f>g4rgdp!B13</f>
        <v>4.6296654406667415</v>
      </c>
      <c r="D13" s="22">
        <f t="shared" si="2"/>
        <v>56.982971684342758</v>
      </c>
      <c r="G13" s="22">
        <f t="shared" si="0"/>
        <v>71.257598658956923</v>
      </c>
    </row>
    <row r="14" spans="1:18" ht="14.65" thickBot="1" x14ac:dyDescent="0.5">
      <c r="A14" t="s">
        <v>147</v>
      </c>
      <c r="C14" s="15">
        <f>g4rgdp!B14</f>
        <v>9.2023636518643315</v>
      </c>
      <c r="D14" s="22">
        <f t="shared" si="2"/>
        <v>61.759307633907198</v>
      </c>
      <c r="G14" s="22">
        <f t="shared" si="0"/>
        <v>77.311668664210288</v>
      </c>
      <c r="M14" t="s">
        <v>402</v>
      </c>
    </row>
    <row r="15" spans="1:18" x14ac:dyDescent="0.45">
      <c r="A15" t="s">
        <v>148</v>
      </c>
      <c r="C15" s="15">
        <f>g4rgdp!B15</f>
        <v>6.7873159314219222</v>
      </c>
      <c r="D15" s="22">
        <f t="shared" si="2"/>
        <v>59.236709659080056</v>
      </c>
      <c r="G15" s="22">
        <f t="shared" si="0"/>
        <v>74.114241829921852</v>
      </c>
      <c r="M15" s="19"/>
      <c r="N15" s="19" t="s">
        <v>403</v>
      </c>
      <c r="O15" s="19" t="s">
        <v>404</v>
      </c>
      <c r="P15" s="19" t="s">
        <v>405</v>
      </c>
      <c r="Q15" s="19" t="s">
        <v>406</v>
      </c>
      <c r="R15" s="19" t="s">
        <v>407</v>
      </c>
    </row>
    <row r="16" spans="1:18" x14ac:dyDescent="0.45">
      <c r="A16" t="s">
        <v>149</v>
      </c>
      <c r="C16" s="15">
        <f>g4rgdp!B16</f>
        <v>5.5834443408263823</v>
      </c>
      <c r="D16" s="22">
        <f t="shared" si="2"/>
        <v>57.979225589228257</v>
      </c>
      <c r="G16" s="22">
        <f t="shared" si="0"/>
        <v>72.520363872055853</v>
      </c>
      <c r="M16" t="s">
        <v>408</v>
      </c>
      <c r="N16">
        <v>1</v>
      </c>
      <c r="O16">
        <v>316.21075866705348</v>
      </c>
      <c r="P16">
        <v>316.21075866705348</v>
      </c>
      <c r="Q16">
        <v>33.426083483567837</v>
      </c>
      <c r="R16">
        <v>1.4563943640876131E-7</v>
      </c>
    </row>
    <row r="17" spans="1:21" x14ac:dyDescent="0.45">
      <c r="A17" t="s">
        <v>150</v>
      </c>
      <c r="C17" s="15">
        <f>g4rgdp!B17</f>
        <v>3.6512301513171863</v>
      </c>
      <c r="D17" s="22">
        <f t="shared" si="2"/>
        <v>55.960963357749336</v>
      </c>
      <c r="G17" s="22">
        <f t="shared" si="0"/>
        <v>69.962189370229524</v>
      </c>
      <c r="M17" t="s">
        <v>409</v>
      </c>
      <c r="N17">
        <v>78</v>
      </c>
      <c r="O17">
        <v>737.88002079738533</v>
      </c>
      <c r="P17">
        <v>9.4600002666331449</v>
      </c>
    </row>
    <row r="18" spans="1:21" ht="14.65" thickBot="1" x14ac:dyDescent="0.5">
      <c r="A18" t="s">
        <v>151</v>
      </c>
      <c r="C18" s="15">
        <f>g4rgdp!B18</f>
        <v>-3.9513623489229488</v>
      </c>
      <c r="D18" s="22">
        <f t="shared" si="2"/>
        <v>48.01980166466754</v>
      </c>
      <c r="G18" s="22">
        <f t="shared" si="0"/>
        <v>59.896660202973678</v>
      </c>
      <c r="M18" s="18" t="s">
        <v>410</v>
      </c>
      <c r="N18" s="18">
        <v>79</v>
      </c>
      <c r="O18" s="18">
        <v>1054.0907794644388</v>
      </c>
      <c r="P18" s="18"/>
      <c r="Q18" s="18"/>
      <c r="R18" s="18"/>
    </row>
    <row r="19" spans="1:21" ht="14.65" thickBot="1" x14ac:dyDescent="0.5">
      <c r="A19" t="s">
        <v>152</v>
      </c>
      <c r="C19" s="15">
        <f>g4rgdp!B19</f>
        <v>-2.7182711334983622</v>
      </c>
      <c r="D19" s="22">
        <f t="shared" si="2"/>
        <v>49.30780660820438</v>
      </c>
      <c r="G19" s="22">
        <f t="shared" si="0"/>
        <v>61.529223778405495</v>
      </c>
    </row>
    <row r="20" spans="1:21" x14ac:dyDescent="0.45">
      <c r="A20" t="s">
        <v>153</v>
      </c>
      <c r="C20" s="15">
        <f>g4rgdp!B20</f>
        <v>-1.1899592886875254</v>
      </c>
      <c r="D20" s="22">
        <f t="shared" si="2"/>
        <v>50.904179355620691</v>
      </c>
      <c r="G20" s="22">
        <f t="shared" si="0"/>
        <v>63.552647689409561</v>
      </c>
      <c r="M20" s="19"/>
      <c r="N20" s="19" t="s">
        <v>411</v>
      </c>
      <c r="O20" s="19" t="s">
        <v>400</v>
      </c>
      <c r="P20" s="19" t="s">
        <v>412</v>
      </c>
      <c r="Q20" s="19" t="s">
        <v>413</v>
      </c>
      <c r="R20" s="19" t="s">
        <v>414</v>
      </c>
      <c r="S20" s="19" t="s">
        <v>415</v>
      </c>
      <c r="T20" s="19" t="s">
        <v>416</v>
      </c>
      <c r="U20" s="19" t="s">
        <v>417</v>
      </c>
    </row>
    <row r="21" spans="1:21" x14ac:dyDescent="0.45">
      <c r="A21" t="s">
        <v>154</v>
      </c>
      <c r="C21" s="15">
        <f>g4rgdp!B21</f>
        <v>-2.2692069451274222</v>
      </c>
      <c r="D21" s="22">
        <f t="shared" si="2"/>
        <v>49.776869145794493</v>
      </c>
      <c r="G21" s="22">
        <f t="shared" si="0"/>
        <v>62.123766848532554</v>
      </c>
      <c r="M21" t="s">
        <v>418</v>
      </c>
      <c r="N21">
        <v>52.1471315616417</v>
      </c>
      <c r="O21">
        <v>0.47496069043299488</v>
      </c>
      <c r="P21">
        <v>109.7925209644236</v>
      </c>
      <c r="Q21">
        <v>2.9760275484611142E-87</v>
      </c>
      <c r="R21">
        <v>51.201557463292396</v>
      </c>
      <c r="S21">
        <v>53.092705659991005</v>
      </c>
      <c r="T21">
        <v>51.201557463292396</v>
      </c>
      <c r="U21">
        <v>53.092705659991005</v>
      </c>
    </row>
    <row r="22" spans="1:21" ht="14.65" thickBot="1" x14ac:dyDescent="0.5">
      <c r="A22" t="s">
        <v>155</v>
      </c>
      <c r="C22" s="15">
        <f>g4rgdp!B22</f>
        <v>0.56178831710713695</v>
      </c>
      <c r="D22" s="22">
        <f t="shared" si="2"/>
        <v>52.733938215199835</v>
      </c>
      <c r="G22" s="22">
        <f t="shared" si="0"/>
        <v>65.871891634056055</v>
      </c>
      <c r="M22" s="18" t="s">
        <v>419</v>
      </c>
      <c r="N22" s="18">
        <v>1.04453338684547</v>
      </c>
      <c r="O22" s="18">
        <v>0.18066731042450651</v>
      </c>
      <c r="P22" s="18">
        <v>5.7815295107408922</v>
      </c>
      <c r="Q22" s="18">
        <v>1.4563943640876245E-7</v>
      </c>
      <c r="R22" s="18">
        <v>0.68485240145674919</v>
      </c>
      <c r="S22" s="18">
        <v>1.4042143722341909</v>
      </c>
      <c r="T22" s="18">
        <v>0.68485240145674919</v>
      </c>
      <c r="U22" s="18">
        <v>1.4042143722341909</v>
      </c>
    </row>
    <row r="23" spans="1:21" x14ac:dyDescent="0.45">
      <c r="A23" t="s">
        <v>156</v>
      </c>
      <c r="C23" s="15">
        <f>g4rgdp!B23</f>
        <v>-2.4937027835321146</v>
      </c>
      <c r="D23" s="22">
        <f t="shared" si="2"/>
        <v>49.542375747372922</v>
      </c>
      <c r="G23" s="22">
        <f t="shared" si="0"/>
        <v>61.826543314676364</v>
      </c>
    </row>
    <row r="24" spans="1:21" x14ac:dyDescent="0.45">
      <c r="A24" t="s">
        <v>157</v>
      </c>
      <c r="C24" s="15">
        <f>g4rgdp!B24</f>
        <v>-3.3871268295659007</v>
      </c>
      <c r="D24" s="22">
        <f t="shared" si="2"/>
        <v>48.609164502680073</v>
      </c>
      <c r="G24" s="22">
        <f t="shared" si="0"/>
        <v>60.643685520601935</v>
      </c>
    </row>
    <row r="25" spans="1:21" x14ac:dyDescent="0.45">
      <c r="A25" t="s">
        <v>158</v>
      </c>
      <c r="C25" s="15">
        <f>g4rgdp!B25</f>
        <v>-0.80965171474147724</v>
      </c>
      <c r="D25" s="22">
        <f t="shared" si="2"/>
        <v>51.301423313877542</v>
      </c>
      <c r="G25" s="22">
        <f t="shared" si="0"/>
        <v>64.056159745061805</v>
      </c>
    </row>
    <row r="26" spans="1:21" x14ac:dyDescent="0.45">
      <c r="A26" t="s">
        <v>159</v>
      </c>
      <c r="C26" s="15">
        <f>g4rgdp!B26</f>
        <v>0.83027730891238605</v>
      </c>
      <c r="D26" s="22">
        <f t="shared" si="2"/>
        <v>53.014383931140898</v>
      </c>
      <c r="G26" s="22">
        <f t="shared" si="0"/>
        <v>66.227360347921419</v>
      </c>
    </row>
    <row r="27" spans="1:21" x14ac:dyDescent="0.45">
      <c r="A27" t="s">
        <v>160</v>
      </c>
      <c r="C27" s="15">
        <f>g4rgdp!B27</f>
        <v>2.3260935965245366</v>
      </c>
      <c r="D27" s="22">
        <f t="shared" si="2"/>
        <v>54.576813984139037</v>
      </c>
      <c r="G27" s="22">
        <f t="shared" si="0"/>
        <v>68.20776143759457</v>
      </c>
      <c r="M27" s="26" t="s">
        <v>427</v>
      </c>
      <c r="O27" t="s">
        <v>424</v>
      </c>
    </row>
    <row r="28" spans="1:21" x14ac:dyDescent="0.45">
      <c r="A28" t="s">
        <v>161</v>
      </c>
      <c r="C28" s="15">
        <f>g4rgdp!B28</f>
        <v>3.860250743157323</v>
      </c>
      <c r="D28" s="22">
        <f t="shared" si="2"/>
        <v>56.179292344464564</v>
      </c>
      <c r="G28" s="22">
        <f t="shared" si="0"/>
        <v>70.238924295014399</v>
      </c>
      <c r="M28" t="s">
        <v>425</v>
      </c>
      <c r="O28" t="s">
        <v>426</v>
      </c>
    </row>
    <row r="29" spans="1:21" ht="14.65" thickBot="1" x14ac:dyDescent="0.5">
      <c r="A29" t="s">
        <v>162</v>
      </c>
      <c r="C29" s="15">
        <f>g4rgdp!B29</f>
        <v>4.8335234947733952</v>
      </c>
      <c r="D29" s="22">
        <f t="shared" si="2"/>
        <v>57.195908228034504</v>
      </c>
      <c r="G29" s="22">
        <f t="shared" si="0"/>
        <v>71.527498589740503</v>
      </c>
    </row>
    <row r="30" spans="1:21" x14ac:dyDescent="0.45">
      <c r="A30" t="s">
        <v>163</v>
      </c>
      <c r="C30" s="15">
        <f>g4rgdp!B30</f>
        <v>3.2378499602309319</v>
      </c>
      <c r="D30" s="22">
        <f t="shared" si="2"/>
        <v>55.529173946699188</v>
      </c>
      <c r="G30" s="22">
        <f t="shared" si="0"/>
        <v>69.414890488905414</v>
      </c>
      <c r="M30" s="20" t="s">
        <v>396</v>
      </c>
      <c r="N30" s="20"/>
    </row>
    <row r="31" spans="1:21" x14ac:dyDescent="0.45">
      <c r="A31" t="s">
        <v>164</v>
      </c>
      <c r="C31" s="15">
        <f>g4rgdp!B31</f>
        <v>2.6860703353749571</v>
      </c>
      <c r="D31" s="22">
        <f t="shared" si="2"/>
        <v>54.952821706356055</v>
      </c>
      <c r="G31" s="22">
        <f t="shared" si="0"/>
        <v>68.684356278672539</v>
      </c>
      <c r="M31" t="s">
        <v>397</v>
      </c>
      <c r="N31">
        <v>0.55096391573134862</v>
      </c>
    </row>
    <row r="32" spans="1:21" x14ac:dyDescent="0.45">
      <c r="A32" t="s">
        <v>165</v>
      </c>
      <c r="C32" s="15">
        <f>g4rgdp!B32</f>
        <v>2.1002973796603541</v>
      </c>
      <c r="D32" s="22">
        <f t="shared" si="2"/>
        <v>54.340962297000999</v>
      </c>
      <c r="G32" s="22">
        <f t="shared" si="0"/>
        <v>67.908816254536205</v>
      </c>
      <c r="M32" t="s">
        <v>398</v>
      </c>
      <c r="N32">
        <v>0.30356123643802063</v>
      </c>
    </row>
    <row r="33" spans="1:21" x14ac:dyDescent="0.45">
      <c r="A33" t="s">
        <v>166</v>
      </c>
      <c r="C33" s="15">
        <f>g4rgdp!B33</f>
        <v>1.7039167382309373</v>
      </c>
      <c r="D33" s="22">
        <f t="shared" si="2"/>
        <v>53.926929483128745</v>
      </c>
      <c r="G33" s="22">
        <f t="shared" si="0"/>
        <v>67.384024098766005</v>
      </c>
      <c r="M33" t="s">
        <v>399</v>
      </c>
      <c r="N33">
        <v>0.29463253434107217</v>
      </c>
    </row>
    <row r="34" spans="1:21" x14ac:dyDescent="0.45">
      <c r="A34" t="s">
        <v>167</v>
      </c>
      <c r="C34" s="15">
        <f>g4rgdp!B34</f>
        <v>2.5734243787999489</v>
      </c>
      <c r="D34" s="22">
        <f t="shared" si="2"/>
        <v>54.835159243820314</v>
      </c>
      <c r="G34" s="22">
        <f t="shared" si="0"/>
        <v>68.535217526142617</v>
      </c>
      <c r="M34" t="s">
        <v>400</v>
      </c>
      <c r="N34">
        <v>3.8655554175235038</v>
      </c>
    </row>
    <row r="35" spans="1:21" ht="14.65" thickBot="1" x14ac:dyDescent="0.5">
      <c r="A35" t="s">
        <v>168</v>
      </c>
      <c r="C35" s="15">
        <f>g4rgdp!B35</f>
        <v>4.401539796801579</v>
      </c>
      <c r="D35" s="22">
        <f t="shared" si="2"/>
        <v>56.744686832929972</v>
      </c>
      <c r="G35" s="22">
        <f t="shared" si="0"/>
        <v>70.955569407481022</v>
      </c>
      <c r="M35" s="18" t="s">
        <v>401</v>
      </c>
      <c r="N35" s="18">
        <v>80</v>
      </c>
    </row>
    <row r="36" spans="1:21" x14ac:dyDescent="0.45">
      <c r="A36" t="s">
        <v>169</v>
      </c>
      <c r="C36" s="15">
        <f>g4rgdp!B36</f>
        <v>5.1070544557669351</v>
      </c>
      <c r="D36" s="22">
        <f t="shared" si="2"/>
        <v>57.481620449128187</v>
      </c>
      <c r="G36" s="22">
        <f t="shared" si="0"/>
        <v>71.889642669663374</v>
      </c>
    </row>
    <row r="37" spans="1:21" ht="14.65" thickBot="1" x14ac:dyDescent="0.5">
      <c r="A37" t="s">
        <v>170</v>
      </c>
      <c r="C37" s="15">
        <f>g4rgdp!B37</f>
        <v>4.3097076825752367</v>
      </c>
      <c r="D37" s="22">
        <f t="shared" si="2"/>
        <v>56.648765123635954</v>
      </c>
      <c r="G37" s="22">
        <f t="shared" si="0"/>
        <v>70.83398735185898</v>
      </c>
      <c r="M37" t="s">
        <v>402</v>
      </c>
    </row>
    <row r="38" spans="1:21" x14ac:dyDescent="0.45">
      <c r="A38" t="s">
        <v>171</v>
      </c>
      <c r="C38" s="15">
        <f>g4rgdp!B38</f>
        <v>3.0757487029440256</v>
      </c>
      <c r="D38" s="22">
        <f t="shared" si="2"/>
        <v>55.359853771413384</v>
      </c>
      <c r="G38" s="22">
        <f t="shared" si="0"/>
        <v>69.200274891236774</v>
      </c>
      <c r="M38" s="19"/>
      <c r="N38" s="19" t="s">
        <v>403</v>
      </c>
      <c r="O38" s="19" t="s">
        <v>404</v>
      </c>
      <c r="P38" s="19" t="s">
        <v>405</v>
      </c>
      <c r="Q38" s="19" t="s">
        <v>406</v>
      </c>
      <c r="R38" s="19" t="s">
        <v>407</v>
      </c>
    </row>
    <row r="39" spans="1:21" x14ac:dyDescent="0.45">
      <c r="A39" t="s">
        <v>172</v>
      </c>
      <c r="C39" s="15">
        <f>g4rgdp!B39</f>
        <v>6.1981275870143904</v>
      </c>
      <c r="D39" s="22">
        <f t="shared" si="2"/>
        <v>58.621282762206185</v>
      </c>
      <c r="G39" s="22">
        <f t="shared" si="0"/>
        <v>73.334179967411941</v>
      </c>
      <c r="M39" t="s">
        <v>408</v>
      </c>
      <c r="N39">
        <v>1</v>
      </c>
      <c r="O39">
        <v>508.02114333661507</v>
      </c>
      <c r="P39">
        <v>508.02114333661507</v>
      </c>
      <c r="Q39">
        <v>33.998360919866307</v>
      </c>
      <c r="R39">
        <v>1.1861130156183837E-7</v>
      </c>
    </row>
    <row r="40" spans="1:21" x14ac:dyDescent="0.45">
      <c r="A40" t="s">
        <v>173</v>
      </c>
      <c r="C40" s="15">
        <f>g4rgdp!B40</f>
        <v>2.6175211077614335</v>
      </c>
      <c r="D40" s="22">
        <f t="shared" si="2"/>
        <v>54.881219749471256</v>
      </c>
      <c r="G40" s="22">
        <f t="shared" si="0"/>
        <v>68.593599836062339</v>
      </c>
      <c r="M40" t="s">
        <v>409</v>
      </c>
      <c r="N40">
        <v>78</v>
      </c>
      <c r="O40">
        <v>1165.5164575037343</v>
      </c>
      <c r="P40">
        <v>14.942518685945311</v>
      </c>
    </row>
    <row r="41" spans="1:21" ht="14.65" thickBot="1" x14ac:dyDescent="0.5">
      <c r="A41" t="s">
        <v>174</v>
      </c>
      <c r="C41" s="15">
        <f>g4rgdp!B41</f>
        <v>2.7486308951885974</v>
      </c>
      <c r="D41" s="22">
        <f t="shared" si="2"/>
        <v>55.018168299781145</v>
      </c>
      <c r="G41" s="22">
        <f t="shared" si="0"/>
        <v>68.76718396403173</v>
      </c>
      <c r="M41" s="18" t="s">
        <v>410</v>
      </c>
      <c r="N41" s="18">
        <v>79</v>
      </c>
      <c r="O41" s="18">
        <v>1673.5376008403493</v>
      </c>
      <c r="P41" s="18"/>
      <c r="Q41" s="18"/>
      <c r="R41" s="18"/>
    </row>
    <row r="42" spans="1:21" ht="14.65" thickBot="1" x14ac:dyDescent="0.5">
      <c r="A42" t="s">
        <v>175</v>
      </c>
      <c r="C42" s="15">
        <f>g4rgdp!B42</f>
        <v>2.060142271691312</v>
      </c>
      <c r="D42" s="22">
        <f t="shared" si="2"/>
        <v>54.299018946074945</v>
      </c>
      <c r="G42" s="22">
        <f t="shared" si="0"/>
        <v>67.855652493560726</v>
      </c>
    </row>
    <row r="43" spans="1:21" x14ac:dyDescent="0.45">
      <c r="A43" t="s">
        <v>176</v>
      </c>
      <c r="C43" s="15">
        <f>g4rgdp!B43</f>
        <v>-4.1714986572511492</v>
      </c>
      <c r="D43" s="22">
        <f t="shared" si="2"/>
        <v>47.789861940961828</v>
      </c>
      <c r="G43" s="22">
        <f t="shared" si="0"/>
        <v>59.605208513016663</v>
      </c>
      <c r="M43" s="19"/>
      <c r="N43" s="19" t="s">
        <v>411</v>
      </c>
      <c r="O43" s="19" t="s">
        <v>400</v>
      </c>
      <c r="P43" s="19" t="s">
        <v>412</v>
      </c>
      <c r="Q43" s="19" t="s">
        <v>413</v>
      </c>
      <c r="R43" s="19" t="s">
        <v>414</v>
      </c>
      <c r="S43" s="19" t="s">
        <v>415</v>
      </c>
      <c r="T43" s="19" t="s">
        <v>416</v>
      </c>
      <c r="U43" s="19" t="s">
        <v>417</v>
      </c>
    </row>
    <row r="44" spans="1:21" x14ac:dyDescent="0.45">
      <c r="A44" t="s">
        <v>177</v>
      </c>
      <c r="C44" s="15">
        <f>g4rgdp!B44</f>
        <v>-2.0515806586923091</v>
      </c>
      <c r="D44" s="22">
        <f t="shared" si="2"/>
        <v>50.004187067831161</v>
      </c>
      <c r="G44" s="22">
        <f t="shared" si="0"/>
        <v>62.411895369639666</v>
      </c>
      <c r="M44" t="s">
        <v>418</v>
      </c>
      <c r="N44">
        <v>65.1281063145763</v>
      </c>
      <c r="O44">
        <v>0.59693081214481691</v>
      </c>
      <c r="P44">
        <v>109.10494983592179</v>
      </c>
      <c r="Q44">
        <v>4.8426721598157173E-87</v>
      </c>
      <c r="R44">
        <v>63.93970835693441</v>
      </c>
      <c r="S44">
        <v>66.316504272218197</v>
      </c>
      <c r="T44">
        <v>63.93970835693441</v>
      </c>
      <c r="U44">
        <v>66.316504272218197</v>
      </c>
    </row>
    <row r="45" spans="1:21" ht="14.65" thickBot="1" x14ac:dyDescent="0.5">
      <c r="A45" t="s">
        <v>178</v>
      </c>
      <c r="C45" s="15">
        <f>g4rgdp!B45</f>
        <v>-4.0958399233248954</v>
      </c>
      <c r="D45" s="22">
        <f t="shared" si="2"/>
        <v>47.868890014554253</v>
      </c>
      <c r="G45" s="22">
        <f t="shared" si="0"/>
        <v>59.70537765835337</v>
      </c>
      <c r="M45" s="18" t="s">
        <v>419</v>
      </c>
      <c r="N45" s="18">
        <v>1.3239601053111711</v>
      </c>
      <c r="O45" s="18">
        <v>0.22706275805983736</v>
      </c>
      <c r="P45" s="18">
        <v>5.8308113431894046</v>
      </c>
      <c r="Q45" s="18">
        <v>1.1861130156184206E-7</v>
      </c>
      <c r="R45" s="18">
        <v>0.87191287899144554</v>
      </c>
      <c r="S45" s="18">
        <v>1.7760073316308969</v>
      </c>
      <c r="T45" s="18">
        <v>0.87191287899144554</v>
      </c>
      <c r="U45" s="18">
        <v>1.7760073316308969</v>
      </c>
    </row>
    <row r="46" spans="1:21" x14ac:dyDescent="0.45">
      <c r="A46" t="s">
        <v>179</v>
      </c>
      <c r="C46" s="15">
        <f>g4rgdp!B46</f>
        <v>-3.1914680407338025</v>
      </c>
      <c r="D46" s="22">
        <f t="shared" si="2"/>
        <v>48.813536640044944</v>
      </c>
      <c r="G46" s="22">
        <f t="shared" si="0"/>
        <v>60.902729951269137</v>
      </c>
    </row>
    <row r="47" spans="1:21" x14ac:dyDescent="0.45">
      <c r="A47" t="s">
        <v>180</v>
      </c>
      <c r="C47" s="15">
        <f>g4rgdp!B47</f>
        <v>-0.90250900134805079</v>
      </c>
      <c r="D47" s="22">
        <f t="shared" si="2"/>
        <v>51.204430777805101</v>
      </c>
      <c r="G47" s="22">
        <f t="shared" si="0"/>
        <v>63.933220402107253</v>
      </c>
    </row>
    <row r="48" spans="1:21" x14ac:dyDescent="0.45">
      <c r="A48" t="s">
        <v>181</v>
      </c>
      <c r="C48" s="15">
        <f>g4rgdp!B48</f>
        <v>0.36326089935627692</v>
      </c>
      <c r="D48" s="22">
        <f t="shared" si="2"/>
        <v>52.526569699154841</v>
      </c>
      <c r="G48" s="22">
        <f t="shared" si="0"/>
        <v>65.609049253143468</v>
      </c>
    </row>
    <row r="49" spans="1:7" x14ac:dyDescent="0.45">
      <c r="A49" t="s">
        <v>182</v>
      </c>
      <c r="C49" s="15">
        <f>g4rgdp!B49</f>
        <v>1.5223011713120016</v>
      </c>
      <c r="D49" s="22">
        <f t="shared" si="2"/>
        <v>53.737225959911051</v>
      </c>
      <c r="G49" s="22">
        <f t="shared" si="0"/>
        <v>67.143572333661851</v>
      </c>
    </row>
    <row r="50" spans="1:7" x14ac:dyDescent="0.45">
      <c r="A50" t="s">
        <v>183</v>
      </c>
      <c r="C50" s="15">
        <f>g4rgdp!B50</f>
        <v>1.7684045201608711</v>
      </c>
      <c r="D50" s="22">
        <f t="shared" si="2"/>
        <v>53.994289124398172</v>
      </c>
      <c r="G50" s="22">
        <f t="shared" si="0"/>
        <v>67.46940334932124</v>
      </c>
    </row>
    <row r="51" spans="1:7" x14ac:dyDescent="0.45">
      <c r="A51" t="s">
        <v>184</v>
      </c>
      <c r="C51" s="15">
        <f>g4rgdp!B51</f>
        <v>2.4772568904014136</v>
      </c>
      <c r="D51" s="22">
        <f t="shared" si="2"/>
        <v>54.734709091458967</v>
      </c>
      <c r="G51" s="22">
        <f t="shared" si="0"/>
        <v>68.40789560807498</v>
      </c>
    </row>
    <row r="52" spans="1:7" x14ac:dyDescent="0.45">
      <c r="A52" t="s">
        <v>185</v>
      </c>
      <c r="C52" s="15">
        <f>g4rgdp!B52</f>
        <v>1.5349108635961173</v>
      </c>
      <c r="D52" s="22">
        <f t="shared" si="2"/>
        <v>53.750397204499656</v>
      </c>
      <c r="G52" s="22">
        <f t="shared" si="0"/>
        <v>67.160267063186282</v>
      </c>
    </row>
    <row r="53" spans="1:7" x14ac:dyDescent="0.45">
      <c r="A53" t="s">
        <v>186</v>
      </c>
      <c r="C53" s="15">
        <f>g4rgdp!B53</f>
        <v>2.0837044629107737</v>
      </c>
      <c r="D53" s="22">
        <f t="shared" si="2"/>
        <v>54.323630441470911</v>
      </c>
      <c r="G53" s="22">
        <f t="shared" si="0"/>
        <v>67.886847894729001</v>
      </c>
    </row>
    <row r="54" spans="1:7" x14ac:dyDescent="0.45">
      <c r="A54" t="s">
        <v>187</v>
      </c>
      <c r="C54" s="15">
        <f>g4rgdp!B54</f>
        <v>3.8673079973182922</v>
      </c>
      <c r="D54" s="22">
        <f t="shared" si="2"/>
        <v>56.18666388205515</v>
      </c>
      <c r="G54" s="22">
        <f t="shared" si="0"/>
        <v>70.248267817976554</v>
      </c>
    </row>
    <row r="55" spans="1:7" x14ac:dyDescent="0.45">
      <c r="A55" t="s">
        <v>188</v>
      </c>
      <c r="C55" s="15">
        <f>g4rgdp!B55</f>
        <v>3.5295883489341762</v>
      </c>
      <c r="D55" s="22">
        <f t="shared" si="2"/>
        <v>55.833904433924225</v>
      </c>
      <c r="G55" s="22">
        <f t="shared" si="0"/>
        <v>69.801140476736279</v>
      </c>
    </row>
    <row r="56" spans="1:7" x14ac:dyDescent="0.45">
      <c r="A56" t="s">
        <v>189</v>
      </c>
      <c r="C56" s="15">
        <f>g4rgdp!B56</f>
        <v>4.4642846338849296</v>
      </c>
      <c r="D56" s="22">
        <f t="shared" si="2"/>
        <v>56.810225910115719</v>
      </c>
      <c r="G56" s="22">
        <f t="shared" si="0"/>
        <v>71.038641068593634</v>
      </c>
    </row>
    <row r="57" spans="1:7" x14ac:dyDescent="0.45">
      <c r="A57" t="s">
        <v>190</v>
      </c>
      <c r="C57" s="15">
        <f>g4rgdp!B57</f>
        <v>4.5316389025229498</v>
      </c>
      <c r="D57" s="22">
        <f t="shared" si="2"/>
        <v>56.880579692454688</v>
      </c>
      <c r="G57" s="22">
        <f t="shared" si="0"/>
        <v>71.127815433192779</v>
      </c>
    </row>
    <row r="58" spans="1:7" x14ac:dyDescent="0.45">
      <c r="A58" t="s">
        <v>191</v>
      </c>
      <c r="C58" s="15">
        <f>g4rgdp!B58</f>
        <v>3.4356925752740963</v>
      </c>
      <c r="D58" s="22">
        <f t="shared" si="2"/>
        <v>55.735827163452583</v>
      </c>
      <c r="G58" s="22">
        <f t="shared" si="0"/>
        <v>69.676826218353</v>
      </c>
    </row>
    <row r="59" spans="1:7" x14ac:dyDescent="0.45">
      <c r="A59" t="s">
        <v>192</v>
      </c>
      <c r="C59" s="15">
        <f>g4rgdp!B59</f>
        <v>1.7432597817286677</v>
      </c>
      <c r="D59" s="22">
        <f t="shared" si="2"/>
        <v>53.968024605602238</v>
      </c>
      <c r="G59" s="22">
        <f t="shared" si="0"/>
        <v>67.436112718778517</v>
      </c>
    </row>
    <row r="60" spans="1:7" x14ac:dyDescent="0.45">
      <c r="A60" t="s">
        <v>193</v>
      </c>
      <c r="C60" s="15">
        <f>g4rgdp!B60</f>
        <v>1.3231768562331325</v>
      </c>
      <c r="D60" s="22">
        <f t="shared" si="2"/>
        <v>53.529233964678433</v>
      </c>
      <c r="G60" s="22">
        <f t="shared" si="0"/>
        <v>66.879939684500016</v>
      </c>
    </row>
    <row r="61" spans="1:7" x14ac:dyDescent="0.45">
      <c r="A61" t="s">
        <v>194</v>
      </c>
      <c r="C61" s="15">
        <f>g4rgdp!B61</f>
        <v>2.3739987303073917</v>
      </c>
      <c r="D61" s="22">
        <f t="shared" si="2"/>
        <v>54.626852495776525</v>
      </c>
      <c r="G61" s="22">
        <f t="shared" si="0"/>
        <v>68.271185923562655</v>
      </c>
    </row>
    <row r="62" spans="1:7" x14ac:dyDescent="0.45">
      <c r="A62" t="s">
        <v>195</v>
      </c>
      <c r="C62" s="15">
        <f>g4rgdp!B62</f>
        <v>2.4977369347785938</v>
      </c>
      <c r="D62" s="22">
        <f t="shared" si="2"/>
        <v>54.756101181575005</v>
      </c>
      <c r="G62" s="22">
        <f t="shared" si="0"/>
        <v>68.435010369785374</v>
      </c>
    </row>
    <row r="63" spans="1:7" x14ac:dyDescent="0.45">
      <c r="A63" t="s">
        <v>196</v>
      </c>
      <c r="C63" s="15">
        <f>g4rgdp!B63</f>
        <v>5.5993571168459155</v>
      </c>
      <c r="D63" s="22">
        <f t="shared" si="2"/>
        <v>57.995847015058047</v>
      </c>
      <c r="G63" s="22">
        <f t="shared" si="0"/>
        <v>72.541431752670476</v>
      </c>
    </row>
    <row r="64" spans="1:7" x14ac:dyDescent="0.45">
      <c r="A64" t="s">
        <v>197</v>
      </c>
      <c r="C64" s="15">
        <f>g4rgdp!B64</f>
        <v>4.8523133644954086</v>
      </c>
      <c r="D64" s="22">
        <f t="shared" si="2"/>
        <v>57.215534874293624</v>
      </c>
      <c r="G64" s="22">
        <f t="shared" si="0"/>
        <v>71.552375627636451</v>
      </c>
    </row>
    <row r="65" spans="1:7" x14ac:dyDescent="0.45">
      <c r="A65" t="s">
        <v>198</v>
      </c>
      <c r="C65" s="15">
        <f>g4rgdp!B65</f>
        <v>3.1190894312437933</v>
      </c>
      <c r="D65" s="22">
        <f t="shared" si="2"/>
        <v>55.405124609132692</v>
      </c>
      <c r="G65" s="22">
        <f t="shared" si="0"/>
        <v>69.257656286440792</v>
      </c>
    </row>
    <row r="66" spans="1:7" x14ac:dyDescent="0.45">
      <c r="A66" t="s">
        <v>199</v>
      </c>
      <c r="C66" s="15">
        <f>g4rgdp!B66</f>
        <v>3.1838954666431718</v>
      </c>
      <c r="D66" s="22">
        <f t="shared" si="2"/>
        <v>55.472816676776432</v>
      </c>
      <c r="G66" s="22">
        <f t="shared" si="0"/>
        <v>69.343456891892956</v>
      </c>
    </row>
    <row r="67" spans="1:7" x14ac:dyDescent="0.45">
      <c r="A67" t="s">
        <v>200</v>
      </c>
      <c r="C67" s="15">
        <f>g4rgdp!B67</f>
        <v>1.9717430604423214</v>
      </c>
      <c r="D67" s="22">
        <f t="shared" si="2"/>
        <v>54.206683018554571</v>
      </c>
      <c r="G67" s="22">
        <f t="shared" si="0"/>
        <v>67.738615464526092</v>
      </c>
    </row>
    <row r="68" spans="1:7" x14ac:dyDescent="0.45">
      <c r="A68" t="s">
        <v>201</v>
      </c>
      <c r="C68" s="15">
        <f>g4rgdp!B68</f>
        <v>2.6247454639046097</v>
      </c>
      <c r="D68" s="22">
        <f t="shared" si="2"/>
        <v>54.888765830661264</v>
      </c>
      <c r="G68" s="22">
        <f t="shared" si="0"/>
        <v>68.603164595382466</v>
      </c>
    </row>
    <row r="69" spans="1:7" x14ac:dyDescent="0.45">
      <c r="A69" t="s">
        <v>202</v>
      </c>
      <c r="C69" s="15">
        <f>g4rgdp!B69</f>
        <v>4.4745793700634806</v>
      </c>
      <c r="D69" s="22">
        <f t="shared" si="2"/>
        <v>56.82097910576298</v>
      </c>
      <c r="G69" s="22">
        <f t="shared" si="0"/>
        <v>71.052270888588737</v>
      </c>
    </row>
    <row r="70" spans="1:7" x14ac:dyDescent="0.45">
      <c r="A70" t="s">
        <v>203</v>
      </c>
      <c r="C70" s="15">
        <f>g4rgdp!B70</f>
        <v>4.1422609285168832</v>
      </c>
      <c r="D70" s="22">
        <f t="shared" si="2"/>
        <v>56.473861398503104</v>
      </c>
      <c r="G70" s="22">
        <f t="shared" ref="G70:G110" si="3">$N$44 + C70 * $N$45</f>
        <v>70.612294529721865</v>
      </c>
    </row>
    <row r="71" spans="1:7" x14ac:dyDescent="0.45">
      <c r="A71" t="s">
        <v>204</v>
      </c>
      <c r="C71" s="15">
        <f>g4rgdp!B71</f>
        <v>4.7281420212291536</v>
      </c>
      <c r="D71" s="22">
        <f t="shared" si="2"/>
        <v>57.085833760562572</v>
      </c>
      <c r="G71" s="22">
        <f t="shared" si="3"/>
        <v>71.387977722929023</v>
      </c>
    </row>
    <row r="72" spans="1:7" x14ac:dyDescent="0.45">
      <c r="A72" t="s">
        <v>205</v>
      </c>
      <c r="C72" s="15">
        <f>g4rgdp!B72</f>
        <v>6.5485865995775328</v>
      </c>
      <c r="D72" s="22">
        <f t="shared" si="2"/>
        <v>58.987348901549282</v>
      </c>
      <c r="G72" s="22">
        <f t="shared" si="3"/>
        <v>73.798173718592295</v>
      </c>
    </row>
    <row r="73" spans="1:7" x14ac:dyDescent="0.45">
      <c r="A73" t="s">
        <v>206</v>
      </c>
      <c r="C73" s="15">
        <f>g4rgdp!B73</f>
        <v>5.7793359633667052</v>
      </c>
      <c r="D73" s="22">
        <f t="shared" ref="D73:D80" si="4">$N$21 + C73 *$N$22</f>
        <v>58.183840929174949</v>
      </c>
      <c r="G73" s="22">
        <f t="shared" si="3"/>
        <v>72.779716565263925</v>
      </c>
    </row>
    <row r="74" spans="1:7" x14ac:dyDescent="0.45">
      <c r="A74" t="s">
        <v>207</v>
      </c>
      <c r="C74" s="15">
        <f>g4rgdp!B74</f>
        <v>6.6916274755312699</v>
      </c>
      <c r="D74" s="22">
        <f t="shared" si="4"/>
        <v>59.136759872166579</v>
      </c>
      <c r="G74" s="22">
        <f t="shared" si="3"/>
        <v>73.98755413178381</v>
      </c>
    </row>
    <row r="75" spans="1:7" x14ac:dyDescent="0.45">
      <c r="A75" t="s">
        <v>208</v>
      </c>
      <c r="C75" s="15">
        <f>g4rgdp!B75</f>
        <v>5.7519754923520239</v>
      </c>
      <c r="D75" s="22">
        <f t="shared" si="4"/>
        <v>58.155262003720303</v>
      </c>
      <c r="G75" s="22">
        <f t="shared" si="3"/>
        <v>72.743492393177959</v>
      </c>
    </row>
    <row r="76" spans="1:7" x14ac:dyDescent="0.45">
      <c r="A76" t="s">
        <v>209</v>
      </c>
      <c r="C76" s="15">
        <f>g4rgdp!B76</f>
        <v>4.5390491142894618</v>
      </c>
      <c r="D76" s="22">
        <f t="shared" si="4"/>
        <v>56.888319906048402</v>
      </c>
      <c r="G76" s="22">
        <f t="shared" si="3"/>
        <v>71.137626257943552</v>
      </c>
    </row>
    <row r="77" spans="1:7" x14ac:dyDescent="0.45">
      <c r="A77" t="s">
        <v>210</v>
      </c>
      <c r="C77" s="15">
        <f>g4rgdp!B77</f>
        <v>4.1948600952361303</v>
      </c>
      <c r="D77" s="22">
        <f t="shared" si="4"/>
        <v>56.528802984261603</v>
      </c>
      <c r="G77" s="22">
        <f t="shared" si="3"/>
        <v>70.681933728030756</v>
      </c>
    </row>
    <row r="78" spans="1:7" x14ac:dyDescent="0.45">
      <c r="A78" t="s">
        <v>211</v>
      </c>
      <c r="C78" s="15">
        <f>g4rgdp!B78</f>
        <v>3.0752722586658621</v>
      </c>
      <c r="D78" s="22">
        <f t="shared" si="4"/>
        <v>55.35935610945787</v>
      </c>
      <c r="G78" s="22">
        <f t="shared" si="3"/>
        <v>69.199644098020073</v>
      </c>
    </row>
    <row r="79" spans="1:7" x14ac:dyDescent="0.45">
      <c r="A79" t="s">
        <v>212</v>
      </c>
      <c r="C79" s="15">
        <f>g4rgdp!B79</f>
        <v>3.1645413078104312</v>
      </c>
      <c r="D79" s="22">
        <f t="shared" si="4"/>
        <v>55.452600611701321</v>
      </c>
      <c r="G79" s="22">
        <f t="shared" si="3"/>
        <v>69.317832757726549</v>
      </c>
    </row>
    <row r="80" spans="1:7" x14ac:dyDescent="0.45">
      <c r="A80" t="s">
        <v>213</v>
      </c>
      <c r="C80" s="15">
        <f>g4rgdp!B80</f>
        <v>2.087191927096832</v>
      </c>
      <c r="D80" s="22">
        <f t="shared" si="4"/>
        <v>54.327273214248677</v>
      </c>
      <c r="G80" s="22">
        <f t="shared" si="3"/>
        <v>67.891465158180054</v>
      </c>
    </row>
    <row r="81" spans="1:7" x14ac:dyDescent="0.45">
      <c r="A81" t="s">
        <v>214</v>
      </c>
      <c r="C81" s="15">
        <f>g4rgdp!B81</f>
        <v>1.2678441360565174</v>
      </c>
      <c r="D81" s="22">
        <f>$N$21 + C81 *$N$22</f>
        <v>53.471437091068985</v>
      </c>
      <c r="G81" s="22">
        <f t="shared" si="3"/>
        <v>66.806681370467842</v>
      </c>
    </row>
    <row r="82" spans="1:7" x14ac:dyDescent="0.45">
      <c r="A82" t="s">
        <v>215</v>
      </c>
      <c r="C82" s="15">
        <f>g4rgdp!B82</f>
        <v>1.2853095107649537</v>
      </c>
      <c r="D82" s="22">
        <f t="shared" ref="D82:D112" si="5">$N$21 + C82 *$N$22</f>
        <v>53.489680258065711</v>
      </c>
      <c r="G82" s="22">
        <f t="shared" si="3"/>
        <v>66.829804829806122</v>
      </c>
    </row>
    <row r="83" spans="1:7" x14ac:dyDescent="0.45">
      <c r="A83" t="s">
        <v>216</v>
      </c>
      <c r="C83" s="15">
        <f>g4rgdp!B83</f>
        <v>1.3297549646669182</v>
      </c>
      <c r="D83" s="22">
        <f t="shared" si="5"/>
        <v>53.536105018559816</v>
      </c>
      <c r="G83" s="22">
        <f t="shared" si="3"/>
        <v>66.888648837634761</v>
      </c>
    </row>
    <row r="84" spans="1:7" x14ac:dyDescent="0.45">
      <c r="A84" t="s">
        <v>217</v>
      </c>
      <c r="C84" s="15">
        <f>g4rgdp!B84</f>
        <v>6.8307822048119249E-2</v>
      </c>
      <c r="D84" s="22">
        <f t="shared" si="5"/>
        <v>52.218481362353657</v>
      </c>
      <c r="G84" s="22">
        <f t="shared" si="3"/>
        <v>65.218543145848699</v>
      </c>
    </row>
    <row r="85" spans="1:7" x14ac:dyDescent="0.45">
      <c r="A85" t="s">
        <v>218</v>
      </c>
      <c r="C85" s="15">
        <f>g4rgdp!B85</f>
        <v>-0.42260463413850147</v>
      </c>
      <c r="D85" s="22">
        <f t="shared" si="5"/>
        <v>51.705706911848424</v>
      </c>
      <c r="G85" s="22">
        <f t="shared" si="3"/>
        <v>64.568594638657302</v>
      </c>
    </row>
    <row r="86" spans="1:7" x14ac:dyDescent="0.45">
      <c r="A86" t="s">
        <v>219</v>
      </c>
      <c r="C86" s="15">
        <f>g4rgdp!B86</f>
        <v>-1.432770641948089</v>
      </c>
      <c r="D86" s="22">
        <f t="shared" si="5"/>
        <v>50.650554790434903</v>
      </c>
      <c r="G86" s="22">
        <f t="shared" si="3"/>
        <v>63.231175144575957</v>
      </c>
    </row>
    <row r="87" spans="1:7" x14ac:dyDescent="0.45">
      <c r="A87" t="s">
        <v>220</v>
      </c>
      <c r="C87" s="15">
        <f>g4rgdp!B87</f>
        <v>-2.2205635770937704</v>
      </c>
      <c r="D87" s="22">
        <f t="shared" si="5"/>
        <v>49.82767876775425</v>
      </c>
      <c r="G87" s="22">
        <f t="shared" si="3"/>
        <v>62.18816872719708</v>
      </c>
    </row>
    <row r="88" spans="1:7" x14ac:dyDescent="0.45">
      <c r="A88" t="s">
        <v>221</v>
      </c>
      <c r="C88" s="15">
        <f>g4rgdp!B88</f>
        <v>-1.3195717303755572</v>
      </c>
      <c r="D88" s="22">
        <f t="shared" si="5"/>
        <v>50.768794832926979</v>
      </c>
      <c r="G88" s="22">
        <f t="shared" si="3"/>
        <v>63.381045987462635</v>
      </c>
    </row>
    <row r="89" spans="1:7" x14ac:dyDescent="0.45">
      <c r="A89" t="s">
        <v>222</v>
      </c>
      <c r="C89" s="15">
        <f>g4rgdp!B89</f>
        <v>-0.68306477071953253</v>
      </c>
      <c r="D89" s="22">
        <f t="shared" si="5"/>
        <v>51.433647603247202</v>
      </c>
      <c r="G89" s="22">
        <f>$N$44 + C89 * $N$45</f>
        <v>64.223755808800121</v>
      </c>
    </row>
    <row r="90" spans="1:7" x14ac:dyDescent="0.45">
      <c r="A90" t="s">
        <v>223</v>
      </c>
      <c r="C90" s="15">
        <f>g4rgdp!B90</f>
        <v>-0.1988287690883439</v>
      </c>
      <c r="D90" s="22">
        <f t="shared" si="5"/>
        <v>51.939448274063537</v>
      </c>
      <c r="G90" s="22">
        <f t="shared" si="3"/>
        <v>64.864864956515206</v>
      </c>
    </row>
    <row r="91" spans="1:7" x14ac:dyDescent="0.45">
      <c r="A91" t="s">
        <v>224</v>
      </c>
      <c r="C91" s="15">
        <f>g4rgdp!B91</f>
        <v>-0.22964829971616751</v>
      </c>
      <c r="D91" s="22">
        <f t="shared" si="5"/>
        <v>51.907256245355867</v>
      </c>
      <c r="G91" s="22">
        <f t="shared" si="3"/>
        <v>64.824061127499547</v>
      </c>
    </row>
    <row r="92" spans="1:7" x14ac:dyDescent="0.45">
      <c r="A92" t="s">
        <v>225</v>
      </c>
      <c r="C92" s="15">
        <f>g4rgdp!B92</f>
        <v>0.44393080806646168</v>
      </c>
      <c r="D92" s="22">
        <f t="shared" si="5"/>
        <v>52.610832112116405</v>
      </c>
      <c r="G92" s="22">
        <f t="shared" si="3"/>
        <v>65.715852993974849</v>
      </c>
    </row>
    <row r="93" spans="1:7" x14ac:dyDescent="0.45">
      <c r="A93" t="s">
        <v>226</v>
      </c>
      <c r="C93" s="15">
        <f>g4rgdp!B93</f>
        <v>1.0818260081736142</v>
      </c>
      <c r="D93" s="22">
        <f t="shared" si="5"/>
        <v>53.277134945936801</v>
      </c>
      <c r="G93" s="22">
        <f t="shared" si="3"/>
        <v>66.560400790286195</v>
      </c>
    </row>
    <row r="94" spans="1:7" x14ac:dyDescent="0.45">
      <c r="A94" t="s">
        <v>227</v>
      </c>
      <c r="C94" s="15">
        <f>g4rgdp!B94</f>
        <v>1.6084057491276837</v>
      </c>
      <c r="D94" s="22">
        <f t="shared" si="5"/>
        <v>53.827165066199768</v>
      </c>
      <c r="G94" s="22">
        <f t="shared" si="3"/>
        <v>67.257571359574484</v>
      </c>
    </row>
    <row r="95" spans="1:7" x14ac:dyDescent="0.45">
      <c r="A95" t="s">
        <v>228</v>
      </c>
      <c r="C95" s="15">
        <f>g4rgdp!B95</f>
        <v>2.2006841983960967</v>
      </c>
      <c r="D95" s="22">
        <f t="shared" si="5"/>
        <v>54.445819680769681</v>
      </c>
      <c r="G95" s="22">
        <f t="shared" si="3"/>
        <v>68.041724397641431</v>
      </c>
    </row>
    <row r="96" spans="1:7" x14ac:dyDescent="0.45">
      <c r="A96" t="s">
        <v>229</v>
      </c>
      <c r="C96" s="15">
        <f>g4rgdp!B96</f>
        <v>2.6315609248451111</v>
      </c>
      <c r="D96" s="22">
        <f t="shared" si="5"/>
        <v>54.895884807160364</v>
      </c>
      <c r="G96" s="22">
        <f t="shared" si="3"/>
        <v>68.612187993766995</v>
      </c>
    </row>
    <row r="97" spans="1:7" x14ac:dyDescent="0.45">
      <c r="A97" t="s">
        <v>230</v>
      </c>
      <c r="C97" s="15">
        <f>g4rgdp!B97</f>
        <v>2.54408072713872</v>
      </c>
      <c r="D97" s="22">
        <f t="shared" si="5"/>
        <v>54.804508819968191</v>
      </c>
      <c r="G97" s="22">
        <f t="shared" si="3"/>
        <v>68.496367701999006</v>
      </c>
    </row>
    <row r="98" spans="1:7" x14ac:dyDescent="0.45">
      <c r="A98" t="s">
        <v>231</v>
      </c>
      <c r="C98" s="15">
        <f>g4rgdp!B98</f>
        <v>3.0262071783029754</v>
      </c>
      <c r="D98" s="22">
        <f t="shared" si="5"/>
        <v>55.308105994890582</v>
      </c>
      <c r="G98" s="22">
        <f t="shared" si="3"/>
        <v>69.134683889055736</v>
      </c>
    </row>
    <row r="99" spans="1:7" x14ac:dyDescent="0.45">
      <c r="A99" t="s">
        <v>232</v>
      </c>
      <c r="C99" s="15">
        <f>g4rgdp!B99</f>
        <v>3.4924704195326228</v>
      </c>
      <c r="D99" s="22">
        <f t="shared" si="5"/>
        <v>55.795133517413731</v>
      </c>
      <c r="G99" s="22">
        <f t="shared" si="3"/>
        <v>69.751997819016864</v>
      </c>
    </row>
    <row r="100" spans="1:7" x14ac:dyDescent="0.45">
      <c r="A100" t="s">
        <v>233</v>
      </c>
      <c r="C100" s="15">
        <f>g4rgdp!B100</f>
        <v>3.5866899872310398</v>
      </c>
      <c r="D100" s="22">
        <f t="shared" si="5"/>
        <v>55.893549001568871</v>
      </c>
      <c r="G100" s="22">
        <f t="shared" si="3"/>
        <v>69.876740767789229</v>
      </c>
    </row>
    <row r="101" spans="1:7" x14ac:dyDescent="0.45">
      <c r="A101" t="s">
        <v>234</v>
      </c>
      <c r="C101" s="15">
        <f>g4rgdp!B101</f>
        <v>3.3367670145855399</v>
      </c>
      <c r="D101" s="22">
        <f t="shared" si="5"/>
        <v>55.632496112500981</v>
      </c>
      <c r="G101" s="22">
        <f t="shared" si="3"/>
        <v>69.545852722605815</v>
      </c>
    </row>
    <row r="102" spans="1:7" x14ac:dyDescent="0.45">
      <c r="A102" t="s">
        <v>235</v>
      </c>
      <c r="C102" s="15">
        <f>g4rgdp!B102</f>
        <v>2.8647713643831452</v>
      </c>
      <c r="D102" s="22">
        <f t="shared" si="5"/>
        <v>55.139480897418743</v>
      </c>
      <c r="G102" s="22">
        <f t="shared" si="3"/>
        <v>68.920949311857441</v>
      </c>
    </row>
    <row r="103" spans="1:7" x14ac:dyDescent="0.45">
      <c r="A103" t="s">
        <v>236</v>
      </c>
      <c r="C103" s="15">
        <f>g4rgdp!B103</f>
        <v>2.1736852833358355</v>
      </c>
      <c r="D103" s="22">
        <f t="shared" si="5"/>
        <v>54.417618412580637</v>
      </c>
      <c r="G103" s="22">
        <f t="shared" si="3"/>
        <v>68.005978911214953</v>
      </c>
    </row>
    <row r="104" spans="1:7" x14ac:dyDescent="0.45">
      <c r="A104" t="s">
        <v>237</v>
      </c>
      <c r="C104" s="15">
        <f>g4rgdp!B104</f>
        <v>2.2891491557318844</v>
      </c>
      <c r="D104" s="22">
        <f t="shared" si="5"/>
        <v>54.538224282272772</v>
      </c>
      <c r="G104" s="22">
        <f t="shared" si="3"/>
        <v>68.158848471872062</v>
      </c>
    </row>
    <row r="105" spans="1:7" x14ac:dyDescent="0.45">
      <c r="A105" t="s">
        <v>238</v>
      </c>
      <c r="C105" s="15">
        <f>g4rgdp!B105</f>
        <v>2.1876038392369068</v>
      </c>
      <c r="D105" s="22">
        <f t="shared" si="5"/>
        <v>54.432156808915977</v>
      </c>
      <c r="G105" s="22">
        <f t="shared" si="3"/>
        <v>68.024406523951512</v>
      </c>
    </row>
    <row r="106" spans="1:7" x14ac:dyDescent="0.45">
      <c r="A106" t="s">
        <v>239</v>
      </c>
      <c r="C106" s="15">
        <f>g4rgdp!B106</f>
        <v>2.3654978400044158</v>
      </c>
      <c r="D106" s="22">
        <f t="shared" si="5"/>
        <v>54.617973032037156</v>
      </c>
      <c r="G106" s="22">
        <f t="shared" si="3"/>
        <v>68.259931083941893</v>
      </c>
    </row>
    <row r="107" spans="1:7" x14ac:dyDescent="0.45">
      <c r="A107" t="s">
        <v>240</v>
      </c>
      <c r="C107" s="15">
        <f>g4rgdp!B107</f>
        <v>2.465517302026754</v>
      </c>
      <c r="D107" s="22">
        <f t="shared" si="5"/>
        <v>54.722446699453812</v>
      </c>
      <c r="G107" s="22">
        <f t="shared" si="3"/>
        <v>68.392352861414153</v>
      </c>
    </row>
    <row r="108" spans="1:7" x14ac:dyDescent="0.45">
      <c r="A108" t="s">
        <v>241</v>
      </c>
      <c r="C108" s="15">
        <f>g4rgdp!B108</f>
        <v>2.2367187156998369</v>
      </c>
      <c r="D108" s="22">
        <f t="shared" si="5"/>
        <v>54.483458937172301</v>
      </c>
      <c r="G108" s="22">
        <f t="shared" si="3"/>
        <v>68.089432660965727</v>
      </c>
    </row>
    <row r="109" spans="1:7" x14ac:dyDescent="0.45">
      <c r="A109" t="s">
        <v>242</v>
      </c>
      <c r="C109" s="15">
        <f>g4rgdp!B109</f>
        <v>3.2480544413102663</v>
      </c>
      <c r="D109" s="22">
        <f t="shared" si="5"/>
        <v>55.539832867881984</v>
      </c>
      <c r="G109" s="22">
        <f t="shared" si="3"/>
        <v>69.428400814749864</v>
      </c>
    </row>
    <row r="110" spans="1:7" s="10" customFormat="1" x14ac:dyDescent="0.45">
      <c r="A110" s="10" t="s">
        <v>243</v>
      </c>
      <c r="B110" s="16"/>
      <c r="C110" s="16">
        <f>g4rgdp!B110</f>
        <v>4.1354057540637257</v>
      </c>
      <c r="D110" s="22">
        <f t="shared" si="5"/>
        <v>56.466700939914126</v>
      </c>
      <c r="G110" s="22">
        <f t="shared" si="3"/>
        <v>70.603218552230928</v>
      </c>
    </row>
    <row r="111" spans="1:7" x14ac:dyDescent="0.45">
      <c r="A111" t="s">
        <v>244</v>
      </c>
      <c r="C111" s="15">
        <f>g4rgdp!B111</f>
        <v>4.926874591799546</v>
      </c>
      <c r="D111" s="22">
        <f t="shared" si="5"/>
        <v>57.293416565576976</v>
      </c>
      <c r="F111">
        <f>quarterly_pmi!C111</f>
        <v>75.512889999999999</v>
      </c>
      <c r="G111" s="22">
        <f t="shared" ref="G111:G113" si="6">F111</f>
        <v>75.512889999999999</v>
      </c>
    </row>
    <row r="112" spans="1:7" x14ac:dyDescent="0.45">
      <c r="A112" t="s">
        <v>245</v>
      </c>
      <c r="C112" s="15">
        <f>g4rgdp!B112</f>
        <v>4.9315410509876756</v>
      </c>
      <c r="D112" s="22">
        <f t="shared" si="5"/>
        <v>57.298290837997328</v>
      </c>
      <c r="F112">
        <f>quarterly_pmi!C112</f>
        <v>71.993510000000001</v>
      </c>
      <c r="G112" s="22">
        <f t="shared" si="6"/>
        <v>71.993510000000001</v>
      </c>
    </row>
    <row r="113" spans="1:7" x14ac:dyDescent="0.45">
      <c r="A113" t="s">
        <v>246</v>
      </c>
      <c r="C113" s="15">
        <f>g4rgdp!B113</f>
        <v>5.0521652883238843</v>
      </c>
      <c r="D113" s="22">
        <f>$N$21 + C113 *$N$22</f>
        <v>57.424286881157769</v>
      </c>
      <c r="F113">
        <f>quarterly_pmi!C113</f>
        <v>72.645489999999995</v>
      </c>
      <c r="G113" s="22">
        <f t="shared" si="6"/>
        <v>72.645489999999995</v>
      </c>
    </row>
    <row r="114" spans="1:7" s="10" customFormat="1" x14ac:dyDescent="0.45">
      <c r="A114" s="10" t="s">
        <v>247</v>
      </c>
      <c r="B114" s="16">
        <f>quarterly_pmi!B114</f>
        <v>57.145919999999997</v>
      </c>
      <c r="C114" s="16">
        <f>g4rgdp!B114</f>
        <v>4.1719365028084709</v>
      </c>
      <c r="D114" s="22">
        <f>B114</f>
        <v>57.145919999999997</v>
      </c>
      <c r="F114" s="10">
        <f>quarterly_pmi!C114</f>
        <v>70.328220000000002</v>
      </c>
      <c r="G114" s="22">
        <f>F114</f>
        <v>70.328220000000002</v>
      </c>
    </row>
    <row r="115" spans="1:7" x14ac:dyDescent="0.45">
      <c r="A115" t="s">
        <v>248</v>
      </c>
      <c r="B115" s="17">
        <f>quarterly_pmi!B115</f>
        <v>54.244869999999999</v>
      </c>
      <c r="C115" s="15">
        <f>g4rgdp!B115</f>
        <v>3.6393306860484032</v>
      </c>
      <c r="D115" s="22">
        <f t="shared" ref="D115:D178" si="7">B115</f>
        <v>54.244869999999999</v>
      </c>
      <c r="F115">
        <f>quarterly_pmi!C115</f>
        <v>67.178780000000003</v>
      </c>
      <c r="G115" s="22">
        <f t="shared" ref="G115:G178" si="8">F115</f>
        <v>67.178780000000003</v>
      </c>
    </row>
    <row r="116" spans="1:7" x14ac:dyDescent="0.45">
      <c r="A116" t="s">
        <v>249</v>
      </c>
      <c r="B116" s="17">
        <f>quarterly_pmi!B116</f>
        <v>50.972499999999997</v>
      </c>
      <c r="C116" s="15">
        <f>g4rgdp!B116</f>
        <v>2.9031231095872911</v>
      </c>
      <c r="D116" s="22">
        <f t="shared" si="7"/>
        <v>50.972499999999997</v>
      </c>
      <c r="F116">
        <f>quarterly_pmi!C116</f>
        <v>61.114199999999997</v>
      </c>
      <c r="G116" s="22">
        <f t="shared" si="8"/>
        <v>61.114199999999997</v>
      </c>
    </row>
    <row r="117" spans="1:7" x14ac:dyDescent="0.45">
      <c r="A117" t="s">
        <v>250</v>
      </c>
      <c r="B117" s="17">
        <f>quarterly_pmi!B117</f>
        <v>46.597670000000001</v>
      </c>
      <c r="C117" s="15">
        <f>g4rgdp!B117</f>
        <v>2.0918382235938893</v>
      </c>
      <c r="D117" s="22">
        <f t="shared" si="7"/>
        <v>46.597670000000001</v>
      </c>
      <c r="F117">
        <f>quarterly_pmi!C117</f>
        <v>59.2697</v>
      </c>
      <c r="G117" s="22">
        <f t="shared" si="8"/>
        <v>59.2697</v>
      </c>
    </row>
    <row r="118" spans="1:7" x14ac:dyDescent="0.45">
      <c r="A118" t="s">
        <v>251</v>
      </c>
      <c r="B118" s="17">
        <f>quarterly_pmi!B118</f>
        <v>49.254219999999997</v>
      </c>
      <c r="C118" s="15">
        <f>g4rgdp!B118</f>
        <v>2.0629497796226914</v>
      </c>
      <c r="D118" s="22">
        <f t="shared" si="7"/>
        <v>49.254219999999997</v>
      </c>
      <c r="F118">
        <f>quarterly_pmi!C118</f>
        <v>66.675030000000007</v>
      </c>
      <c r="G118" s="22">
        <f t="shared" si="8"/>
        <v>66.675030000000007</v>
      </c>
    </row>
    <row r="119" spans="1:7" x14ac:dyDescent="0.45">
      <c r="A119" t="s">
        <v>252</v>
      </c>
      <c r="B119" s="17">
        <f>quarterly_pmi!B119</f>
        <v>55.406959999999998</v>
      </c>
      <c r="C119" s="15">
        <f>g4rgdp!B119</f>
        <v>1.8521940890829924</v>
      </c>
      <c r="D119" s="22">
        <f t="shared" si="7"/>
        <v>55.406959999999998</v>
      </c>
      <c r="F119">
        <f>quarterly_pmi!C119</f>
        <v>73.121250000000003</v>
      </c>
      <c r="G119" s="22">
        <f t="shared" si="8"/>
        <v>73.121250000000003</v>
      </c>
    </row>
    <row r="120" spans="1:7" x14ac:dyDescent="0.45">
      <c r="A120" t="s">
        <v>253</v>
      </c>
      <c r="B120" s="17">
        <f>quarterly_pmi!B120</f>
        <v>57.31541</v>
      </c>
      <c r="C120" s="15">
        <f>g4rgdp!B120</f>
        <v>3.3537335661769418</v>
      </c>
      <c r="D120" s="22">
        <f t="shared" si="7"/>
        <v>57.31541</v>
      </c>
      <c r="F120">
        <f>quarterly_pmi!C120</f>
        <v>73.942689999999999</v>
      </c>
      <c r="G120" s="22">
        <f t="shared" si="8"/>
        <v>73.942689999999999</v>
      </c>
    </row>
    <row r="121" spans="1:7" x14ac:dyDescent="0.45">
      <c r="A121" t="s">
        <v>254</v>
      </c>
      <c r="B121" s="17">
        <f>quarterly_pmi!B121</f>
        <v>57.776040000000002</v>
      </c>
      <c r="C121" s="15">
        <f>g4rgdp!B121</f>
        <v>4.3021025739928831</v>
      </c>
      <c r="D121" s="22">
        <f t="shared" si="7"/>
        <v>57.776040000000002</v>
      </c>
      <c r="F121">
        <f>quarterly_pmi!C121</f>
        <v>72.455119999999994</v>
      </c>
      <c r="G121" s="22">
        <f t="shared" si="8"/>
        <v>72.455119999999994</v>
      </c>
    </row>
    <row r="122" spans="1:7" x14ac:dyDescent="0.45">
      <c r="A122" t="s">
        <v>255</v>
      </c>
      <c r="B122" s="17">
        <f>quarterly_pmi!B122</f>
        <v>56.123939999999997</v>
      </c>
      <c r="C122" s="15">
        <f>g4rgdp!B122</f>
        <v>4.9448006715488546</v>
      </c>
      <c r="D122" s="22">
        <f t="shared" si="7"/>
        <v>56.123939999999997</v>
      </c>
      <c r="F122">
        <f>quarterly_pmi!C122</f>
        <v>71.2149</v>
      </c>
      <c r="G122" s="22">
        <f t="shared" si="8"/>
        <v>71.2149</v>
      </c>
    </row>
    <row r="123" spans="1:7" x14ac:dyDescent="0.45">
      <c r="A123" t="s">
        <v>256</v>
      </c>
      <c r="B123" s="17">
        <f>quarterly_pmi!B123</f>
        <v>56.128979999999999</v>
      </c>
      <c r="C123" s="15">
        <f>g4rgdp!B123</f>
        <v>5.2988788926578323</v>
      </c>
      <c r="D123" s="22">
        <f t="shared" si="7"/>
        <v>56.128979999999999</v>
      </c>
      <c r="F123">
        <f>quarterly_pmi!C123</f>
        <v>69.528239999999997</v>
      </c>
      <c r="G123" s="22">
        <f t="shared" si="8"/>
        <v>69.528239999999997</v>
      </c>
    </row>
    <row r="124" spans="1:7" x14ac:dyDescent="0.45">
      <c r="A124" t="s">
        <v>257</v>
      </c>
      <c r="B124" s="17">
        <f>quarterly_pmi!B124</f>
        <v>55.21443</v>
      </c>
      <c r="C124" s="15">
        <f>g4rgdp!B124</f>
        <v>4.2461604454311797</v>
      </c>
      <c r="D124" s="22">
        <f t="shared" si="7"/>
        <v>55.21443</v>
      </c>
      <c r="F124">
        <f>quarterly_pmi!C124</f>
        <v>69.061989999999994</v>
      </c>
      <c r="G124" s="22">
        <f t="shared" si="8"/>
        <v>69.061989999999994</v>
      </c>
    </row>
    <row r="125" spans="1:7" x14ac:dyDescent="0.45">
      <c r="A125" t="s">
        <v>258</v>
      </c>
      <c r="B125" s="17">
        <f>quarterly_pmi!B125</f>
        <v>55.37032</v>
      </c>
      <c r="C125" s="15">
        <f>g4rgdp!B125</f>
        <v>3.2417271668471415</v>
      </c>
      <c r="D125" s="22">
        <f t="shared" si="7"/>
        <v>55.37032</v>
      </c>
      <c r="F125">
        <f>quarterly_pmi!C125</f>
        <v>69.545429999999996</v>
      </c>
      <c r="G125" s="22">
        <f t="shared" si="8"/>
        <v>69.545429999999996</v>
      </c>
    </row>
    <row r="126" spans="1:7" x14ac:dyDescent="0.45">
      <c r="A126" t="s">
        <v>259</v>
      </c>
      <c r="B126" s="17">
        <f>quarterly_pmi!B126</f>
        <v>55.020870000000002</v>
      </c>
      <c r="C126" s="15">
        <f>g4rgdp!B126</f>
        <v>2.7447149947702698</v>
      </c>
      <c r="D126" s="22">
        <f t="shared" si="7"/>
        <v>55.020870000000002</v>
      </c>
      <c r="F126">
        <f>quarterly_pmi!C126</f>
        <v>69.690479999999994</v>
      </c>
      <c r="G126" s="22">
        <f t="shared" si="8"/>
        <v>69.690479999999994</v>
      </c>
    </row>
    <row r="127" spans="1:7" x14ac:dyDescent="0.45">
      <c r="A127" t="s">
        <v>260</v>
      </c>
      <c r="B127" s="17">
        <f>quarterly_pmi!B127</f>
        <v>50.288559999999997</v>
      </c>
      <c r="C127" s="15">
        <f>g4rgdp!B127</f>
        <v>2.4366194226058013</v>
      </c>
      <c r="D127" s="22">
        <f t="shared" si="7"/>
        <v>50.288559999999997</v>
      </c>
      <c r="F127">
        <f>quarterly_pmi!C127</f>
        <v>66.86739</v>
      </c>
      <c r="G127" s="22">
        <f t="shared" si="8"/>
        <v>66.86739</v>
      </c>
    </row>
    <row r="128" spans="1:7" x14ac:dyDescent="0.45">
      <c r="A128" t="s">
        <v>261</v>
      </c>
      <c r="B128" s="17">
        <f>quarterly_pmi!B128</f>
        <v>48.974769999999999</v>
      </c>
      <c r="C128" s="15">
        <f>g4rgdp!B128</f>
        <v>2.2998205250360115</v>
      </c>
      <c r="D128" s="22">
        <f t="shared" si="7"/>
        <v>48.974769999999999</v>
      </c>
      <c r="F128">
        <f>quarterly_pmi!C128</f>
        <v>62.861080000000001</v>
      </c>
      <c r="G128" s="22">
        <f t="shared" si="8"/>
        <v>62.861080000000001</v>
      </c>
    </row>
    <row r="129" spans="1:7" x14ac:dyDescent="0.45">
      <c r="A129" t="s">
        <v>262</v>
      </c>
      <c r="B129" s="17">
        <f>quarterly_pmi!B129</f>
        <v>47.369590000000002</v>
      </c>
      <c r="C129" s="15">
        <f>g4rgdp!B129</f>
        <v>1.9766335548498049</v>
      </c>
      <c r="D129" s="22">
        <f t="shared" si="7"/>
        <v>47.369590000000002</v>
      </c>
      <c r="F129">
        <f>quarterly_pmi!C129</f>
        <v>61.591299999999997</v>
      </c>
      <c r="G129" s="22">
        <f t="shared" si="8"/>
        <v>61.591299999999997</v>
      </c>
    </row>
    <row r="130" spans="1:7" x14ac:dyDescent="0.45">
      <c r="A130" t="s">
        <v>263</v>
      </c>
      <c r="B130" s="17">
        <f>quarterly_pmi!B130</f>
        <v>52.401200000000003</v>
      </c>
      <c r="C130" s="15">
        <f>g4rgdp!B130</f>
        <v>1.4520015873154435</v>
      </c>
      <c r="D130" s="22">
        <f t="shared" si="7"/>
        <v>52.401200000000003</v>
      </c>
      <c r="F130">
        <f>quarterly_pmi!C130</f>
        <v>69.256649999999993</v>
      </c>
      <c r="G130" s="22">
        <f t="shared" si="8"/>
        <v>69.256649999999993</v>
      </c>
    </row>
    <row r="131" spans="1:7" x14ac:dyDescent="0.45">
      <c r="A131" t="s">
        <v>264</v>
      </c>
      <c r="B131" s="17">
        <f>quarterly_pmi!B131</f>
        <v>55.513500000000001</v>
      </c>
      <c r="C131" s="15">
        <f>g4rgdp!B131</f>
        <v>1.5677449524503118</v>
      </c>
      <c r="D131" s="22">
        <f t="shared" si="7"/>
        <v>55.513500000000001</v>
      </c>
      <c r="F131">
        <f>quarterly_pmi!C131</f>
        <v>71.119</v>
      </c>
      <c r="G131" s="22">
        <f t="shared" si="8"/>
        <v>71.119</v>
      </c>
    </row>
    <row r="132" spans="1:7" x14ac:dyDescent="0.45">
      <c r="A132" t="s">
        <v>265</v>
      </c>
      <c r="B132" s="17">
        <f>quarterly_pmi!B132</f>
        <v>54.358469999999997</v>
      </c>
      <c r="C132" s="15">
        <f>g4rgdp!B132</f>
        <v>1.6823653036096786</v>
      </c>
      <c r="D132" s="22">
        <f t="shared" si="7"/>
        <v>54.358469999999997</v>
      </c>
      <c r="F132">
        <f>quarterly_pmi!C132</f>
        <v>68.260670000000005</v>
      </c>
      <c r="G132" s="22">
        <f t="shared" si="8"/>
        <v>68.260670000000005</v>
      </c>
    </row>
    <row r="133" spans="1:7" x14ac:dyDescent="0.45">
      <c r="A133" t="s">
        <v>266</v>
      </c>
      <c r="B133" s="17">
        <f>quarterly_pmi!B133</f>
        <v>53.379570000000001</v>
      </c>
      <c r="C133" s="15">
        <f>g4rgdp!B133</f>
        <v>2.0714195262769408</v>
      </c>
      <c r="D133" s="22">
        <f t="shared" si="7"/>
        <v>53.379570000000001</v>
      </c>
      <c r="F133">
        <f>quarterly_pmi!C133</f>
        <v>66.764510000000001</v>
      </c>
      <c r="G133" s="22">
        <f t="shared" si="8"/>
        <v>66.764510000000001</v>
      </c>
    </row>
    <row r="134" spans="1:7" x14ac:dyDescent="0.45">
      <c r="A134" t="s">
        <v>267</v>
      </c>
      <c r="B134" s="17">
        <f>quarterly_pmi!B134</f>
        <v>50.119059999999998</v>
      </c>
      <c r="C134" s="15">
        <f>g4rgdp!B134</f>
        <v>2.6088736037111815</v>
      </c>
      <c r="D134" s="22">
        <f t="shared" si="7"/>
        <v>50.119059999999998</v>
      </c>
      <c r="F134">
        <f>quarterly_pmi!C134</f>
        <v>65.406199999999998</v>
      </c>
      <c r="G134" s="22">
        <f t="shared" si="8"/>
        <v>65.406199999999998</v>
      </c>
    </row>
    <row r="135" spans="1:7" x14ac:dyDescent="0.45">
      <c r="A135" t="s">
        <v>268</v>
      </c>
      <c r="B135" s="17">
        <f>quarterly_pmi!B135</f>
        <v>51.803159999999998</v>
      </c>
      <c r="C135" s="15">
        <f>g4rgdp!B135</f>
        <v>3.0071672701115659</v>
      </c>
      <c r="D135" s="22">
        <f t="shared" si="7"/>
        <v>51.803159999999998</v>
      </c>
      <c r="F135">
        <f>quarterly_pmi!C135</f>
        <v>67.943759999999997</v>
      </c>
      <c r="G135" s="22">
        <f t="shared" si="8"/>
        <v>67.943759999999997</v>
      </c>
    </row>
    <row r="136" spans="1:7" x14ac:dyDescent="0.45">
      <c r="A136" t="s">
        <v>269</v>
      </c>
      <c r="B136" s="17">
        <f>quarterly_pmi!B136</f>
        <v>56.809489999999997</v>
      </c>
      <c r="C136" s="15">
        <f>g4rgdp!B136</f>
        <v>3.4598865958308522</v>
      </c>
      <c r="D136" s="22">
        <f t="shared" si="7"/>
        <v>56.809489999999997</v>
      </c>
      <c r="F136">
        <f>quarterly_pmi!C136</f>
        <v>70.631569999999996</v>
      </c>
      <c r="G136" s="22">
        <f t="shared" si="8"/>
        <v>70.631569999999996</v>
      </c>
    </row>
    <row r="137" spans="1:7" x14ac:dyDescent="0.45">
      <c r="A137" t="s">
        <v>270</v>
      </c>
      <c r="B137" s="17">
        <f>quarterly_pmi!B137</f>
        <v>58.765880000000003</v>
      </c>
      <c r="C137" s="15">
        <f>g4rgdp!B137</f>
        <v>3.5824910619535189</v>
      </c>
      <c r="D137" s="22">
        <f t="shared" si="7"/>
        <v>58.765880000000003</v>
      </c>
      <c r="F137">
        <f>quarterly_pmi!C137</f>
        <v>73.752750000000006</v>
      </c>
      <c r="G137" s="22">
        <f t="shared" si="8"/>
        <v>73.752750000000006</v>
      </c>
    </row>
    <row r="138" spans="1:7" x14ac:dyDescent="0.45">
      <c r="A138" t="s">
        <v>271</v>
      </c>
      <c r="B138" s="17">
        <f>quarterly_pmi!B138</f>
        <v>58.64893</v>
      </c>
      <c r="C138" s="15">
        <f>g4rgdp!B138</f>
        <v>3.0585884427317467</v>
      </c>
      <c r="D138" s="22">
        <f t="shared" si="7"/>
        <v>58.64893</v>
      </c>
      <c r="F138">
        <f>quarterly_pmi!C138</f>
        <v>74.298199999999994</v>
      </c>
      <c r="G138" s="22">
        <f t="shared" si="8"/>
        <v>74.298199999999994</v>
      </c>
    </row>
    <row r="139" spans="1:7" x14ac:dyDescent="0.45">
      <c r="A139" t="s">
        <v>272</v>
      </c>
      <c r="B139" s="17">
        <f>quarterly_pmi!B139</f>
        <v>57.459249999999997</v>
      </c>
      <c r="C139" s="15">
        <f>g4rgdp!B139</f>
        <v>2.6141338012115156</v>
      </c>
      <c r="D139" s="22">
        <f t="shared" si="7"/>
        <v>57.459249999999997</v>
      </c>
      <c r="F139">
        <f>quarterly_pmi!C139</f>
        <v>72.741029999999995</v>
      </c>
      <c r="G139" s="22">
        <f t="shared" si="8"/>
        <v>72.741029999999995</v>
      </c>
    </row>
    <row r="140" spans="1:7" x14ac:dyDescent="0.45">
      <c r="A140" t="s">
        <v>273</v>
      </c>
      <c r="B140" s="17">
        <f>quarterly_pmi!B140</f>
        <v>55.736789999999999</v>
      </c>
      <c r="C140" s="15">
        <f>g4rgdp!B140</f>
        <v>1.9334477180365184</v>
      </c>
      <c r="D140" s="22">
        <f t="shared" si="7"/>
        <v>55.736789999999999</v>
      </c>
      <c r="F140">
        <f>quarterly_pmi!C140</f>
        <v>70.569659999999999</v>
      </c>
      <c r="G140" s="22">
        <f t="shared" si="8"/>
        <v>70.569659999999999</v>
      </c>
    </row>
    <row r="141" spans="1:7" x14ac:dyDescent="0.45">
      <c r="A141" t="s">
        <v>274</v>
      </c>
      <c r="B141" s="17">
        <f>quarterly_pmi!B141</f>
        <v>55.749870000000001</v>
      </c>
      <c r="C141" s="15">
        <f>g4rgdp!B141</f>
        <v>1.6083620737489923</v>
      </c>
      <c r="D141" s="22">
        <f t="shared" si="7"/>
        <v>55.749870000000001</v>
      </c>
      <c r="F141">
        <f>quarterly_pmi!C141</f>
        <v>69.936390000000003</v>
      </c>
      <c r="G141" s="22">
        <f t="shared" si="8"/>
        <v>69.936390000000003</v>
      </c>
    </row>
    <row r="142" spans="1:7" x14ac:dyDescent="0.45">
      <c r="A142" t="s">
        <v>275</v>
      </c>
      <c r="B142" s="17">
        <f>quarterly_pmi!B142</f>
        <v>55.284059999999997</v>
      </c>
      <c r="C142" s="15">
        <f>g4rgdp!B142</f>
        <v>2.0601574166702719</v>
      </c>
      <c r="D142" s="22">
        <f t="shared" si="7"/>
        <v>55.284059999999997</v>
      </c>
      <c r="F142">
        <f>quarterly_pmi!C142</f>
        <v>70.904899999999998</v>
      </c>
      <c r="G142" s="22">
        <f t="shared" si="8"/>
        <v>70.904899999999998</v>
      </c>
    </row>
    <row r="143" spans="1:7" x14ac:dyDescent="0.45">
      <c r="A143" t="s">
        <v>276</v>
      </c>
      <c r="B143" s="17">
        <f>quarterly_pmi!B143</f>
        <v>53.97589</v>
      </c>
      <c r="C143" s="15">
        <f>g4rgdp!B143</f>
        <v>2.409415368089185</v>
      </c>
      <c r="D143" s="22">
        <f t="shared" si="7"/>
        <v>53.97589</v>
      </c>
      <c r="F143">
        <f>quarterly_pmi!C143</f>
        <v>67.291219999999996</v>
      </c>
      <c r="G143" s="22">
        <f t="shared" si="8"/>
        <v>67.291219999999996</v>
      </c>
    </row>
    <row r="144" spans="1:7" x14ac:dyDescent="0.45">
      <c r="A144" t="s">
        <v>277</v>
      </c>
      <c r="B144" s="17">
        <f>quarterly_pmi!B144</f>
        <v>54.553190000000001</v>
      </c>
      <c r="C144" s="15">
        <f>g4rgdp!B144</f>
        <v>2.9688843826969347</v>
      </c>
      <c r="D144" s="22">
        <f t="shared" si="7"/>
        <v>54.553190000000001</v>
      </c>
      <c r="F144">
        <f>quarterly_pmi!C144</f>
        <v>68.835080000000005</v>
      </c>
      <c r="G144" s="22">
        <f t="shared" si="8"/>
        <v>68.835080000000005</v>
      </c>
    </row>
    <row r="145" spans="1:7" x14ac:dyDescent="0.45">
      <c r="A145" t="s">
        <v>278</v>
      </c>
      <c r="B145" s="17">
        <f>quarterly_pmi!B145</f>
        <v>55.930140000000002</v>
      </c>
      <c r="C145" s="15">
        <f>g4rgdp!B145</f>
        <v>3.5541708920007409</v>
      </c>
      <c r="D145" s="22">
        <f t="shared" si="7"/>
        <v>55.930140000000002</v>
      </c>
      <c r="F145">
        <f>quarterly_pmi!C145</f>
        <v>68.99973</v>
      </c>
      <c r="G145" s="22">
        <f t="shared" si="8"/>
        <v>68.99973</v>
      </c>
    </row>
    <row r="146" spans="1:7" x14ac:dyDescent="0.45">
      <c r="A146" t="s">
        <v>279</v>
      </c>
      <c r="B146" s="17">
        <f>quarterly_pmi!B146</f>
        <v>56.782260000000001</v>
      </c>
      <c r="C146" s="15">
        <f>g4rgdp!B146</f>
        <v>3.145049461128302</v>
      </c>
      <c r="D146" s="22">
        <f t="shared" si="7"/>
        <v>56.782260000000001</v>
      </c>
      <c r="F146">
        <f>quarterly_pmi!C146</f>
        <v>70.082149999999999</v>
      </c>
      <c r="G146" s="22">
        <f t="shared" si="8"/>
        <v>70.082149999999999</v>
      </c>
    </row>
    <row r="147" spans="1:7" x14ac:dyDescent="0.45">
      <c r="A147" t="s">
        <v>280</v>
      </c>
      <c r="B147" s="17">
        <f>quarterly_pmi!B147</f>
        <v>58.460749999999997</v>
      </c>
      <c r="C147" s="15">
        <f>g4rgdp!B147</f>
        <v>2.5812846102141407</v>
      </c>
      <c r="D147" s="22">
        <f t="shared" si="7"/>
        <v>58.460749999999997</v>
      </c>
      <c r="F147">
        <f>quarterly_pmi!C147</f>
        <v>70.454030000000003</v>
      </c>
      <c r="G147" s="22">
        <f t="shared" si="8"/>
        <v>70.454030000000003</v>
      </c>
    </row>
    <row r="148" spans="1:7" x14ac:dyDescent="0.45">
      <c r="A148" t="s">
        <v>281</v>
      </c>
      <c r="B148" s="17">
        <f>quarterly_pmi!B148</f>
        <v>56.56165</v>
      </c>
      <c r="C148" s="15">
        <f>g4rgdp!B148</f>
        <v>1.8220003728446343</v>
      </c>
      <c r="D148" s="22">
        <f t="shared" si="7"/>
        <v>56.56165</v>
      </c>
      <c r="F148">
        <f>quarterly_pmi!C148</f>
        <v>68.515010000000004</v>
      </c>
      <c r="G148" s="22">
        <f t="shared" si="8"/>
        <v>68.515010000000004</v>
      </c>
    </row>
    <row r="149" spans="1:7" x14ac:dyDescent="0.45">
      <c r="A149" t="s">
        <v>282</v>
      </c>
      <c r="B149" s="17">
        <f>quarterly_pmi!B149</f>
        <v>58.292310000000001</v>
      </c>
      <c r="C149" s="15">
        <f>g4rgdp!B149</f>
        <v>1.1364043009365332</v>
      </c>
      <c r="D149" s="22">
        <f t="shared" si="7"/>
        <v>58.292310000000001</v>
      </c>
      <c r="F149">
        <f>quarterly_pmi!C149</f>
        <v>72.271230000000003</v>
      </c>
      <c r="G149" s="22">
        <f t="shared" si="8"/>
        <v>72.271230000000003</v>
      </c>
    </row>
    <row r="150" spans="1:7" x14ac:dyDescent="0.45">
      <c r="A150" t="s">
        <v>283</v>
      </c>
      <c r="B150" s="17">
        <f>quarterly_pmi!B150</f>
        <v>57.595030000000001</v>
      </c>
      <c r="C150" s="15">
        <f>g4rgdp!B150</f>
        <v>1.8686461157876977</v>
      </c>
      <c r="D150" s="22">
        <f t="shared" si="7"/>
        <v>57.595030000000001</v>
      </c>
      <c r="F150">
        <f>quarterly_pmi!C150</f>
        <v>71.583280000000002</v>
      </c>
      <c r="G150" s="22">
        <f t="shared" si="8"/>
        <v>71.583280000000002</v>
      </c>
    </row>
    <row r="151" spans="1:7" x14ac:dyDescent="0.45">
      <c r="A151" t="s">
        <v>284</v>
      </c>
      <c r="B151" s="17">
        <f>quarterly_pmi!B151</f>
        <v>57.215159999999997</v>
      </c>
      <c r="C151" s="15">
        <f>g4rgdp!B151</f>
        <v>2.5396673031453432</v>
      </c>
      <c r="D151" s="22">
        <f t="shared" si="7"/>
        <v>57.215159999999997</v>
      </c>
      <c r="F151">
        <f>quarterly_pmi!C151</f>
        <v>70.073719999999994</v>
      </c>
      <c r="G151" s="22">
        <f t="shared" si="8"/>
        <v>70.073719999999994</v>
      </c>
    </row>
    <row r="152" spans="1:7" x14ac:dyDescent="0.45">
      <c r="A152" t="s">
        <v>285</v>
      </c>
      <c r="B152" s="17">
        <f>quarterly_pmi!B152</f>
        <v>57.23404</v>
      </c>
      <c r="C152" s="15">
        <f>g4rgdp!B152</f>
        <v>3.3205422036026278</v>
      </c>
      <c r="D152" s="22">
        <f t="shared" si="7"/>
        <v>57.23404</v>
      </c>
      <c r="F152">
        <f>quarterly_pmi!C152</f>
        <v>70.176119999999997</v>
      </c>
      <c r="G152" s="22">
        <f t="shared" si="8"/>
        <v>70.176119999999997</v>
      </c>
    </row>
    <row r="153" spans="1:7" x14ac:dyDescent="0.45">
      <c r="A153" t="s">
        <v>286</v>
      </c>
      <c r="B153" s="17">
        <f>quarterly_pmi!B153</f>
        <v>53.491050000000001</v>
      </c>
      <c r="C153" s="15">
        <f>g4rgdp!B153</f>
        <v>3.8072090946027259</v>
      </c>
      <c r="D153" s="22">
        <f t="shared" si="7"/>
        <v>53.491050000000001</v>
      </c>
      <c r="F153">
        <f>quarterly_pmi!C153</f>
        <v>66.935280000000006</v>
      </c>
      <c r="G153" s="22">
        <f t="shared" si="8"/>
        <v>66.935280000000006</v>
      </c>
    </row>
    <row r="154" spans="1:7" x14ac:dyDescent="0.45">
      <c r="A154" t="s">
        <v>287</v>
      </c>
      <c r="B154" s="17">
        <f>quarterly_pmi!B154</f>
        <v>52.954219999999999</v>
      </c>
      <c r="C154" s="15">
        <f>g4rgdp!B154</f>
        <v>3.0888582016707744</v>
      </c>
      <c r="D154" s="22">
        <f t="shared" si="7"/>
        <v>52.954219999999999</v>
      </c>
      <c r="F154">
        <f>quarterly_pmi!C154</f>
        <v>63.757910000000003</v>
      </c>
      <c r="G154" s="22">
        <f t="shared" si="8"/>
        <v>63.757910000000003</v>
      </c>
    </row>
    <row r="155" spans="1:7" x14ac:dyDescent="0.45">
      <c r="A155" t="s">
        <v>288</v>
      </c>
      <c r="B155" s="17">
        <f>quarterly_pmi!B155</f>
        <v>48.573279999999997</v>
      </c>
      <c r="C155" s="15">
        <f>g4rgdp!B155</f>
        <v>1.6147396584909046</v>
      </c>
      <c r="D155" s="22">
        <f t="shared" si="7"/>
        <v>48.573279999999997</v>
      </c>
      <c r="F155">
        <f>quarterly_pmi!C155</f>
        <v>59.90325</v>
      </c>
      <c r="G155" s="22">
        <f t="shared" si="8"/>
        <v>59.90325</v>
      </c>
    </row>
    <row r="156" spans="1:7" x14ac:dyDescent="0.45">
      <c r="A156" t="s">
        <v>289</v>
      </c>
      <c r="B156" s="17">
        <f>quarterly_pmi!B156</f>
        <v>46.54495</v>
      </c>
      <c r="C156" s="15">
        <f>g4rgdp!B156</f>
        <v>-0.97853872879998249</v>
      </c>
      <c r="D156" s="22">
        <f t="shared" si="7"/>
        <v>46.54495</v>
      </c>
      <c r="F156">
        <f>quarterly_pmi!C156</f>
        <v>54.915280000000003</v>
      </c>
      <c r="G156" s="22">
        <f t="shared" si="8"/>
        <v>54.915280000000003</v>
      </c>
    </row>
    <row r="157" spans="1:7" x14ac:dyDescent="0.45">
      <c r="A157" t="s">
        <v>290</v>
      </c>
      <c r="B157" s="17">
        <f>quarterly_pmi!B157</f>
        <v>39.703960000000002</v>
      </c>
      <c r="C157" s="15">
        <f>g4rgdp!B157</f>
        <v>-3.9589230193973535</v>
      </c>
      <c r="D157" s="22">
        <f t="shared" si="7"/>
        <v>39.703960000000002</v>
      </c>
      <c r="F157">
        <f>quarterly_pmi!C157</f>
        <v>47.144919999999999</v>
      </c>
      <c r="G157" s="22">
        <f t="shared" si="8"/>
        <v>47.144919999999999</v>
      </c>
    </row>
    <row r="158" spans="1:7" x14ac:dyDescent="0.45">
      <c r="A158" t="s">
        <v>291</v>
      </c>
      <c r="B158" s="17">
        <f>quarterly_pmi!B158</f>
        <v>41.831670000000003</v>
      </c>
      <c r="C158" s="15">
        <f>g4rgdp!B158</f>
        <v>-6.3758629090253649</v>
      </c>
      <c r="D158" s="22">
        <f t="shared" si="7"/>
        <v>41.831670000000003</v>
      </c>
      <c r="F158">
        <f>quarterly_pmi!C158</f>
        <v>53.139110000000002</v>
      </c>
      <c r="G158" s="22">
        <f t="shared" si="8"/>
        <v>53.139110000000002</v>
      </c>
    </row>
    <row r="159" spans="1:7" x14ac:dyDescent="0.45">
      <c r="A159" t="s">
        <v>292</v>
      </c>
      <c r="B159" s="17">
        <f>quarterly_pmi!B159</f>
        <v>50.09646</v>
      </c>
      <c r="C159" s="15">
        <f>g4rgdp!B159</f>
        <v>-6.1273136974673292</v>
      </c>
      <c r="D159" s="22">
        <f t="shared" si="7"/>
        <v>50.09646</v>
      </c>
      <c r="F159">
        <f>quarterly_pmi!C159</f>
        <v>64.617750000000001</v>
      </c>
      <c r="G159" s="22">
        <f t="shared" si="8"/>
        <v>64.617750000000001</v>
      </c>
    </row>
    <row r="160" spans="1:7" x14ac:dyDescent="0.45">
      <c r="A160" t="s">
        <v>293</v>
      </c>
      <c r="B160" s="17">
        <f>quarterly_pmi!B160</f>
        <v>54.286459999999998</v>
      </c>
      <c r="C160" s="15">
        <f>g4rgdp!B160</f>
        <v>-4.3479885117427841</v>
      </c>
      <c r="D160" s="22">
        <f t="shared" si="7"/>
        <v>54.286459999999998</v>
      </c>
      <c r="F160">
        <f>quarterly_pmi!C160</f>
        <v>69.048370000000006</v>
      </c>
      <c r="G160" s="22">
        <f t="shared" si="8"/>
        <v>69.048370000000006</v>
      </c>
    </row>
    <row r="161" spans="1:7" x14ac:dyDescent="0.45">
      <c r="A161" t="s">
        <v>294</v>
      </c>
      <c r="B161" s="17">
        <f>quarterly_pmi!B161</f>
        <v>57.08099</v>
      </c>
      <c r="C161" s="15">
        <f>g4rgdp!B161</f>
        <v>-1.876467668347459</v>
      </c>
      <c r="D161" s="22">
        <f t="shared" si="7"/>
        <v>57.08099</v>
      </c>
      <c r="F161">
        <f>quarterly_pmi!C161</f>
        <v>69.79598</v>
      </c>
      <c r="G161" s="22">
        <f t="shared" si="8"/>
        <v>69.79598</v>
      </c>
    </row>
    <row r="162" spans="1:7" x14ac:dyDescent="0.45">
      <c r="A162" t="s">
        <v>295</v>
      </c>
      <c r="B162" s="17">
        <f>quarterly_pmi!B162</f>
        <v>56.945740000000001</v>
      </c>
      <c r="C162" s="15">
        <f>g4rgdp!B162</f>
        <v>1.0033949156222022</v>
      </c>
      <c r="D162" s="22">
        <f t="shared" si="7"/>
        <v>56.945740000000001</v>
      </c>
      <c r="F162">
        <f>quarterly_pmi!C162</f>
        <v>70.96499</v>
      </c>
      <c r="G162" s="22">
        <f t="shared" si="8"/>
        <v>70.96499</v>
      </c>
    </row>
    <row r="163" spans="1:7" x14ac:dyDescent="0.45">
      <c r="A163" t="s">
        <v>296</v>
      </c>
      <c r="B163" s="17">
        <f>quarterly_pmi!B163</f>
        <v>56.076610000000002</v>
      </c>
      <c r="C163" s="15">
        <f>g4rgdp!B163</f>
        <v>2.4288188669924438</v>
      </c>
      <c r="D163" s="22">
        <f t="shared" si="7"/>
        <v>56.076610000000002</v>
      </c>
      <c r="F163">
        <f>quarterly_pmi!C163</f>
        <v>66.988590000000002</v>
      </c>
      <c r="G163" s="22">
        <f t="shared" si="8"/>
        <v>66.988590000000002</v>
      </c>
    </row>
    <row r="164" spans="1:7" x14ac:dyDescent="0.45">
      <c r="A164" t="s">
        <v>297</v>
      </c>
      <c r="B164" s="17">
        <f>quarterly_pmi!B164</f>
        <v>53.340200000000003</v>
      </c>
      <c r="C164" s="15">
        <f>g4rgdp!B164</f>
        <v>2.8909858501913632</v>
      </c>
      <c r="D164" s="22">
        <f t="shared" si="7"/>
        <v>53.340200000000003</v>
      </c>
      <c r="F164">
        <f>quarterly_pmi!C164</f>
        <v>63.35313</v>
      </c>
      <c r="G164" s="22">
        <f t="shared" si="8"/>
        <v>63.35313</v>
      </c>
    </row>
    <row r="165" spans="1:7" x14ac:dyDescent="0.45">
      <c r="A165" t="s">
        <v>298</v>
      </c>
      <c r="B165" s="17">
        <f>quarterly_pmi!B165</f>
        <v>53.498339999999999</v>
      </c>
      <c r="C165" s="15">
        <f>g4rgdp!B165</f>
        <v>2.608718286948708</v>
      </c>
      <c r="D165" s="22">
        <f t="shared" si="7"/>
        <v>53.498339999999999</v>
      </c>
      <c r="F165">
        <f>quarterly_pmi!C165</f>
        <v>64.512150000000005</v>
      </c>
      <c r="G165" s="22">
        <f t="shared" si="8"/>
        <v>64.512150000000005</v>
      </c>
    </row>
    <row r="166" spans="1:7" x14ac:dyDescent="0.45">
      <c r="A166" t="s">
        <v>299</v>
      </c>
      <c r="B166" s="17">
        <f>quarterly_pmi!B166</f>
        <v>55.747169999999997</v>
      </c>
      <c r="C166" s="15">
        <f>g4rgdp!B166</f>
        <v>1.9363401382097578</v>
      </c>
      <c r="D166" s="22">
        <f t="shared" si="7"/>
        <v>55.747169999999997</v>
      </c>
      <c r="F166">
        <f>quarterly_pmi!C166</f>
        <v>67.717889999999997</v>
      </c>
      <c r="G166" s="22">
        <f t="shared" si="8"/>
        <v>67.717889999999997</v>
      </c>
    </row>
    <row r="167" spans="1:7" x14ac:dyDescent="0.45">
      <c r="A167" t="s">
        <v>300</v>
      </c>
      <c r="B167" s="17">
        <f>quarterly_pmi!B167</f>
        <v>53.829990000000002</v>
      </c>
      <c r="C167" s="15">
        <f>g4rgdp!B167</f>
        <v>0.75255857166425244</v>
      </c>
      <c r="D167" s="22">
        <f t="shared" si="7"/>
        <v>53.829990000000002</v>
      </c>
      <c r="F167">
        <f>quarterly_pmi!C167</f>
        <v>64.848320000000001</v>
      </c>
      <c r="G167" s="22">
        <f t="shared" si="8"/>
        <v>64.848320000000001</v>
      </c>
    </row>
    <row r="168" spans="1:7" x14ac:dyDescent="0.45">
      <c r="A168" t="s">
        <v>301</v>
      </c>
      <c r="B168" s="17">
        <f>quarterly_pmi!B168</f>
        <v>52.815040000000003</v>
      </c>
      <c r="C168" s="15">
        <f>g4rgdp!B168</f>
        <v>0.34008565796064261</v>
      </c>
      <c r="D168" s="22">
        <f t="shared" si="7"/>
        <v>52.815040000000003</v>
      </c>
      <c r="F168">
        <f>quarterly_pmi!C168</f>
        <v>62.307949999999998</v>
      </c>
      <c r="G168" s="22">
        <f t="shared" si="8"/>
        <v>62.307949999999998</v>
      </c>
    </row>
    <row r="169" spans="1:7" x14ac:dyDescent="0.45">
      <c r="A169" t="s">
        <v>302</v>
      </c>
      <c r="B169" s="17">
        <f>quarterly_pmi!B169</f>
        <v>51.693390000000001</v>
      </c>
      <c r="C169" s="15">
        <f>g4rgdp!B169</f>
        <v>0.37231050739290339</v>
      </c>
      <c r="D169" s="22">
        <f t="shared" si="7"/>
        <v>51.693390000000001</v>
      </c>
      <c r="F169">
        <f>quarterly_pmi!C169</f>
        <v>62.938740000000003</v>
      </c>
      <c r="G169" s="22">
        <f t="shared" si="8"/>
        <v>62.938740000000003</v>
      </c>
    </row>
    <row r="170" spans="1:7" x14ac:dyDescent="0.45">
      <c r="A170" t="s">
        <v>303</v>
      </c>
      <c r="B170" s="17">
        <f>quarterly_pmi!B170</f>
        <v>54.727200000000003</v>
      </c>
      <c r="C170" s="15">
        <f>g4rgdp!B170</f>
        <v>1.1476164043578763</v>
      </c>
      <c r="D170" s="22">
        <f t="shared" si="7"/>
        <v>54.727200000000003</v>
      </c>
      <c r="F170">
        <f>quarterly_pmi!C170</f>
        <v>67.446389999999994</v>
      </c>
      <c r="G170" s="22">
        <f t="shared" si="8"/>
        <v>67.446389999999994</v>
      </c>
    </row>
    <row r="171" spans="1:7" x14ac:dyDescent="0.45">
      <c r="A171" t="s">
        <v>304</v>
      </c>
      <c r="B171" s="17">
        <f>quarterly_pmi!B171</f>
        <v>52.123539999999998</v>
      </c>
      <c r="C171" s="15">
        <f>g4rgdp!B171</f>
        <v>1.1425807784245734</v>
      </c>
      <c r="D171" s="22">
        <f t="shared" si="7"/>
        <v>52.123539999999998</v>
      </c>
      <c r="F171">
        <f>quarterly_pmi!C171</f>
        <v>64.797719999999998</v>
      </c>
      <c r="G171" s="22">
        <f t="shared" si="8"/>
        <v>64.797719999999998</v>
      </c>
    </row>
    <row r="172" spans="1:7" x14ac:dyDescent="0.45">
      <c r="A172" t="s">
        <v>305</v>
      </c>
      <c r="B172" s="17">
        <f>quarterly_pmi!B172</f>
        <v>51.213940000000001</v>
      </c>
      <c r="C172" s="15">
        <f>g4rgdp!B172</f>
        <v>1.9998276871007192</v>
      </c>
      <c r="D172" s="22">
        <f t="shared" si="7"/>
        <v>51.213940000000001</v>
      </c>
      <c r="F172">
        <f>quarterly_pmi!C172</f>
        <v>66.530940000000001</v>
      </c>
      <c r="G172" s="22">
        <f t="shared" si="8"/>
        <v>66.530940000000001</v>
      </c>
    </row>
    <row r="173" spans="1:7" x14ac:dyDescent="0.45">
      <c r="A173" t="s">
        <v>306</v>
      </c>
      <c r="B173" s="17">
        <f>quarterly_pmi!B173</f>
        <v>49.858580000000003</v>
      </c>
      <c r="C173" s="15">
        <f>g4rgdp!B173</f>
        <v>1.7725766415544797</v>
      </c>
      <c r="D173" s="22">
        <f t="shared" si="7"/>
        <v>49.858580000000003</v>
      </c>
      <c r="F173">
        <f>quarterly_pmi!C173</f>
        <v>65.056190000000001</v>
      </c>
      <c r="G173" s="22">
        <f t="shared" si="8"/>
        <v>65.056190000000001</v>
      </c>
    </row>
    <row r="174" spans="1:7" x14ac:dyDescent="0.45">
      <c r="A174" t="s">
        <v>307</v>
      </c>
      <c r="B174" s="17">
        <f>quarterly_pmi!B174</f>
        <v>51.678040000000003</v>
      </c>
      <c r="C174" s="15">
        <f>g4rgdp!B174</f>
        <v>1.0983794460646124</v>
      </c>
      <c r="D174" s="22">
        <f t="shared" si="7"/>
        <v>51.678040000000003</v>
      </c>
      <c r="F174">
        <f>quarterly_pmi!C174</f>
        <v>68.316630000000004</v>
      </c>
      <c r="G174" s="22">
        <f t="shared" si="8"/>
        <v>68.316630000000004</v>
      </c>
    </row>
    <row r="175" spans="1:7" x14ac:dyDescent="0.45">
      <c r="A175" t="s">
        <v>308</v>
      </c>
      <c r="B175" s="17">
        <f>quarterly_pmi!B175</f>
        <v>54.664319999999996</v>
      </c>
      <c r="C175" s="15">
        <f>g4rgdp!B175</f>
        <v>1.814322403130042</v>
      </c>
      <c r="D175" s="22">
        <f t="shared" si="7"/>
        <v>54.664319999999996</v>
      </c>
      <c r="F175">
        <f>quarterly_pmi!C175</f>
        <v>69.363720000000001</v>
      </c>
      <c r="G175" s="22">
        <f t="shared" si="8"/>
        <v>69.363720000000001</v>
      </c>
    </row>
    <row r="176" spans="1:7" x14ac:dyDescent="0.45">
      <c r="A176" t="s">
        <v>309</v>
      </c>
      <c r="B176" s="17">
        <f>quarterly_pmi!B176</f>
        <v>60.50338</v>
      </c>
      <c r="C176" s="15">
        <f>g4rgdp!B176</f>
        <v>1.5465634651546267</v>
      </c>
      <c r="D176" s="22">
        <f t="shared" si="7"/>
        <v>60.50338</v>
      </c>
      <c r="F176">
        <f>quarterly_pmi!C176</f>
        <v>72.179389999999998</v>
      </c>
      <c r="G176" s="22">
        <f t="shared" si="8"/>
        <v>72.179389999999998</v>
      </c>
    </row>
    <row r="177" spans="1:7" x14ac:dyDescent="0.45">
      <c r="A177" t="s">
        <v>310</v>
      </c>
      <c r="B177" s="17">
        <f>quarterly_pmi!B177</f>
        <v>60.301740000000002</v>
      </c>
      <c r="C177" s="15">
        <f>g4rgdp!B177</f>
        <v>2.3483157336126936</v>
      </c>
      <c r="D177" s="22">
        <f t="shared" si="7"/>
        <v>60.301740000000002</v>
      </c>
      <c r="F177">
        <f>quarterly_pmi!C177</f>
        <v>72.596770000000006</v>
      </c>
      <c r="G177" s="22">
        <f t="shared" si="8"/>
        <v>72.596770000000006</v>
      </c>
    </row>
    <row r="178" spans="1:7" x14ac:dyDescent="0.45">
      <c r="A178" t="s">
        <v>311</v>
      </c>
      <c r="B178" s="17">
        <f>quarterly_pmi!B178</f>
        <v>57.894370000000002</v>
      </c>
      <c r="C178" s="15">
        <f>g4rgdp!B178</f>
        <v>2.8812519716714391</v>
      </c>
      <c r="D178" s="22">
        <f t="shared" si="7"/>
        <v>57.894370000000002</v>
      </c>
      <c r="F178">
        <f>quarterly_pmi!C178</f>
        <v>75.036330000000007</v>
      </c>
      <c r="G178" s="22">
        <f t="shared" si="8"/>
        <v>75.036330000000007</v>
      </c>
    </row>
    <row r="179" spans="1:7" x14ac:dyDescent="0.45">
      <c r="A179" t="s">
        <v>312</v>
      </c>
      <c r="B179" s="17">
        <f>quarterly_pmi!B179</f>
        <v>58.766849999999998</v>
      </c>
      <c r="C179" s="15">
        <f>g4rgdp!B179</f>
        <v>3.1547878809671914</v>
      </c>
      <c r="D179" s="22">
        <f t="shared" ref="D179:D224" si="9">B179</f>
        <v>58.766849999999998</v>
      </c>
      <c r="F179">
        <f>quarterly_pmi!C179</f>
        <v>74.329220000000007</v>
      </c>
      <c r="G179" s="22">
        <f t="shared" ref="G179:G224" si="10">F179</f>
        <v>74.329220000000007</v>
      </c>
    </row>
    <row r="180" spans="1:7" x14ac:dyDescent="0.45">
      <c r="A180" t="s">
        <v>313</v>
      </c>
      <c r="B180" s="17">
        <f>quarterly_pmi!B180</f>
        <v>58.584609999999998</v>
      </c>
      <c r="C180" s="15">
        <f>g4rgdp!B180</f>
        <v>3.2023444354880581</v>
      </c>
      <c r="D180" s="22">
        <f t="shared" si="9"/>
        <v>58.584609999999998</v>
      </c>
      <c r="F180">
        <f>quarterly_pmi!C180</f>
        <v>71.651539999999997</v>
      </c>
      <c r="G180" s="22">
        <f t="shared" si="10"/>
        <v>71.651539999999997</v>
      </c>
    </row>
    <row r="181" spans="1:7" x14ac:dyDescent="0.45">
      <c r="A181" t="s">
        <v>314</v>
      </c>
      <c r="B181" s="17">
        <f>quarterly_pmi!B181</f>
        <v>56.177810000000001</v>
      </c>
      <c r="C181" s="15">
        <f>g4rgdp!B181</f>
        <v>3.2028030667737184</v>
      </c>
      <c r="D181" s="22">
        <f t="shared" si="9"/>
        <v>56.177810000000001</v>
      </c>
      <c r="F181">
        <f>quarterly_pmi!C181</f>
        <v>70.643510000000006</v>
      </c>
      <c r="G181" s="22">
        <f t="shared" si="10"/>
        <v>70.643510000000006</v>
      </c>
    </row>
    <row r="182" spans="1:7" x14ac:dyDescent="0.45">
      <c r="A182" t="s">
        <v>315</v>
      </c>
      <c r="B182" s="17">
        <f>quarterly_pmi!B182</f>
        <v>57.160649999999997</v>
      </c>
      <c r="C182" s="15">
        <f>g4rgdp!B182</f>
        <v>2.7081137705964764</v>
      </c>
      <c r="D182" s="22">
        <f t="shared" si="9"/>
        <v>57.160649999999997</v>
      </c>
      <c r="F182">
        <f>quarterly_pmi!C182</f>
        <v>71.949489999999997</v>
      </c>
      <c r="G182" s="22">
        <f t="shared" si="10"/>
        <v>71.949489999999997</v>
      </c>
    </row>
    <row r="183" spans="1:7" x14ac:dyDescent="0.45">
      <c r="A183" t="s">
        <v>316</v>
      </c>
      <c r="B183" s="17">
        <f>quarterly_pmi!B183</f>
        <v>57.356699999999996</v>
      </c>
      <c r="C183" s="15">
        <f>g4rgdp!B183</f>
        <v>2.2271757930530711</v>
      </c>
      <c r="D183" s="22">
        <f t="shared" si="9"/>
        <v>57.356699999999996</v>
      </c>
      <c r="F183">
        <f>quarterly_pmi!C183</f>
        <v>71.746589999999998</v>
      </c>
      <c r="G183" s="22">
        <f t="shared" si="10"/>
        <v>71.746589999999998</v>
      </c>
    </row>
    <row r="184" spans="1:7" x14ac:dyDescent="0.45">
      <c r="A184" t="s">
        <v>317</v>
      </c>
      <c r="B184" s="17">
        <f>quarterly_pmi!B184</f>
        <v>55.148820000000001</v>
      </c>
      <c r="C184" s="15">
        <f>g4rgdp!B184</f>
        <v>1.803429767115361</v>
      </c>
      <c r="D184" s="22">
        <f t="shared" si="9"/>
        <v>55.148820000000001</v>
      </c>
      <c r="F184">
        <f>quarterly_pmi!C184</f>
        <v>70.62406</v>
      </c>
      <c r="G184" s="22">
        <f t="shared" si="10"/>
        <v>70.62406</v>
      </c>
    </row>
    <row r="185" spans="1:7" x14ac:dyDescent="0.45">
      <c r="A185" t="s">
        <v>318</v>
      </c>
      <c r="B185" s="17">
        <f>quarterly_pmi!B185</f>
        <v>55.316270000000003</v>
      </c>
      <c r="C185" s="15">
        <f>g4rgdp!B185</f>
        <v>1.7431684640373035</v>
      </c>
      <c r="D185" s="22">
        <f>B185</f>
        <v>55.316270000000003</v>
      </c>
      <c r="F185">
        <f>quarterly_pmi!C185</f>
        <v>68.799350000000004</v>
      </c>
      <c r="G185" s="22">
        <f t="shared" si="10"/>
        <v>68.799350000000004</v>
      </c>
    </row>
    <row r="186" spans="1:7" x14ac:dyDescent="0.45">
      <c r="A186" t="s">
        <v>319</v>
      </c>
      <c r="B186" s="17">
        <f>quarterly_pmi!B186</f>
        <v>54.002249999999997</v>
      </c>
      <c r="C186" s="15">
        <f>g4rgdp!B186</f>
        <v>1.9421128517029373</v>
      </c>
      <c r="D186" s="22">
        <f t="shared" si="9"/>
        <v>54.002249999999997</v>
      </c>
      <c r="F186">
        <f>quarterly_pmi!C186</f>
        <v>68.549930000000003</v>
      </c>
      <c r="G186" s="22">
        <f t="shared" si="10"/>
        <v>68.549930000000003</v>
      </c>
    </row>
    <row r="187" spans="1:7" x14ac:dyDescent="0.45">
      <c r="A187" t="s">
        <v>320</v>
      </c>
      <c r="B187" s="17">
        <f>quarterly_pmi!B187</f>
        <v>52.648560000000003</v>
      </c>
      <c r="C187" s="15">
        <f>g4rgdp!B187</f>
        <v>2.2194730445805888</v>
      </c>
      <c r="D187" s="22">
        <f t="shared" si="9"/>
        <v>52.648560000000003</v>
      </c>
      <c r="F187">
        <f>quarterly_pmi!C187</f>
        <v>68.922139999999999</v>
      </c>
      <c r="G187" s="22">
        <f>F187</f>
        <v>68.922139999999999</v>
      </c>
    </row>
    <row r="188" spans="1:7" x14ac:dyDescent="0.45">
      <c r="A188" t="s">
        <v>321</v>
      </c>
      <c r="B188" s="17">
        <f>quarterly_pmi!B188</f>
        <v>51.626139999999999</v>
      </c>
      <c r="C188" s="15">
        <f>g4rgdp!B188</f>
        <v>2.2729923031079124</v>
      </c>
      <c r="D188" s="22">
        <f t="shared" si="9"/>
        <v>51.626139999999999</v>
      </c>
      <c r="F188">
        <f>quarterly_pmi!C188</f>
        <v>64.146889999999999</v>
      </c>
      <c r="G188" s="22">
        <f t="shared" si="10"/>
        <v>64.146889999999999</v>
      </c>
    </row>
    <row r="189" spans="1:7" x14ac:dyDescent="0.45">
      <c r="A189" t="s">
        <v>322</v>
      </c>
      <c r="B189" s="17">
        <f>quarterly_pmi!B189</f>
        <v>55.478169999999999</v>
      </c>
      <c r="C189" s="15">
        <f>g4rgdp!B189</f>
        <v>2.2926081203971549</v>
      </c>
      <c r="D189" s="22">
        <f t="shared" si="9"/>
        <v>55.478169999999999</v>
      </c>
      <c r="F189">
        <f>quarterly_pmi!C189</f>
        <v>68.094380000000001</v>
      </c>
      <c r="G189" s="22">
        <f t="shared" si="10"/>
        <v>68.094380000000001</v>
      </c>
    </row>
    <row r="190" spans="1:7" x14ac:dyDescent="0.45">
      <c r="A190" t="s">
        <v>323</v>
      </c>
      <c r="B190" s="17">
        <f>quarterly_pmi!B190</f>
        <v>54.583109999999998</v>
      </c>
      <c r="C190" s="15">
        <f>g4rgdp!B190</f>
        <v>2.7399190370063664</v>
      </c>
      <c r="D190" s="22">
        <f t="shared" si="9"/>
        <v>54.583109999999998</v>
      </c>
      <c r="F190">
        <f>quarterly_pmi!C190</f>
        <v>70.791110000000003</v>
      </c>
      <c r="G190" s="22">
        <f t="shared" si="10"/>
        <v>70.791110000000003</v>
      </c>
    </row>
    <row r="191" spans="1:7" x14ac:dyDescent="0.45">
      <c r="A191" t="s">
        <v>324</v>
      </c>
      <c r="B191" s="17">
        <f>quarterly_pmi!B191</f>
        <v>54.834470000000003</v>
      </c>
      <c r="C191" s="15">
        <f>g4rgdp!B191</f>
        <v>2.8565521554853035</v>
      </c>
      <c r="D191" s="22">
        <f t="shared" si="9"/>
        <v>54.834470000000003</v>
      </c>
      <c r="F191">
        <f>quarterly_pmi!C191</f>
        <v>67.382069999999999</v>
      </c>
      <c r="G191" s="22">
        <f t="shared" si="10"/>
        <v>67.382069999999999</v>
      </c>
    </row>
    <row r="192" spans="1:7" x14ac:dyDescent="0.45">
      <c r="A192" t="s">
        <v>325</v>
      </c>
      <c r="B192" s="17">
        <f>quarterly_pmi!B192</f>
        <v>54.061199999999999</v>
      </c>
      <c r="C192" s="15">
        <f>g4rgdp!B192</f>
        <v>3.0905179581120379</v>
      </c>
      <c r="D192" s="22">
        <f t="shared" si="9"/>
        <v>54.061199999999999</v>
      </c>
      <c r="F192">
        <f>quarterly_pmi!C192</f>
        <v>65.882130000000004</v>
      </c>
      <c r="G192" s="22">
        <f t="shared" si="10"/>
        <v>65.882130000000004</v>
      </c>
    </row>
    <row r="193" spans="1:7" x14ac:dyDescent="0.45">
      <c r="A193" t="s">
        <v>326</v>
      </c>
      <c r="B193" s="17">
        <f>quarterly_pmi!B193</f>
        <v>55.174149999999997</v>
      </c>
      <c r="C193" s="15">
        <f>g4rgdp!B193</f>
        <v>3.2211699935650984</v>
      </c>
      <c r="D193" s="22">
        <f t="shared" si="9"/>
        <v>55.174149999999997</v>
      </c>
      <c r="F193">
        <f>quarterly_pmi!C193</f>
        <v>66.510999999999996</v>
      </c>
      <c r="G193" s="22">
        <f t="shared" si="10"/>
        <v>66.510999999999996</v>
      </c>
    </row>
    <row r="194" spans="1:7" x14ac:dyDescent="0.45">
      <c r="A194" t="s">
        <v>327</v>
      </c>
      <c r="B194" s="17">
        <f>quarterly_pmi!B194</f>
        <v>53.456270000000004</v>
      </c>
      <c r="C194" s="15">
        <f>g4rgdp!B194</f>
        <v>2.3502009254016798</v>
      </c>
      <c r="D194" s="22">
        <f t="shared" si="9"/>
        <v>53.456270000000004</v>
      </c>
      <c r="F194">
        <f>quarterly_pmi!C194</f>
        <v>68.213419999999999</v>
      </c>
      <c r="G194" s="22">
        <f t="shared" si="10"/>
        <v>68.213419999999999</v>
      </c>
    </row>
    <row r="195" spans="1:7" x14ac:dyDescent="0.45">
      <c r="A195" t="s">
        <v>328</v>
      </c>
      <c r="B195" s="17">
        <f>quarterly_pmi!B195</f>
        <v>54.276260000000001</v>
      </c>
      <c r="C195" s="15">
        <f>g4rgdp!B195</f>
        <v>1.7180229100201672</v>
      </c>
      <c r="D195" s="22">
        <f t="shared" si="9"/>
        <v>54.276260000000001</v>
      </c>
      <c r="F195">
        <f>quarterly_pmi!C195</f>
        <v>67.456919999999997</v>
      </c>
      <c r="G195" s="22">
        <f t="shared" si="10"/>
        <v>67.456919999999997</v>
      </c>
    </row>
    <row r="196" spans="1:7" x14ac:dyDescent="0.45">
      <c r="A196" t="s">
        <v>329</v>
      </c>
      <c r="B196" s="17">
        <f>quarterly_pmi!B196</f>
        <v>53.929180000000002</v>
      </c>
      <c r="C196" s="15">
        <f>g4rgdp!B196</f>
        <v>1.3601094570603323</v>
      </c>
      <c r="D196" s="22">
        <f t="shared" si="9"/>
        <v>53.929180000000002</v>
      </c>
      <c r="F196">
        <f>quarterly_pmi!C196</f>
        <v>66.536379999999994</v>
      </c>
      <c r="G196" s="22">
        <f t="shared" si="10"/>
        <v>66.536379999999994</v>
      </c>
    </row>
    <row r="197" spans="1:7" x14ac:dyDescent="0.45">
      <c r="A197" t="s">
        <v>330</v>
      </c>
      <c r="B197" s="17">
        <f>quarterly_pmi!B197</f>
        <v>51.440289999999997</v>
      </c>
      <c r="C197" s="15">
        <f>g4rgdp!B197</f>
        <v>0.74203827819392387</v>
      </c>
      <c r="D197" s="22">
        <f t="shared" si="9"/>
        <v>51.440289999999997</v>
      </c>
      <c r="F197">
        <f>quarterly_pmi!C197</f>
        <v>62.554499999999997</v>
      </c>
      <c r="G197" s="22">
        <f t="shared" si="10"/>
        <v>62.554499999999997</v>
      </c>
    </row>
    <row r="198" spans="1:7" x14ac:dyDescent="0.45">
      <c r="A198" t="s">
        <v>331</v>
      </c>
      <c r="B198" s="17">
        <f>quarterly_pmi!B198</f>
        <v>50.607050000000001</v>
      </c>
      <c r="C198" s="15">
        <f>g4rgdp!B198</f>
        <v>1.1661283130420586</v>
      </c>
      <c r="D198" s="22">
        <f t="shared" si="9"/>
        <v>50.607050000000001</v>
      </c>
      <c r="F198">
        <f>quarterly_pmi!C198</f>
        <v>61.865650000000002</v>
      </c>
      <c r="G198" s="22">
        <f t="shared" si="10"/>
        <v>61.865650000000002</v>
      </c>
    </row>
    <row r="199" spans="1:7" x14ac:dyDescent="0.45">
      <c r="A199" t="s">
        <v>332</v>
      </c>
      <c r="B199" s="17">
        <f>quarterly_pmi!B199</f>
        <v>50.51155</v>
      </c>
      <c r="C199" s="15">
        <f>g4rgdp!B199</f>
        <v>1.1618120091030804</v>
      </c>
      <c r="D199" s="22">
        <f t="shared" si="9"/>
        <v>50.51155</v>
      </c>
      <c r="F199">
        <f>quarterly_pmi!C199</f>
        <v>65.337119999999999</v>
      </c>
      <c r="G199" s="22">
        <f t="shared" si="10"/>
        <v>65.337119999999999</v>
      </c>
    </row>
    <row r="200" spans="1:7" x14ac:dyDescent="0.45">
      <c r="A200" t="s">
        <v>333</v>
      </c>
      <c r="B200" s="17">
        <f>quarterly_pmi!B200</f>
        <v>50.060169999999999</v>
      </c>
      <c r="C200" s="15">
        <f>g4rgdp!B200</f>
        <v>1.3943666751774941</v>
      </c>
      <c r="D200" s="22">
        <f t="shared" si="9"/>
        <v>50.060169999999999</v>
      </c>
      <c r="F200">
        <f>quarterly_pmi!C200</f>
        <v>61.70581</v>
      </c>
      <c r="G200" s="22">
        <f t="shared" si="10"/>
        <v>61.70581</v>
      </c>
    </row>
    <row r="201" spans="1:7" x14ac:dyDescent="0.45">
      <c r="A201" t="s">
        <v>334</v>
      </c>
      <c r="B201" s="17">
        <f>quarterly_pmi!B201</f>
        <v>49.507800000000003</v>
      </c>
      <c r="C201" s="15">
        <f>g4rgdp!B201</f>
        <v>1.2706639827447574</v>
      </c>
      <c r="D201" s="22">
        <f t="shared" si="9"/>
        <v>49.507800000000003</v>
      </c>
      <c r="F201">
        <f>quarterly_pmi!C201</f>
        <v>64.184740000000005</v>
      </c>
      <c r="G201" s="22">
        <f t="shared" si="10"/>
        <v>64.184740000000005</v>
      </c>
    </row>
    <row r="202" spans="1:7" x14ac:dyDescent="0.45">
      <c r="A202" t="s">
        <v>335</v>
      </c>
      <c r="B202" s="17">
        <f>quarterly_pmi!B202</f>
        <v>47.433959999999999</v>
      </c>
      <c r="C202" s="15">
        <f>g4rgdp!B202</f>
        <v>-2.0151922501971953</v>
      </c>
      <c r="D202" s="22">
        <f t="shared" si="9"/>
        <v>47.433959999999999</v>
      </c>
      <c r="F202">
        <f>quarterly_pmi!C202</f>
        <v>64.264849999999996</v>
      </c>
      <c r="G202" s="22">
        <f t="shared" si="10"/>
        <v>64.264849999999996</v>
      </c>
    </row>
    <row r="203" spans="1:7" x14ac:dyDescent="0.45">
      <c r="A203" t="s">
        <v>336</v>
      </c>
      <c r="B203" s="17">
        <f>quarterly_pmi!B203</f>
        <v>30.49887</v>
      </c>
      <c r="C203" s="15">
        <f>g4rgdp!B203</f>
        <v>-24.425327428730803</v>
      </c>
      <c r="D203" s="22">
        <f t="shared" si="9"/>
        <v>30.49887</v>
      </c>
      <c r="F203">
        <f>quarterly_pmi!C203</f>
        <v>60.230699999999999</v>
      </c>
      <c r="G203" s="22">
        <f t="shared" si="10"/>
        <v>60.230699999999999</v>
      </c>
    </row>
    <row r="204" spans="1:7" x14ac:dyDescent="0.45">
      <c r="A204" t="s">
        <v>337</v>
      </c>
      <c r="B204" s="17">
        <f>quarterly_pmi!B204</f>
        <v>57.540100000000002</v>
      </c>
      <c r="C204" s="15">
        <f>g4rgdp!B204</f>
        <v>-9.3042665600020058</v>
      </c>
      <c r="D204" s="22">
        <f t="shared" si="9"/>
        <v>57.540100000000002</v>
      </c>
      <c r="F204">
        <f>quarterly_pmi!C204</f>
        <v>68.584990000000005</v>
      </c>
      <c r="G204" s="22">
        <f t="shared" si="10"/>
        <v>68.584990000000005</v>
      </c>
    </row>
    <row r="205" spans="1:7" x14ac:dyDescent="0.45">
      <c r="A205" t="s">
        <v>338</v>
      </c>
      <c r="B205" s="17">
        <f>quarterly_pmi!B205</f>
        <v>50.522309999999997</v>
      </c>
      <c r="C205" s="15">
        <f>g4rgdp!B205</f>
        <v>-7.9515199659544678</v>
      </c>
      <c r="D205" s="22">
        <f t="shared" si="9"/>
        <v>50.522309999999997</v>
      </c>
      <c r="F205">
        <f>quarterly_pmi!C205</f>
        <v>71.022379999999998</v>
      </c>
      <c r="G205" s="22">
        <f t="shared" si="10"/>
        <v>71.022379999999998</v>
      </c>
    </row>
    <row r="206" spans="1:7" x14ac:dyDescent="0.45">
      <c r="A206" t="s">
        <v>339</v>
      </c>
      <c r="B206" s="17">
        <f>quarterly_pmi!B206</f>
        <v>49.084299999999999</v>
      </c>
      <c r="C206" s="15">
        <f>g4rgdp!B206</f>
        <v>-6.2502303549358373</v>
      </c>
      <c r="D206" s="22">
        <f t="shared" si="9"/>
        <v>49.084299999999999</v>
      </c>
      <c r="F206">
        <f>quarterly_pmi!C206</f>
        <v>76.485889999999998</v>
      </c>
      <c r="G206" s="22">
        <f t="shared" si="10"/>
        <v>76.485889999999998</v>
      </c>
    </row>
    <row r="207" spans="1:7" x14ac:dyDescent="0.45">
      <c r="A207" t="s">
        <v>340</v>
      </c>
      <c r="B207" s="17">
        <f>quarterly_pmi!B207</f>
        <v>61.931150000000002</v>
      </c>
      <c r="C207" s="15">
        <f>g4rgdp!B207</f>
        <v>22.696199513236692</v>
      </c>
      <c r="D207" s="22">
        <f t="shared" si="9"/>
        <v>61.931150000000002</v>
      </c>
      <c r="F207">
        <f>quarterly_pmi!C207</f>
        <v>78.281400000000005</v>
      </c>
      <c r="G207" s="22">
        <f t="shared" si="10"/>
        <v>78.281400000000005</v>
      </c>
    </row>
    <row r="208" spans="1:7" x14ac:dyDescent="0.45">
      <c r="A208" t="s">
        <v>341</v>
      </c>
      <c r="B208" s="17">
        <f>quarterly_pmi!B208</f>
        <v>56.33379</v>
      </c>
      <c r="C208" s="15">
        <f>g4rgdp!B208</f>
        <v>8.6986007256456332</v>
      </c>
      <c r="D208" s="22">
        <f t="shared" si="9"/>
        <v>56.33379</v>
      </c>
      <c r="F208">
        <f>quarterly_pmi!C208</f>
        <v>75.536469999999994</v>
      </c>
      <c r="G208" s="22">
        <f t="shared" si="10"/>
        <v>75.536469999999994</v>
      </c>
    </row>
    <row r="209" spans="1:7" x14ac:dyDescent="0.45">
      <c r="A209" t="s">
        <v>342</v>
      </c>
      <c r="B209" s="17">
        <f>quarterly_pmi!B209</f>
        <v>56.316299999999998</v>
      </c>
      <c r="C209" s="15">
        <f>g4rgdp!B209</f>
        <v>8.7081342625767277</v>
      </c>
      <c r="D209" s="22">
        <f t="shared" si="9"/>
        <v>56.316299999999998</v>
      </c>
      <c r="F209">
        <f>quarterly_pmi!C209</f>
        <v>73.914349999999999</v>
      </c>
      <c r="G209" s="22">
        <f t="shared" si="10"/>
        <v>73.914349999999999</v>
      </c>
    </row>
    <row r="210" spans="1:7" x14ac:dyDescent="0.45">
      <c r="A210" t="s">
        <v>343</v>
      </c>
      <c r="B210" s="17">
        <f>quarterly_pmi!B210</f>
        <v>58.32978</v>
      </c>
      <c r="C210" s="15">
        <f>g4rgdp!B210</f>
        <v>10.798379282056381</v>
      </c>
      <c r="D210" s="22">
        <f t="shared" si="9"/>
        <v>58.32978</v>
      </c>
      <c r="F210">
        <f>quarterly_pmi!C210</f>
        <v>74.950050000000005</v>
      </c>
      <c r="G210" s="22">
        <f t="shared" si="10"/>
        <v>74.950050000000005</v>
      </c>
    </row>
    <row r="211" spans="1:7" x14ac:dyDescent="0.45">
      <c r="A211" t="s">
        <v>344</v>
      </c>
      <c r="B211" s="17">
        <f>quarterly_pmi!B211</f>
        <v>55.012259999999998</v>
      </c>
      <c r="C211" s="15">
        <f>g4rgdp!B211</f>
        <v>4.605450381893661</v>
      </c>
      <c r="D211" s="22">
        <f t="shared" si="9"/>
        <v>55.012259999999998</v>
      </c>
      <c r="F211">
        <f>quarterly_pmi!C211</f>
        <v>66.730310000000003</v>
      </c>
      <c r="G211" s="22">
        <f t="shared" si="10"/>
        <v>66.730310000000003</v>
      </c>
    </row>
    <row r="212" spans="1:7" x14ac:dyDescent="0.45">
      <c r="A212" t="s">
        <v>345</v>
      </c>
      <c r="B212" s="17">
        <f>quarterly_pmi!B212</f>
        <v>50.271349999999998</v>
      </c>
      <c r="C212" s="15">
        <f>g4rgdp!B212</f>
        <v>3.0339364985547235</v>
      </c>
      <c r="D212" s="22">
        <f t="shared" si="9"/>
        <v>50.271349999999998</v>
      </c>
      <c r="F212">
        <f>quarterly_pmi!C212</f>
        <v>63.198309999999999</v>
      </c>
      <c r="G212" s="22">
        <f t="shared" si="10"/>
        <v>63.198309999999999</v>
      </c>
    </row>
    <row r="213" spans="1:7" x14ac:dyDescent="0.45">
      <c r="A213" t="s">
        <v>346</v>
      </c>
      <c r="B213" s="17">
        <f>quarterly_pmi!B213</f>
        <v>48.46857</v>
      </c>
      <c r="C213" s="15">
        <f>g4rgdp!B213</f>
        <v>1.9256042227274506</v>
      </c>
      <c r="D213" s="22">
        <f t="shared" si="9"/>
        <v>48.46857</v>
      </c>
      <c r="F213">
        <f>quarterly_pmi!C213</f>
        <v>60.173999999999999</v>
      </c>
      <c r="G213" s="22">
        <f t="shared" si="10"/>
        <v>60.173999999999999</v>
      </c>
    </row>
    <row r="214" spans="1:7" x14ac:dyDescent="0.45">
      <c r="A214" t="s">
        <v>347</v>
      </c>
      <c r="B214" s="17">
        <f>quarterly_pmi!B214</f>
        <v>51.257800000000003</v>
      </c>
      <c r="C214" s="15">
        <f>g4rgdp!B214</f>
        <v>0.97381236454907594</v>
      </c>
      <c r="D214" s="22">
        <f t="shared" si="9"/>
        <v>51.257800000000003</v>
      </c>
      <c r="F214">
        <f>quarterly_pmi!C214</f>
        <v>69.881730000000005</v>
      </c>
      <c r="G214" s="22">
        <f t="shared" si="10"/>
        <v>69.881730000000005</v>
      </c>
    </row>
    <row r="215" spans="1:7" x14ac:dyDescent="0.45">
      <c r="A215" t="s">
        <v>348</v>
      </c>
      <c r="B215" s="17">
        <f>quarterly_pmi!B215</f>
        <v>53.902209999999997</v>
      </c>
      <c r="C215" s="15">
        <f>g4rgdp!B215</f>
        <v>0.45877974912418296</v>
      </c>
      <c r="D215" s="22">
        <f t="shared" si="9"/>
        <v>53.902209999999997</v>
      </c>
      <c r="F215">
        <f>quarterly_pmi!C215</f>
        <v>70.515339999999995</v>
      </c>
      <c r="G215" s="22">
        <f t="shared" si="10"/>
        <v>70.515339999999995</v>
      </c>
    </row>
    <row r="216" spans="1:7" x14ac:dyDescent="0.45">
      <c r="A216" t="s">
        <v>349</v>
      </c>
      <c r="B216" s="17">
        <f>quarterly_pmi!B216</f>
        <v>49.315809999999999</v>
      </c>
      <c r="C216" s="15">
        <f>g4rgdp!B216</f>
        <v>0.11782950708223439</v>
      </c>
      <c r="D216" s="22">
        <f t="shared" si="9"/>
        <v>49.315809999999999</v>
      </c>
      <c r="F216">
        <f>quarterly_pmi!C216</f>
        <v>68.878299999999996</v>
      </c>
      <c r="G216" s="22">
        <f t="shared" si="10"/>
        <v>68.878299999999996</v>
      </c>
    </row>
    <row r="217" spans="1:7" x14ac:dyDescent="0.45">
      <c r="A217" t="s">
        <v>350</v>
      </c>
      <c r="B217" s="17">
        <f>quarterly_pmi!B217</f>
        <v>50.494790000000002</v>
      </c>
      <c r="C217" s="15">
        <f>g4rgdp!B217</f>
        <v>-0.46404268232507206</v>
      </c>
      <c r="D217" s="22">
        <f t="shared" si="9"/>
        <v>50.494790000000002</v>
      </c>
      <c r="F217">
        <f>quarterly_pmi!C217</f>
        <v>68.286090000000002</v>
      </c>
      <c r="G217" s="22">
        <f t="shared" si="10"/>
        <v>68.286090000000002</v>
      </c>
    </row>
    <row r="218" spans="1:7" x14ac:dyDescent="0.45">
      <c r="A218" t="s">
        <v>351</v>
      </c>
      <c r="B218" s="17">
        <f>quarterly_pmi!B218</f>
        <v>52.902200000000001</v>
      </c>
      <c r="C218" s="15">
        <f>g4rgdp!B218</f>
        <v>0.30871935064755718</v>
      </c>
      <c r="D218" s="22">
        <f t="shared" si="9"/>
        <v>52.902200000000001</v>
      </c>
      <c r="F218">
        <f>quarterly_pmi!C218</f>
        <v>72.993939999999995</v>
      </c>
      <c r="G218" s="22">
        <f t="shared" si="10"/>
        <v>72.993939999999995</v>
      </c>
    </row>
    <row r="219" spans="1:7" x14ac:dyDescent="0.45">
      <c r="A219" t="s">
        <v>352</v>
      </c>
      <c r="B219" s="17">
        <f>quarterly_pmi!B219</f>
        <v>53.126550000000002</v>
      </c>
      <c r="C219" s="15">
        <f>g4rgdp!B219</f>
        <v>0.87895103966637578</v>
      </c>
      <c r="D219" s="22">
        <f t="shared" si="9"/>
        <v>53.126550000000002</v>
      </c>
      <c r="F219">
        <f>quarterly_pmi!C219</f>
        <v>71.788070000000005</v>
      </c>
      <c r="G219" s="22">
        <f t="shared" si="10"/>
        <v>71.788070000000005</v>
      </c>
    </row>
    <row r="220" spans="1:7" x14ac:dyDescent="0.45">
      <c r="A220" t="s">
        <v>353</v>
      </c>
      <c r="B220" s="17">
        <f>quarterly_pmi!B220</f>
        <v>53.076039999999999</v>
      </c>
      <c r="C220" s="15">
        <f>g4rgdp!B220</f>
        <v>1.3586359171425144</v>
      </c>
      <c r="D220" s="22">
        <f t="shared" si="9"/>
        <v>53.076039999999999</v>
      </c>
      <c r="F220">
        <f>quarterly_pmi!C220</f>
        <v>72.972369999999998</v>
      </c>
      <c r="G220" s="22">
        <f t="shared" si="10"/>
        <v>72.972369999999998</v>
      </c>
    </row>
    <row r="221" spans="1:7" x14ac:dyDescent="0.45">
      <c r="A221" t="s">
        <v>354</v>
      </c>
      <c r="B221" s="17">
        <f>quarterly_pmi!B221</f>
        <v>50.866320000000002</v>
      </c>
      <c r="C221" s="15">
        <f>g4rgdp!B221</f>
        <v>1.9189633584343113</v>
      </c>
      <c r="D221" s="22">
        <f t="shared" si="9"/>
        <v>50.866320000000002</v>
      </c>
      <c r="F221">
        <f>quarterly_pmi!C221</f>
        <v>67.640090000000001</v>
      </c>
      <c r="G221" s="22">
        <f t="shared" si="10"/>
        <v>67.640090000000001</v>
      </c>
    </row>
    <row r="222" spans="1:7" x14ac:dyDescent="0.45">
      <c r="A222" t="s">
        <v>355</v>
      </c>
      <c r="B222" s="17">
        <f>quarterly_pmi!B222</f>
        <v>50.849550000000001</v>
      </c>
      <c r="C222" s="15">
        <f>g4rgdp!B222</f>
        <v>1.7485958503257848</v>
      </c>
      <c r="D222" s="22">
        <f t="shared" si="9"/>
        <v>50.849550000000001</v>
      </c>
      <c r="F222">
        <f>quarterly_pmi!C222</f>
        <v>65.427880000000002</v>
      </c>
      <c r="G222" s="22">
        <f t="shared" si="10"/>
        <v>65.427880000000002</v>
      </c>
    </row>
    <row r="223" spans="1:7" x14ac:dyDescent="0.45">
      <c r="A223" t="s">
        <v>356</v>
      </c>
      <c r="B223" s="17">
        <f>quarterly_pmi!B223</f>
        <v>50.253450000000001</v>
      </c>
      <c r="C223" s="15">
        <f>g4rgdp!B223</f>
        <v>1.4143772405841304</v>
      </c>
      <c r="D223" s="22">
        <f t="shared" si="9"/>
        <v>50.253450000000001</v>
      </c>
      <c r="F223">
        <f>quarterly_pmi!C223</f>
        <v>63.49606</v>
      </c>
      <c r="G223" s="22">
        <f t="shared" si="10"/>
        <v>63.49606</v>
      </c>
    </row>
    <row r="224" spans="1:7" x14ac:dyDescent="0.45">
      <c r="A224" t="s">
        <v>357</v>
      </c>
      <c r="B224" s="15">
        <v>51.67</v>
      </c>
      <c r="D224" s="22">
        <f t="shared" si="9"/>
        <v>51.67</v>
      </c>
      <c r="F224">
        <f>quarterly_pmi!C224</f>
        <v>66.791364596666668</v>
      </c>
      <c r="G224" s="22">
        <f t="shared" si="10"/>
        <v>66.791364596666668</v>
      </c>
    </row>
    <row r="225" spans="1:7" x14ac:dyDescent="0.45">
      <c r="A225" t="s">
        <v>438</v>
      </c>
      <c r="B225" s="15">
        <v>52.67</v>
      </c>
      <c r="D225" s="22">
        <f t="shared" ref="D225" si="11">B225</f>
        <v>52.67</v>
      </c>
      <c r="F225">
        <f>quarterly_pmi!C225</f>
        <v>66.791364596666668</v>
      </c>
      <c r="G225" s="22">
        <f t="shared" ref="G225" si="12">F225</f>
        <v>66.791364596666668</v>
      </c>
    </row>
    <row r="226" spans="1:7" x14ac:dyDescent="0.45">
      <c r="A226" s="4" t="s">
        <v>441</v>
      </c>
      <c r="B226" s="52">
        <v>53.67</v>
      </c>
      <c r="C226" s="52"/>
      <c r="D226" s="53">
        <f t="shared" ref="D226" si="13">B226</f>
        <v>53.67</v>
      </c>
      <c r="E226" s="4"/>
      <c r="F226" s="4">
        <f>quarterly_pmi!C226</f>
        <v>66.791364596666668</v>
      </c>
      <c r="G226" s="53">
        <f t="shared" ref="G226" si="14">F226</f>
        <v>66.791364596666668</v>
      </c>
    </row>
  </sheetData>
  <phoneticPr fontId="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C1FBA-39B0-4E52-BC41-C06E121A0C76}">
  <dimension ref="A1:AF226"/>
  <sheetViews>
    <sheetView topLeftCell="A222" workbookViewId="0">
      <selection activeCell="F235" sqref="F235"/>
    </sheetView>
  </sheetViews>
  <sheetFormatPr defaultRowHeight="14.25" x14ac:dyDescent="0.45"/>
  <cols>
    <col min="2" max="2" width="12.796875" style="15" bestFit="1" customWidth="1"/>
    <col min="3" max="3" width="8.53125" style="15" bestFit="1" customWidth="1"/>
  </cols>
  <sheetData>
    <row r="1" spans="1:4" x14ac:dyDescent="0.45">
      <c r="B1" s="15" t="s">
        <v>428</v>
      </c>
      <c r="C1" s="15" t="s">
        <v>429</v>
      </c>
      <c r="D1" t="s">
        <v>430</v>
      </c>
    </row>
    <row r="2" spans="1:4" x14ac:dyDescent="0.45">
      <c r="A2" t="s">
        <v>135</v>
      </c>
      <c r="B2" s="11"/>
      <c r="C2" s="15">
        <f>g4infl!B2</f>
        <v>5.0102728458787</v>
      </c>
      <c r="D2" s="11">
        <f t="shared" ref="D2:D65" si="0">$Y$34+C2*$Y$35</f>
        <v>3.1158752825806193</v>
      </c>
    </row>
    <row r="3" spans="1:4" x14ac:dyDescent="0.45">
      <c r="A3" t="s">
        <v>136</v>
      </c>
      <c r="B3" s="11"/>
      <c r="C3" s="15">
        <f>g4infl!B3</f>
        <v>5.8689632067935902</v>
      </c>
      <c r="D3" s="11">
        <f t="shared" si="0"/>
        <v>3.4165041417154169</v>
      </c>
    </row>
    <row r="4" spans="1:4" x14ac:dyDescent="0.45">
      <c r="A4" t="s">
        <v>137</v>
      </c>
      <c r="B4" s="11"/>
      <c r="C4" s="15">
        <f>g4infl!B4</f>
        <v>6.8417077306832201</v>
      </c>
      <c r="D4" s="11">
        <f t="shared" si="0"/>
        <v>3.757063544449351</v>
      </c>
    </row>
    <row r="5" spans="1:4" x14ac:dyDescent="0.45">
      <c r="A5" t="s">
        <v>138</v>
      </c>
      <c r="B5" s="11"/>
      <c r="C5" s="15">
        <f>g4infl!B5</f>
        <v>7.7038181773457</v>
      </c>
      <c r="D5" s="11">
        <f t="shared" si="0"/>
        <v>4.0588897810361857</v>
      </c>
    </row>
    <row r="6" spans="1:4" x14ac:dyDescent="0.45">
      <c r="A6" t="s">
        <v>139</v>
      </c>
      <c r="B6" s="11"/>
      <c r="C6" s="15">
        <f>g4infl!B6</f>
        <v>8.5882078953503491</v>
      </c>
      <c r="D6" s="11">
        <f t="shared" si="0"/>
        <v>4.3685160259040199</v>
      </c>
    </row>
    <row r="7" spans="1:4" x14ac:dyDescent="0.45">
      <c r="A7" t="s">
        <v>140</v>
      </c>
      <c r="B7" s="11"/>
      <c r="C7" s="15">
        <f>g4infl!B7</f>
        <v>9.8446788929847209</v>
      </c>
      <c r="D7" s="11">
        <f t="shared" si="0"/>
        <v>4.8084085177125093</v>
      </c>
    </row>
    <row r="8" spans="1:4" x14ac:dyDescent="0.45">
      <c r="A8" t="s">
        <v>141</v>
      </c>
      <c r="B8" s="11"/>
      <c r="C8" s="15">
        <f>g4infl!B8</f>
        <v>10.1134194991086</v>
      </c>
      <c r="D8" s="11">
        <f t="shared" si="0"/>
        <v>4.9024950307323332</v>
      </c>
    </row>
    <row r="9" spans="1:4" x14ac:dyDescent="0.45">
      <c r="A9" t="s">
        <v>142</v>
      </c>
      <c r="B9" s="11"/>
      <c r="C9" s="15">
        <f>g4infl!B9</f>
        <v>9.2129552113047701</v>
      </c>
      <c r="D9" s="11">
        <f t="shared" si="0"/>
        <v>4.5872410534480528</v>
      </c>
    </row>
    <row r="10" spans="1:4" x14ac:dyDescent="0.45">
      <c r="A10" t="s">
        <v>143</v>
      </c>
      <c r="B10" s="11"/>
      <c r="C10" s="15">
        <f>g4infl!B10</f>
        <v>7.9540338679157001</v>
      </c>
      <c r="D10" s="11">
        <f t="shared" si="0"/>
        <v>4.1464906916991859</v>
      </c>
    </row>
    <row r="11" spans="1:4" x14ac:dyDescent="0.45">
      <c r="A11" t="s">
        <v>144</v>
      </c>
      <c r="B11" s="11"/>
      <c r="C11" s="15">
        <f>g4infl!B11</f>
        <v>6.1779499841964398</v>
      </c>
      <c r="D11" s="11">
        <f t="shared" si="0"/>
        <v>3.5246809032192798</v>
      </c>
    </row>
    <row r="12" spans="1:4" x14ac:dyDescent="0.45">
      <c r="A12" t="s">
        <v>145</v>
      </c>
      <c r="B12" s="11"/>
      <c r="C12" s="15">
        <f>g4infl!B12</f>
        <v>6.4592297794796103</v>
      </c>
      <c r="D12" s="11">
        <f t="shared" si="0"/>
        <v>3.6231574062786063</v>
      </c>
    </row>
    <row r="13" spans="1:4" x14ac:dyDescent="0.45">
      <c r="A13" t="s">
        <v>146</v>
      </c>
      <c r="B13" s="11"/>
      <c r="C13" s="15">
        <f>g4infl!B13</f>
        <v>7.7151516759346297</v>
      </c>
      <c r="D13" s="11">
        <f t="shared" si="0"/>
        <v>4.0628576568921178</v>
      </c>
    </row>
    <row r="14" spans="1:4" x14ac:dyDescent="0.45">
      <c r="A14" t="s">
        <v>147</v>
      </c>
      <c r="B14" s="11"/>
      <c r="C14" s="15">
        <f>g4infl!B14</f>
        <v>7.9315305325508501</v>
      </c>
      <c r="D14" s="11">
        <f t="shared" si="0"/>
        <v>4.1386122382479851</v>
      </c>
    </row>
    <row r="15" spans="1:4" x14ac:dyDescent="0.45">
      <c r="A15" t="s">
        <v>148</v>
      </c>
      <c r="B15" s="11"/>
      <c r="C15" s="15">
        <f>g4infl!B15</f>
        <v>9.3218637205649397</v>
      </c>
      <c r="D15" s="11">
        <f t="shared" si="0"/>
        <v>4.6253700955093517</v>
      </c>
    </row>
    <row r="16" spans="1:4" x14ac:dyDescent="0.45">
      <c r="A16" t="s">
        <v>149</v>
      </c>
      <c r="B16" s="11"/>
      <c r="C16" s="15">
        <f>g4infl!B16</f>
        <v>9.1917120743548892</v>
      </c>
      <c r="D16" s="11">
        <f t="shared" si="0"/>
        <v>4.5798037974633896</v>
      </c>
    </row>
    <row r="17" spans="1:29" x14ac:dyDescent="0.45">
      <c r="A17" t="s">
        <v>150</v>
      </c>
      <c r="B17" s="11"/>
      <c r="C17" s="15">
        <f>g4infl!B17</f>
        <v>10.271493435260201</v>
      </c>
      <c r="D17" s="11">
        <f t="shared" si="0"/>
        <v>4.9578369668332236</v>
      </c>
    </row>
    <row r="18" spans="1:29" x14ac:dyDescent="0.45">
      <c r="A18" t="s">
        <v>151</v>
      </c>
      <c r="B18" s="11"/>
      <c r="C18" s="15">
        <f>g4infl!B18</f>
        <v>12.8693743563959</v>
      </c>
      <c r="D18" s="11">
        <f t="shared" si="0"/>
        <v>5.8673592032968651</v>
      </c>
      <c r="X18" t="s">
        <v>425</v>
      </c>
    </row>
    <row r="19" spans="1:29" ht="14.65" thickBot="1" x14ac:dyDescent="0.5">
      <c r="A19" t="s">
        <v>152</v>
      </c>
      <c r="B19" s="11"/>
      <c r="C19" s="15">
        <f>g4infl!B19</f>
        <v>15.885167852670801</v>
      </c>
      <c r="D19" s="11">
        <f t="shared" si="0"/>
        <v>6.9231932960486384</v>
      </c>
    </row>
    <row r="20" spans="1:29" x14ac:dyDescent="0.45">
      <c r="A20" t="s">
        <v>153</v>
      </c>
      <c r="B20" s="11"/>
      <c r="C20" s="15">
        <f>g4infl!B20</f>
        <v>17.0203012200915</v>
      </c>
      <c r="D20" s="11">
        <f t="shared" si="0"/>
        <v>7.3206052908099837</v>
      </c>
      <c r="X20" s="20" t="s">
        <v>396</v>
      </c>
      <c r="Y20" s="20"/>
    </row>
    <row r="21" spans="1:29" x14ac:dyDescent="0.45">
      <c r="A21" t="s">
        <v>154</v>
      </c>
      <c r="B21" s="11"/>
      <c r="C21" s="15">
        <f>g4infl!B21</f>
        <v>18.1808908271592</v>
      </c>
      <c r="D21" s="11">
        <f t="shared" si="0"/>
        <v>7.7269295555015347</v>
      </c>
      <c r="X21" t="s">
        <v>397</v>
      </c>
      <c r="Y21">
        <v>0.84116323548336858</v>
      </c>
    </row>
    <row r="22" spans="1:29" x14ac:dyDescent="0.45">
      <c r="A22" t="s">
        <v>155</v>
      </c>
      <c r="B22" s="11"/>
      <c r="C22" s="15">
        <f>g4infl!B22</f>
        <v>20.308880573488398</v>
      </c>
      <c r="D22" s="11">
        <f t="shared" si="0"/>
        <v>8.4719421453807193</v>
      </c>
      <c r="X22" t="s">
        <v>398</v>
      </c>
      <c r="Y22">
        <v>0.70755558872884894</v>
      </c>
    </row>
    <row r="23" spans="1:29" x14ac:dyDescent="0.45">
      <c r="A23" t="s">
        <v>156</v>
      </c>
      <c r="B23" s="11"/>
      <c r="C23" s="15">
        <f>g4infl!B23</f>
        <v>24.2866083379107</v>
      </c>
      <c r="D23" s="11">
        <f t="shared" si="0"/>
        <v>9.8645509531621425</v>
      </c>
      <c r="X23" t="s">
        <v>399</v>
      </c>
      <c r="Y23">
        <v>0.70545167210099891</v>
      </c>
    </row>
    <row r="24" spans="1:29" x14ac:dyDescent="0.45">
      <c r="A24" t="s">
        <v>157</v>
      </c>
      <c r="B24" s="11"/>
      <c r="C24" s="15">
        <f>g4infl!B24</f>
        <v>26.565802100724198</v>
      </c>
      <c r="D24" s="11">
        <f t="shared" si="0"/>
        <v>10.662500309355838</v>
      </c>
      <c r="X24" t="s">
        <v>400</v>
      </c>
      <c r="Y24">
        <v>0.4544446236316721</v>
      </c>
    </row>
    <row r="25" spans="1:29" ht="14.65" thickBot="1" x14ac:dyDescent="0.5">
      <c r="A25" t="s">
        <v>158</v>
      </c>
      <c r="B25" s="11"/>
      <c r="C25" s="15">
        <f>g4infl!B25</f>
        <v>25.311322670581699</v>
      </c>
      <c r="D25" s="11">
        <f t="shared" si="0"/>
        <v>10.223305068489275</v>
      </c>
      <c r="X25" s="18" t="s">
        <v>401</v>
      </c>
      <c r="Y25" s="18">
        <v>141</v>
      </c>
    </row>
    <row r="26" spans="1:29" x14ac:dyDescent="0.45">
      <c r="A26" t="s">
        <v>159</v>
      </c>
      <c r="B26" s="11"/>
      <c r="C26" s="15">
        <f>g4infl!B26</f>
        <v>22.452897363961299</v>
      </c>
      <c r="D26" s="11">
        <f t="shared" si="0"/>
        <v>9.2225658288688859</v>
      </c>
    </row>
    <row r="27" spans="1:29" ht="14.65" thickBot="1" x14ac:dyDescent="0.5">
      <c r="A27" t="s">
        <v>160</v>
      </c>
      <c r="B27" s="11"/>
      <c r="C27" s="15">
        <f>g4infl!B27</f>
        <v>15.9720288576556</v>
      </c>
      <c r="D27" s="11">
        <f t="shared" si="0"/>
        <v>6.9536034718471189</v>
      </c>
      <c r="X27" t="s">
        <v>402</v>
      </c>
    </row>
    <row r="28" spans="1:29" x14ac:dyDescent="0.45">
      <c r="A28" t="s">
        <v>161</v>
      </c>
      <c r="B28" s="11"/>
      <c r="C28" s="15">
        <f>g4infl!B28</f>
        <v>13.650501769159799</v>
      </c>
      <c r="D28" s="11">
        <f t="shared" si="0"/>
        <v>6.1408331510979428</v>
      </c>
      <c r="X28" s="19"/>
      <c r="Y28" s="19" t="s">
        <v>403</v>
      </c>
      <c r="Z28" s="19" t="s">
        <v>404</v>
      </c>
      <c r="AA28" s="19" t="s">
        <v>405</v>
      </c>
      <c r="AB28" s="19" t="s">
        <v>406</v>
      </c>
      <c r="AC28" s="19" t="s">
        <v>407</v>
      </c>
    </row>
    <row r="29" spans="1:29" x14ac:dyDescent="0.45">
      <c r="A29" t="s">
        <v>162</v>
      </c>
      <c r="B29" s="11"/>
      <c r="C29" s="15">
        <f>g4infl!B29</f>
        <v>14.9294971368095</v>
      </c>
      <c r="D29" s="11">
        <f t="shared" si="0"/>
        <v>6.5886114606221726</v>
      </c>
      <c r="X29" t="s">
        <v>408</v>
      </c>
      <c r="Y29">
        <v>1</v>
      </c>
      <c r="Z29">
        <v>69.453474904067093</v>
      </c>
      <c r="AA29">
        <v>69.453474904067093</v>
      </c>
      <c r="AB29">
        <v>336.30400528365988</v>
      </c>
      <c r="AC29">
        <v>6.2161064490889864E-39</v>
      </c>
    </row>
    <row r="30" spans="1:29" x14ac:dyDescent="0.45">
      <c r="A30" t="s">
        <v>163</v>
      </c>
      <c r="B30" s="11"/>
      <c r="C30" s="15">
        <f>g4infl!B30</f>
        <v>16.506794192488901</v>
      </c>
      <c r="D30" s="11">
        <f t="shared" si="0"/>
        <v>7.1408256648905875</v>
      </c>
      <c r="X30" t="s">
        <v>409</v>
      </c>
      <c r="Y30">
        <v>139</v>
      </c>
      <c r="Z30">
        <v>28.706268316734764</v>
      </c>
      <c r="AA30">
        <v>0.20651991594773211</v>
      </c>
    </row>
    <row r="31" spans="1:29" ht="14.65" thickBot="1" x14ac:dyDescent="0.5">
      <c r="A31" t="s">
        <v>164</v>
      </c>
      <c r="B31" s="11"/>
      <c r="C31" s="15">
        <f>g4infl!B31</f>
        <v>17.409083956419</v>
      </c>
      <c r="D31" s="11">
        <f t="shared" si="0"/>
        <v>7.4567187442659097</v>
      </c>
      <c r="X31" s="18" t="s">
        <v>410</v>
      </c>
      <c r="Y31" s="18">
        <v>140</v>
      </c>
      <c r="Z31" s="18">
        <v>98.159743220801857</v>
      </c>
      <c r="AA31" s="18"/>
      <c r="AB31" s="18"/>
      <c r="AC31" s="18"/>
    </row>
    <row r="32" spans="1:29" ht="14.65" thickBot="1" x14ac:dyDescent="0.5">
      <c r="A32" t="s">
        <v>165</v>
      </c>
      <c r="B32" s="11"/>
      <c r="C32" s="15">
        <f>g4infl!B32</f>
        <v>16.575500860539901</v>
      </c>
      <c r="D32" s="11">
        <f t="shared" si="0"/>
        <v>7.1648799784956898</v>
      </c>
    </row>
    <row r="33" spans="1:32" x14ac:dyDescent="0.45">
      <c r="A33" t="s">
        <v>166</v>
      </c>
      <c r="B33" s="11"/>
      <c r="C33" s="15">
        <f>g4infl!B33</f>
        <v>13.0705824135961</v>
      </c>
      <c r="D33" s="11">
        <f t="shared" si="0"/>
        <v>5.9378024636828064</v>
      </c>
      <c r="X33" s="19"/>
      <c r="Y33" s="19" t="s">
        <v>411</v>
      </c>
      <c r="Z33" s="19" t="s">
        <v>400</v>
      </c>
      <c r="AA33" s="19" t="s">
        <v>412</v>
      </c>
      <c r="AB33" s="19" t="s">
        <v>413</v>
      </c>
      <c r="AC33" s="19" t="s">
        <v>414</v>
      </c>
      <c r="AD33" s="19" t="s">
        <v>415</v>
      </c>
      <c r="AE33" s="19" t="s">
        <v>416</v>
      </c>
      <c r="AF33" s="19" t="s">
        <v>417</v>
      </c>
    </row>
    <row r="34" spans="1:32" x14ac:dyDescent="0.45">
      <c r="A34" t="s">
        <v>167</v>
      </c>
      <c r="B34" s="11"/>
      <c r="C34" s="15">
        <f>g4infl!B34</f>
        <v>9.4964726332104306</v>
      </c>
      <c r="D34" s="11">
        <f t="shared" si="0"/>
        <v>4.6865009531417279</v>
      </c>
      <c r="X34" t="s">
        <v>418</v>
      </c>
      <c r="Y34">
        <v>1.3617708018854404</v>
      </c>
      <c r="Z34">
        <v>6.5999556023766295E-2</v>
      </c>
      <c r="AA34">
        <v>20.633029734246541</v>
      </c>
      <c r="AB34">
        <v>3.7759553244132423E-44</v>
      </c>
      <c r="AC34">
        <v>1.2312779498889981</v>
      </c>
      <c r="AD34">
        <v>1.4922636538818828</v>
      </c>
      <c r="AE34">
        <v>1.2312779498889981</v>
      </c>
      <c r="AF34">
        <v>1.4922636538818828</v>
      </c>
    </row>
    <row r="35" spans="1:32" ht="14.65" thickBot="1" x14ac:dyDescent="0.5">
      <c r="A35" t="s">
        <v>168</v>
      </c>
      <c r="B35" s="11"/>
      <c r="C35" s="15">
        <f>g4infl!B35</f>
        <v>7.6796142992267704</v>
      </c>
      <c r="D35" s="11">
        <f t="shared" si="0"/>
        <v>4.0504159648659668</v>
      </c>
      <c r="X35" s="18" t="s">
        <v>419</v>
      </c>
      <c r="Y35" s="18">
        <v>0.35010158820752696</v>
      </c>
      <c r="Z35" s="18">
        <v>1.9090972896778188E-2</v>
      </c>
      <c r="AA35" s="18">
        <v>18.338593328924084</v>
      </c>
      <c r="AB35" s="18">
        <v>6.2161064490898712E-39</v>
      </c>
      <c r="AC35" s="18">
        <v>0.31235534185716846</v>
      </c>
      <c r="AD35" s="18">
        <v>0.38784783455788546</v>
      </c>
      <c r="AE35" s="18">
        <v>0.31235534185716846</v>
      </c>
      <c r="AF35" s="18">
        <v>0.38784783455788546</v>
      </c>
    </row>
    <row r="36" spans="1:32" x14ac:dyDescent="0.45">
      <c r="A36" t="s">
        <v>169</v>
      </c>
      <c r="B36" s="11"/>
      <c r="C36" s="15">
        <f>g4infl!B36</f>
        <v>7.8491467391637002</v>
      </c>
      <c r="D36" s="11">
        <f t="shared" si="0"/>
        <v>4.109769541340583</v>
      </c>
    </row>
    <row r="37" spans="1:32" x14ac:dyDescent="0.45">
      <c r="A37" t="s">
        <v>170</v>
      </c>
      <c r="B37" s="11"/>
      <c r="C37" s="15">
        <f>g4infl!B37</f>
        <v>8.0917712956010508</v>
      </c>
      <c r="D37" s="11">
        <f t="shared" si="0"/>
        <v>4.1947127838874465</v>
      </c>
    </row>
    <row r="38" spans="1:32" x14ac:dyDescent="0.45">
      <c r="A38" t="s">
        <v>171</v>
      </c>
      <c r="B38" s="11"/>
      <c r="C38" s="15">
        <f>g4infl!B38</f>
        <v>9.5820693146661</v>
      </c>
      <c r="D38" s="11">
        <f t="shared" si="0"/>
        <v>4.7164684872646516</v>
      </c>
    </row>
    <row r="39" spans="1:32" x14ac:dyDescent="0.45">
      <c r="A39" t="s">
        <v>172</v>
      </c>
      <c r="B39" s="11"/>
      <c r="C39" s="15">
        <f>g4infl!B39</f>
        <v>10.5872328391644</v>
      </c>
      <c r="D39" s="11">
        <f t="shared" si="0"/>
        <v>5.068377833599782</v>
      </c>
    </row>
    <row r="40" spans="1:32" x14ac:dyDescent="0.45">
      <c r="A40" t="s">
        <v>173</v>
      </c>
      <c r="B40" s="11"/>
      <c r="C40" s="15">
        <f>g4infl!B40</f>
        <v>15.9779147340556</v>
      </c>
      <c r="D40" s="11">
        <f t="shared" si="0"/>
        <v>6.9556641265227519</v>
      </c>
    </row>
    <row r="41" spans="1:32" x14ac:dyDescent="0.45">
      <c r="A41" t="s">
        <v>174</v>
      </c>
      <c r="B41" s="11"/>
      <c r="C41" s="15">
        <f>g4infl!B41</f>
        <v>17.258968084961801</v>
      </c>
      <c r="D41" s="11">
        <f t="shared" si="0"/>
        <v>7.4041629392535873</v>
      </c>
    </row>
    <row r="42" spans="1:32" x14ac:dyDescent="0.45">
      <c r="A42" t="s">
        <v>175</v>
      </c>
      <c r="B42" s="11"/>
      <c r="C42" s="15">
        <f>g4infl!B42</f>
        <v>19.084108966956901</v>
      </c>
      <c r="D42" s="11">
        <f t="shared" si="0"/>
        <v>8.0431476607425569</v>
      </c>
    </row>
    <row r="43" spans="1:32" x14ac:dyDescent="0.45">
      <c r="A43" t="s">
        <v>176</v>
      </c>
      <c r="B43" s="11"/>
      <c r="C43" s="15">
        <f>g4infl!B43</f>
        <v>21.548399280606699</v>
      </c>
      <c r="D43" s="11">
        <f t="shared" si="0"/>
        <v>8.9058996133557766</v>
      </c>
    </row>
    <row r="44" spans="1:32" x14ac:dyDescent="0.45">
      <c r="A44" t="s">
        <v>177</v>
      </c>
      <c r="B44" s="11"/>
      <c r="C44" s="15">
        <f>g4infl!B44</f>
        <v>16.358912145241099</v>
      </c>
      <c r="D44" s="11">
        <f t="shared" si="0"/>
        <v>7.0890519252817512</v>
      </c>
    </row>
    <row r="45" spans="1:32" x14ac:dyDescent="0.45">
      <c r="A45" t="s">
        <v>178</v>
      </c>
      <c r="B45" s="11"/>
      <c r="C45" s="15">
        <f>g4infl!B45</f>
        <v>15.279914146429</v>
      </c>
      <c r="D45" s="11">
        <f t="shared" si="0"/>
        <v>6.7112930122248926</v>
      </c>
    </row>
    <row r="46" spans="1:32" x14ac:dyDescent="0.45">
      <c r="A46" t="s">
        <v>179</v>
      </c>
      <c r="B46" s="11"/>
      <c r="C46" s="15">
        <f>g4infl!B46</f>
        <v>12.702674003259601</v>
      </c>
      <c r="D46" s="11">
        <f t="shared" si="0"/>
        <v>5.8089971449090916</v>
      </c>
    </row>
    <row r="47" spans="1:32" x14ac:dyDescent="0.45">
      <c r="A47" t="s">
        <v>180</v>
      </c>
      <c r="B47" s="11"/>
      <c r="C47" s="15">
        <f>g4infl!B47</f>
        <v>11.7006492077464</v>
      </c>
      <c r="D47" s="11">
        <f t="shared" si="0"/>
        <v>5.4581866725765975</v>
      </c>
    </row>
    <row r="48" spans="1:32" x14ac:dyDescent="0.45">
      <c r="A48" t="s">
        <v>181</v>
      </c>
      <c r="B48" s="11"/>
      <c r="C48" s="15">
        <f>g4infl!B48</f>
        <v>11.257143558925099</v>
      </c>
      <c r="D48" s="11">
        <f t="shared" si="0"/>
        <v>5.3029146405452501</v>
      </c>
    </row>
    <row r="49" spans="1:4" x14ac:dyDescent="0.45">
      <c r="A49" t="s">
        <v>182</v>
      </c>
      <c r="B49" s="11"/>
      <c r="C49" s="15">
        <f>g4infl!B49</f>
        <v>11.9036043045925</v>
      </c>
      <c r="D49" s="11">
        <f t="shared" si="0"/>
        <v>5.5292415743172292</v>
      </c>
    </row>
    <row r="50" spans="1:4" x14ac:dyDescent="0.45">
      <c r="A50" t="s">
        <v>183</v>
      </c>
      <c r="B50" s="11"/>
      <c r="C50" s="15">
        <f>g4infl!B50</f>
        <v>11.128277938546701</v>
      </c>
      <c r="D50" s="11">
        <f t="shared" si="0"/>
        <v>5.2577985821854245</v>
      </c>
    </row>
    <row r="51" spans="1:4" x14ac:dyDescent="0.45">
      <c r="A51" t="s">
        <v>184</v>
      </c>
      <c r="B51" s="11"/>
      <c r="C51" s="15">
        <f>g4infl!B51</f>
        <v>9.3526726235068995</v>
      </c>
      <c r="D51" s="11">
        <f t="shared" si="0"/>
        <v>4.6361563413602642</v>
      </c>
    </row>
    <row r="52" spans="1:4" x14ac:dyDescent="0.45">
      <c r="A52" t="s">
        <v>185</v>
      </c>
      <c r="B52" s="11"/>
      <c r="C52" s="15">
        <f>g4infl!B52</f>
        <v>7.9785863493060303</v>
      </c>
      <c r="D52" s="11">
        <f t="shared" si="0"/>
        <v>4.1550865544283759</v>
      </c>
    </row>
    <row r="53" spans="1:4" x14ac:dyDescent="0.45">
      <c r="A53" t="s">
        <v>186</v>
      </c>
      <c r="B53" s="11"/>
      <c r="C53" s="15">
        <f>g4infl!B53</f>
        <v>6.1670735430187902</v>
      </c>
      <c r="D53" s="11">
        <f t="shared" si="0"/>
        <v>3.5208730438889395</v>
      </c>
    </row>
    <row r="54" spans="1:4" x14ac:dyDescent="0.45">
      <c r="A54" t="s">
        <v>187</v>
      </c>
      <c r="B54" s="11"/>
      <c r="C54" s="15">
        <f>g4infl!B54</f>
        <v>4.96415020054968</v>
      </c>
      <c r="D54" s="11">
        <f t="shared" si="0"/>
        <v>3.0997276711985968</v>
      </c>
    </row>
    <row r="55" spans="1:4" x14ac:dyDescent="0.45">
      <c r="A55" t="s">
        <v>188</v>
      </c>
      <c r="B55" s="11"/>
      <c r="C55" s="15">
        <f>g4infl!B55</f>
        <v>3.78396000712744</v>
      </c>
      <c r="D55" s="11">
        <f t="shared" si="0"/>
        <v>2.6865412100945223</v>
      </c>
    </row>
    <row r="56" spans="1:4" x14ac:dyDescent="0.45">
      <c r="A56" t="s">
        <v>189</v>
      </c>
      <c r="B56" s="11"/>
      <c r="C56" s="15">
        <f>g4infl!B56</f>
        <v>4.6439760912831298</v>
      </c>
      <c r="D56" s="11">
        <f t="shared" si="0"/>
        <v>2.9876342070414474</v>
      </c>
    </row>
    <row r="57" spans="1:4" x14ac:dyDescent="0.45">
      <c r="A57" t="s">
        <v>190</v>
      </c>
      <c r="B57" s="11"/>
      <c r="C57" s="15">
        <f>g4infl!B57</f>
        <v>5.0507053959343704</v>
      </c>
      <c r="D57" s="11">
        <f t="shared" si="0"/>
        <v>3.1300307825703895</v>
      </c>
    </row>
    <row r="58" spans="1:4" x14ac:dyDescent="0.45">
      <c r="A58" t="s">
        <v>191</v>
      </c>
      <c r="B58" s="11"/>
      <c r="C58" s="15">
        <f>g4infl!B58</f>
        <v>5.1574827802406302</v>
      </c>
      <c r="D58" s="11">
        <f t="shared" si="0"/>
        <v>3.1674137144006567</v>
      </c>
    </row>
    <row r="59" spans="1:4" x14ac:dyDescent="0.45">
      <c r="A59" t="s">
        <v>192</v>
      </c>
      <c r="B59" s="11"/>
      <c r="C59" s="15">
        <f>g4infl!B59</f>
        <v>5.1443355585497201</v>
      </c>
      <c r="D59" s="11">
        <f t="shared" si="0"/>
        <v>3.162810851206153</v>
      </c>
    </row>
    <row r="60" spans="1:4" x14ac:dyDescent="0.45">
      <c r="A60" t="s">
        <v>193</v>
      </c>
      <c r="B60" s="11"/>
      <c r="C60" s="15">
        <f>g4infl!B60</f>
        <v>4.7139999946868896</v>
      </c>
      <c r="D60" s="11">
        <f t="shared" si="0"/>
        <v>3.0121496868355941</v>
      </c>
    </row>
    <row r="61" spans="1:4" x14ac:dyDescent="0.45">
      <c r="A61" t="s">
        <v>194</v>
      </c>
      <c r="B61" s="11"/>
      <c r="C61" s="15">
        <f>g4infl!B61</f>
        <v>4.8371353833523196</v>
      </c>
      <c r="D61" s="11">
        <f t="shared" si="0"/>
        <v>3.0552595819719124</v>
      </c>
    </row>
    <row r="62" spans="1:4" x14ac:dyDescent="0.45">
      <c r="A62" t="s">
        <v>195</v>
      </c>
      <c r="B62" s="11"/>
      <c r="C62" s="15">
        <f>g4infl!B62</f>
        <v>5.5029501025732603</v>
      </c>
      <c r="D62" s="11">
        <f t="shared" si="0"/>
        <v>3.2883623726231122</v>
      </c>
    </row>
    <row r="63" spans="1:4" x14ac:dyDescent="0.45">
      <c r="A63" t="s">
        <v>196</v>
      </c>
      <c r="B63" s="11"/>
      <c r="C63" s="15">
        <f>g4infl!B63</f>
        <v>6.9687555955146596</v>
      </c>
      <c r="D63" s="11">
        <f t="shared" si="0"/>
        <v>3.8015432037052133</v>
      </c>
    </row>
    <row r="64" spans="1:4" x14ac:dyDescent="0.45">
      <c r="A64" t="s">
        <v>197</v>
      </c>
      <c r="B64" s="11"/>
      <c r="C64" s="15">
        <f>g4infl!B64</f>
        <v>6.3020091129062097</v>
      </c>
      <c r="D64" s="11">
        <f t="shared" si="0"/>
        <v>3.5681142012122127</v>
      </c>
    </row>
    <row r="65" spans="1:4" x14ac:dyDescent="0.45">
      <c r="A65" t="s">
        <v>198</v>
      </c>
      <c r="B65" s="11"/>
      <c r="C65" s="15">
        <f>g4infl!B65</f>
        <v>5.5104964473768003</v>
      </c>
      <c r="D65" s="11">
        <f t="shared" si="0"/>
        <v>3.2910043599239933</v>
      </c>
    </row>
    <row r="66" spans="1:4" x14ac:dyDescent="0.45">
      <c r="A66" t="s">
        <v>199</v>
      </c>
      <c r="B66" s="11"/>
      <c r="C66" s="15">
        <f>g4infl!B66</f>
        <v>4.9293165498208902</v>
      </c>
      <c r="D66" s="11">
        <f t="shared" ref="D66:D79" si="1">$Y$34+C66*$Y$35</f>
        <v>3.087532354755381</v>
      </c>
    </row>
    <row r="67" spans="1:4" x14ac:dyDescent="0.45">
      <c r="A67" t="s">
        <v>200</v>
      </c>
      <c r="B67" s="11"/>
      <c r="C67" s="15">
        <f>g4infl!B67</f>
        <v>2.76803900581718</v>
      </c>
      <c r="D67" s="11">
        <f t="shared" si="1"/>
        <v>2.3308656540424191</v>
      </c>
    </row>
    <row r="68" spans="1:4" x14ac:dyDescent="0.45">
      <c r="A68" t="s">
        <v>201</v>
      </c>
      <c r="B68" s="11"/>
      <c r="C68" s="15">
        <f>g4infl!B68</f>
        <v>2.6214527047703902</v>
      </c>
      <c r="D68" s="11">
        <f t="shared" si="1"/>
        <v>2.2795455572364713</v>
      </c>
    </row>
    <row r="69" spans="1:4" x14ac:dyDescent="0.45">
      <c r="A69" t="s">
        <v>202</v>
      </c>
      <c r="B69" s="11"/>
      <c r="C69" s="15">
        <f>g4infl!B69</f>
        <v>3.4434765954186801</v>
      </c>
      <c r="D69" s="11">
        <f t="shared" si="1"/>
        <v>2.5673374268969678</v>
      </c>
    </row>
    <row r="70" spans="1:4" x14ac:dyDescent="0.45">
      <c r="A70" t="s">
        <v>203</v>
      </c>
      <c r="B70" s="11"/>
      <c r="C70" s="15">
        <f>g4infl!B70</f>
        <v>3.9723659908501299</v>
      </c>
      <c r="D70" s="11">
        <f t="shared" si="1"/>
        <v>2.7525024442236372</v>
      </c>
    </row>
    <row r="71" spans="1:4" x14ac:dyDescent="0.45">
      <c r="A71" t="s">
        <v>204</v>
      </c>
      <c r="B71" s="11"/>
      <c r="C71" s="15">
        <f>g4infl!B71</f>
        <v>4.1936629687008198</v>
      </c>
      <c r="D71" s="11">
        <f t="shared" si="1"/>
        <v>2.82997886763469</v>
      </c>
    </row>
    <row r="72" spans="1:4" x14ac:dyDescent="0.45">
      <c r="A72" t="s">
        <v>205</v>
      </c>
      <c r="B72" s="11"/>
      <c r="C72" s="15">
        <f>g4infl!B72</f>
        <v>4.3256198016031702</v>
      </c>
      <c r="D72" s="11">
        <f t="shared" si="1"/>
        <v>2.876177164408638</v>
      </c>
    </row>
    <row r="73" spans="1:4" x14ac:dyDescent="0.45">
      <c r="A73" t="s">
        <v>206</v>
      </c>
      <c r="B73" s="11"/>
      <c r="C73" s="15">
        <f>g4infl!B73</f>
        <v>4.1022250954398896</v>
      </c>
      <c r="D73" s="11">
        <f t="shared" si="1"/>
        <v>2.7979663229837195</v>
      </c>
    </row>
    <row r="74" spans="1:4" x14ac:dyDescent="0.45">
      <c r="A74" t="s">
        <v>207</v>
      </c>
      <c r="B74" s="11"/>
      <c r="C74" s="15">
        <f>g4infl!B74</f>
        <v>3.2495131686668102</v>
      </c>
      <c r="D74" s="11">
        <f t="shared" si="1"/>
        <v>2.4994305231369642</v>
      </c>
    </row>
    <row r="75" spans="1:4" x14ac:dyDescent="0.45">
      <c r="A75" t="s">
        <v>208</v>
      </c>
      <c r="B75" s="11"/>
      <c r="C75" s="15">
        <f>g4infl!B75</f>
        <v>3.7854892318230502</v>
      </c>
      <c r="D75" s="11">
        <f t="shared" si="1"/>
        <v>2.6870765940891816</v>
      </c>
    </row>
    <row r="76" spans="1:4" x14ac:dyDescent="0.45">
      <c r="A76" t="s">
        <v>209</v>
      </c>
      <c r="B76" s="11"/>
      <c r="C76" s="15">
        <f>g4infl!B76</f>
        <v>4.5550177276124701</v>
      </c>
      <c r="D76" s="11">
        <f t="shared" si="1"/>
        <v>2.9564897426360064</v>
      </c>
    </row>
    <row r="77" spans="1:4" x14ac:dyDescent="0.45">
      <c r="A77" t="s">
        <v>210</v>
      </c>
      <c r="B77" s="11"/>
      <c r="C77" s="15">
        <f>g4infl!B77</f>
        <v>5.0057059503019801</v>
      </c>
      <c r="D77" s="11">
        <f t="shared" si="1"/>
        <v>3.1142764051860317</v>
      </c>
    </row>
    <row r="78" spans="1:4" x14ac:dyDescent="0.45">
      <c r="A78" t="s">
        <v>211</v>
      </c>
      <c r="B78" s="11"/>
      <c r="C78" s="15">
        <f>g4infl!B78</f>
        <v>5.7406094968107704</v>
      </c>
      <c r="D78" s="11">
        <f t="shared" si="1"/>
        <v>3.3715673039981029</v>
      </c>
    </row>
    <row r="79" spans="1:4" x14ac:dyDescent="0.45">
      <c r="A79" t="s">
        <v>212</v>
      </c>
      <c r="B79" s="11"/>
      <c r="C79" s="15">
        <f>g4infl!B79</f>
        <v>5.8333333333333304</v>
      </c>
      <c r="D79" s="11">
        <f t="shared" si="1"/>
        <v>3.404030066429347</v>
      </c>
    </row>
    <row r="80" spans="1:4" x14ac:dyDescent="0.45">
      <c r="A80" t="s">
        <v>213</v>
      </c>
      <c r="C80" s="15">
        <f>g4infl!B80</f>
        <v>5.6396148555708301</v>
      </c>
      <c r="D80" s="11">
        <f>$Y$34+C80*$Y$35</f>
        <v>3.3362089196995508</v>
      </c>
    </row>
    <row r="81" spans="1:4" s="10" customFormat="1" x14ac:dyDescent="0.45">
      <c r="A81" s="10" t="s">
        <v>214</v>
      </c>
      <c r="B81" s="10">
        <v>4.4913049999999997</v>
      </c>
      <c r="C81" s="16">
        <f>g4infl!B81</f>
        <v>5.8265582655826602</v>
      </c>
      <c r="D81" s="10">
        <f>B81</f>
        <v>4.4913049999999997</v>
      </c>
    </row>
    <row r="82" spans="1:4" x14ac:dyDescent="0.45">
      <c r="A82" t="s">
        <v>215</v>
      </c>
      <c r="B82">
        <v>4.1166799999999997</v>
      </c>
      <c r="C82" s="17">
        <f>g4infl!B82</f>
        <v>6.1662198391420899</v>
      </c>
      <c r="D82">
        <f t="shared" ref="D82:D145" si="2">B82</f>
        <v>4.1166799999999997</v>
      </c>
    </row>
    <row r="83" spans="1:4" x14ac:dyDescent="0.45">
      <c r="A83" t="s">
        <v>216</v>
      </c>
      <c r="B83">
        <v>4.1436149999999996</v>
      </c>
      <c r="C83" s="15">
        <f>g4infl!B83</f>
        <v>8.0052493438320198</v>
      </c>
      <c r="D83">
        <f t="shared" si="2"/>
        <v>4.1436149999999996</v>
      </c>
    </row>
    <row r="84" spans="1:4" x14ac:dyDescent="0.45">
      <c r="A84" t="s">
        <v>217</v>
      </c>
      <c r="B84">
        <v>4.4085219999999996</v>
      </c>
      <c r="C84" s="15">
        <f>g4infl!B84</f>
        <v>8.7890625</v>
      </c>
      <c r="D84">
        <f t="shared" si="2"/>
        <v>4.4085219999999996</v>
      </c>
    </row>
    <row r="85" spans="1:4" x14ac:dyDescent="0.45">
      <c r="A85" t="s">
        <v>218</v>
      </c>
      <c r="B85">
        <v>4.9118940000000002</v>
      </c>
      <c r="C85" s="15">
        <f>g4infl!B85</f>
        <v>9.2189500640204791</v>
      </c>
      <c r="D85">
        <f t="shared" si="2"/>
        <v>4.9118940000000002</v>
      </c>
    </row>
    <row r="86" spans="1:4" x14ac:dyDescent="0.45">
      <c r="A86" t="s">
        <v>219</v>
      </c>
      <c r="B86">
        <v>3.6081180000000002</v>
      </c>
      <c r="C86" s="15">
        <f>g4infl!B86</f>
        <v>8.39646464646464</v>
      </c>
      <c r="D86">
        <f t="shared" si="2"/>
        <v>3.6081180000000002</v>
      </c>
    </row>
    <row r="87" spans="1:4" x14ac:dyDescent="0.45">
      <c r="A87" t="s">
        <v>220</v>
      </c>
      <c r="B87">
        <v>3.3600150000000002</v>
      </c>
      <c r="C87" s="15">
        <f>g4infl!B87</f>
        <v>7.7764277035236802</v>
      </c>
      <c r="D87">
        <f t="shared" si="2"/>
        <v>3.3600150000000002</v>
      </c>
    </row>
    <row r="88" spans="1:4" x14ac:dyDescent="0.45">
      <c r="A88" t="s">
        <v>221</v>
      </c>
      <c r="B88">
        <v>3.2114989999999999</v>
      </c>
      <c r="C88" s="15">
        <f>g4infl!B88</f>
        <v>7.3010173548773203</v>
      </c>
      <c r="D88">
        <f t="shared" si="2"/>
        <v>3.2114989999999999</v>
      </c>
    </row>
    <row r="89" spans="1:4" x14ac:dyDescent="0.45">
      <c r="A89" t="s">
        <v>222</v>
      </c>
      <c r="B89">
        <v>2.9987339999999998</v>
      </c>
      <c r="C89" s="15">
        <f>g4infl!B89</f>
        <v>6.4478311840562599</v>
      </c>
      <c r="D89">
        <f t="shared" si="2"/>
        <v>2.9987339999999998</v>
      </c>
    </row>
    <row r="90" spans="1:4" x14ac:dyDescent="0.45">
      <c r="A90" t="s">
        <v>223</v>
      </c>
      <c r="B90">
        <v>2.8447819999999999</v>
      </c>
      <c r="C90" s="15">
        <f>g4infl!B90</f>
        <v>6.23179965055329</v>
      </c>
      <c r="D90">
        <f t="shared" si="2"/>
        <v>2.8447819999999999</v>
      </c>
    </row>
    <row r="91" spans="1:4" x14ac:dyDescent="0.45">
      <c r="A91" t="s">
        <v>224</v>
      </c>
      <c r="B91">
        <v>2.7362980000000001</v>
      </c>
      <c r="C91" s="15">
        <f>g4infl!B91</f>
        <v>4.9605411499436398</v>
      </c>
      <c r="D91">
        <f t="shared" si="2"/>
        <v>2.7362980000000001</v>
      </c>
    </row>
    <row r="92" spans="1:4" x14ac:dyDescent="0.45">
      <c r="A92" t="s">
        <v>225</v>
      </c>
      <c r="B92">
        <v>2.5262509999999998</v>
      </c>
      <c r="C92" s="15">
        <f>g4infl!B92</f>
        <v>3.95984383714443</v>
      </c>
      <c r="D92">
        <f t="shared" si="2"/>
        <v>2.5262509999999998</v>
      </c>
    </row>
    <row r="93" spans="1:4" x14ac:dyDescent="0.45">
      <c r="A93" t="s">
        <v>226</v>
      </c>
      <c r="B93">
        <v>2.2811129999999999</v>
      </c>
      <c r="C93" s="15">
        <f>g4infl!B93</f>
        <v>3.3039647577092501</v>
      </c>
      <c r="D93">
        <f t="shared" si="2"/>
        <v>2.2811129999999999</v>
      </c>
    </row>
    <row r="94" spans="1:4" x14ac:dyDescent="0.45">
      <c r="A94" t="s">
        <v>227</v>
      </c>
      <c r="B94">
        <v>3.4035069999999998</v>
      </c>
      <c r="C94" s="15">
        <f>g4infl!B94</f>
        <v>3.125</v>
      </c>
      <c r="D94">
        <f t="shared" si="2"/>
        <v>3.4035069999999998</v>
      </c>
    </row>
    <row r="95" spans="1:4" x14ac:dyDescent="0.45">
      <c r="A95" t="s">
        <v>228</v>
      </c>
      <c r="B95">
        <v>3.1756679999999999</v>
      </c>
      <c r="C95" s="15">
        <f>g4infl!B95</f>
        <v>2.3630504833512198</v>
      </c>
      <c r="D95">
        <f t="shared" si="2"/>
        <v>3.1756679999999999</v>
      </c>
    </row>
    <row r="96" spans="1:4" x14ac:dyDescent="0.45">
      <c r="A96" t="s">
        <v>229</v>
      </c>
      <c r="B96">
        <v>2.842063</v>
      </c>
      <c r="C96" s="15">
        <f>g4infl!B96</f>
        <v>2.52145922746781</v>
      </c>
      <c r="D96">
        <f t="shared" si="2"/>
        <v>2.842063</v>
      </c>
    </row>
    <row r="97" spans="1:4" x14ac:dyDescent="0.45">
      <c r="A97" t="s">
        <v>230</v>
      </c>
      <c r="B97">
        <v>2.5897589999999999</v>
      </c>
      <c r="C97" s="15">
        <f>g4infl!B97</f>
        <v>2.23880597014925</v>
      </c>
      <c r="D97">
        <f t="shared" si="2"/>
        <v>2.5897589999999999</v>
      </c>
    </row>
    <row r="98" spans="1:4" x14ac:dyDescent="0.45">
      <c r="A98" t="s">
        <v>231</v>
      </c>
      <c r="B98">
        <v>2.7313559999999999</v>
      </c>
      <c r="C98" s="15">
        <f>g4infl!B98</f>
        <v>2.3923444976076498</v>
      </c>
      <c r="D98">
        <f t="shared" si="2"/>
        <v>2.7313559999999999</v>
      </c>
    </row>
    <row r="99" spans="1:4" x14ac:dyDescent="0.45">
      <c r="A99" t="s">
        <v>232</v>
      </c>
      <c r="B99">
        <v>2.643383</v>
      </c>
      <c r="C99" s="15">
        <f>g4infl!B99</f>
        <v>2.3609653725078701</v>
      </c>
      <c r="D99">
        <f t="shared" si="2"/>
        <v>2.643383</v>
      </c>
    </row>
    <row r="100" spans="1:4" x14ac:dyDescent="0.45">
      <c r="A100" t="s">
        <v>233</v>
      </c>
      <c r="B100">
        <v>2.6913239999999998</v>
      </c>
      <c r="C100" s="15">
        <f>g4infl!B100</f>
        <v>2.0408163265306101</v>
      </c>
      <c r="D100">
        <f t="shared" si="2"/>
        <v>2.6913239999999998</v>
      </c>
    </row>
    <row r="101" spans="1:4" x14ac:dyDescent="0.45">
      <c r="A101" t="s">
        <v>234</v>
      </c>
      <c r="B101">
        <v>2.5497269999999999</v>
      </c>
      <c r="C101" s="15">
        <f>g4infl!B101</f>
        <v>2.0855057351407802</v>
      </c>
      <c r="D101">
        <f t="shared" si="2"/>
        <v>2.5497269999999999</v>
      </c>
    </row>
    <row r="102" spans="1:4" x14ac:dyDescent="0.45">
      <c r="A102" t="s">
        <v>235</v>
      </c>
      <c r="B102">
        <v>2.5746850000000001</v>
      </c>
      <c r="C102" s="15">
        <f>g4infl!B102</f>
        <v>2.38836967808929</v>
      </c>
      <c r="D102">
        <f t="shared" si="2"/>
        <v>2.5746850000000001</v>
      </c>
    </row>
    <row r="103" spans="1:4" x14ac:dyDescent="0.45">
      <c r="A103" t="s">
        <v>236</v>
      </c>
      <c r="B103">
        <v>2.5843229999999999</v>
      </c>
      <c r="C103" s="15">
        <f>g4infl!B103</f>
        <v>2.4602767811378699</v>
      </c>
      <c r="D103">
        <f t="shared" si="2"/>
        <v>2.5843229999999999</v>
      </c>
    </row>
    <row r="104" spans="1:4" x14ac:dyDescent="0.45">
      <c r="A104" t="s">
        <v>237</v>
      </c>
      <c r="B104">
        <v>2.5578820000000002</v>
      </c>
      <c r="C104" s="15">
        <f>g4infl!B104</f>
        <v>2.9230769230769198</v>
      </c>
      <c r="D104">
        <f t="shared" si="2"/>
        <v>2.5578820000000002</v>
      </c>
    </row>
    <row r="105" spans="1:4" x14ac:dyDescent="0.45">
      <c r="A105" t="s">
        <v>238</v>
      </c>
      <c r="B105">
        <v>2.0794679999999999</v>
      </c>
      <c r="C105" s="15">
        <f>g4infl!B105</f>
        <v>3.0132788559754702</v>
      </c>
      <c r="D105">
        <f t="shared" si="2"/>
        <v>2.0794679999999999</v>
      </c>
    </row>
    <row r="106" spans="1:4" x14ac:dyDescent="0.45">
      <c r="A106" t="s">
        <v>239</v>
      </c>
      <c r="B106">
        <v>2.2984110000000002</v>
      </c>
      <c r="C106" s="15">
        <f>g4infl!B106</f>
        <v>2.9411764705882399</v>
      </c>
      <c r="D106">
        <f t="shared" si="2"/>
        <v>2.2984110000000002</v>
      </c>
    </row>
    <row r="107" spans="1:4" x14ac:dyDescent="0.45">
      <c r="A107" t="s">
        <v>240</v>
      </c>
      <c r="B107">
        <v>2.2732060000000001</v>
      </c>
      <c r="C107" s="15">
        <f>g4infl!B107</f>
        <v>2.85142571285642</v>
      </c>
      <c r="D107">
        <f t="shared" si="2"/>
        <v>2.2732060000000001</v>
      </c>
    </row>
    <row r="108" spans="1:4" x14ac:dyDescent="0.45">
      <c r="A108" t="s">
        <v>241</v>
      </c>
      <c r="B108">
        <v>2.194623</v>
      </c>
      <c r="C108" s="15">
        <f>g4infl!B108</f>
        <v>2.6407573492775298</v>
      </c>
      <c r="D108">
        <f t="shared" si="2"/>
        <v>2.194623</v>
      </c>
    </row>
    <row r="109" spans="1:4" x14ac:dyDescent="0.45">
      <c r="A109" t="s">
        <v>242</v>
      </c>
      <c r="B109">
        <v>2.2210649999999998</v>
      </c>
      <c r="C109" s="15">
        <f>g4infl!B109</f>
        <v>2.97471492315319</v>
      </c>
      <c r="D109">
        <f t="shared" si="2"/>
        <v>2.2210649999999998</v>
      </c>
    </row>
    <row r="110" spans="1:4" x14ac:dyDescent="0.45">
      <c r="A110" t="s">
        <v>243</v>
      </c>
      <c r="B110">
        <v>2.5981610000000002</v>
      </c>
      <c r="C110" s="15">
        <f>g4infl!B110</f>
        <v>2.41379310344827</v>
      </c>
      <c r="D110">
        <f t="shared" si="2"/>
        <v>2.5981610000000002</v>
      </c>
    </row>
    <row r="111" spans="1:4" x14ac:dyDescent="0.45">
      <c r="A111" t="s">
        <v>244</v>
      </c>
      <c r="B111">
        <v>2.2732060000000001</v>
      </c>
      <c r="C111" s="15">
        <f>g4infl!B111</f>
        <v>2.0428015564202302</v>
      </c>
      <c r="D111">
        <f t="shared" si="2"/>
        <v>2.2732060000000001</v>
      </c>
    </row>
    <row r="112" spans="1:4" x14ac:dyDescent="0.45">
      <c r="A112" t="s">
        <v>245</v>
      </c>
      <c r="B112">
        <v>2.1395170000000001</v>
      </c>
      <c r="C112" s="15">
        <f>g4infl!B112</f>
        <v>2.3300970873786402</v>
      </c>
      <c r="D112">
        <f t="shared" si="2"/>
        <v>2.1395170000000001</v>
      </c>
    </row>
    <row r="113" spans="1:4" x14ac:dyDescent="0.45">
      <c r="A113" t="s">
        <v>246</v>
      </c>
      <c r="B113">
        <v>2.1172770000000001</v>
      </c>
      <c r="C113" s="15">
        <f>g4infl!B113</f>
        <v>2.0221473278767399</v>
      </c>
      <c r="D113">
        <f t="shared" si="2"/>
        <v>2.1172770000000001</v>
      </c>
    </row>
    <row r="114" spans="1:4" x14ac:dyDescent="0.45">
      <c r="A114" t="s">
        <v>247</v>
      </c>
      <c r="B114">
        <v>2.0599460000000001</v>
      </c>
      <c r="C114" s="15">
        <f>g4infl!B114</f>
        <v>1.87590187590187</v>
      </c>
      <c r="D114">
        <f t="shared" si="2"/>
        <v>2.0599460000000001</v>
      </c>
    </row>
    <row r="115" spans="1:4" x14ac:dyDescent="0.45">
      <c r="A115" t="s">
        <v>248</v>
      </c>
      <c r="B115">
        <v>2.0176889999999998</v>
      </c>
      <c r="C115" s="15">
        <f>g4infl!B115</f>
        <v>2.0495710200190702</v>
      </c>
      <c r="D115">
        <f t="shared" si="2"/>
        <v>2.0176889999999998</v>
      </c>
    </row>
    <row r="116" spans="1:4" x14ac:dyDescent="0.45">
      <c r="A116" t="s">
        <v>249</v>
      </c>
      <c r="B116">
        <v>1.962583</v>
      </c>
      <c r="C116" s="15">
        <f>g4infl!B116</f>
        <v>1.6603415559772201</v>
      </c>
      <c r="D116">
        <f t="shared" si="2"/>
        <v>1.962583</v>
      </c>
    </row>
    <row r="117" spans="1:4" x14ac:dyDescent="0.45">
      <c r="A117" t="s">
        <v>250</v>
      </c>
      <c r="B117">
        <v>1.7629140000000001</v>
      </c>
      <c r="C117" s="15">
        <f>g4infl!B117</f>
        <v>1.6989145823501599</v>
      </c>
      <c r="D117">
        <f t="shared" si="2"/>
        <v>1.7629140000000001</v>
      </c>
    </row>
    <row r="118" spans="1:4" x14ac:dyDescent="0.45">
      <c r="A118" t="s">
        <v>251</v>
      </c>
      <c r="B118">
        <v>1.6420760000000001</v>
      </c>
      <c r="C118" s="15">
        <f>g4infl!B118</f>
        <v>1.9830028328611899</v>
      </c>
      <c r="D118">
        <f t="shared" si="2"/>
        <v>1.6420760000000001</v>
      </c>
    </row>
    <row r="119" spans="1:4" x14ac:dyDescent="0.45">
      <c r="A119" t="s">
        <v>252</v>
      </c>
      <c r="B119">
        <v>1.7053370000000001</v>
      </c>
      <c r="C119" s="15">
        <f>g4infl!B119</f>
        <v>1.86828584773469</v>
      </c>
      <c r="D119">
        <f t="shared" si="2"/>
        <v>1.7053370000000001</v>
      </c>
    </row>
    <row r="120" spans="1:4" x14ac:dyDescent="0.45">
      <c r="A120" t="s">
        <v>253</v>
      </c>
      <c r="B120">
        <v>1.70163</v>
      </c>
      <c r="C120" s="15">
        <f>g4infl!B120</f>
        <v>1.6332244517032199</v>
      </c>
      <c r="D120">
        <f t="shared" si="2"/>
        <v>1.70163</v>
      </c>
    </row>
    <row r="121" spans="1:4" x14ac:dyDescent="0.45">
      <c r="A121" t="s">
        <v>254</v>
      </c>
      <c r="B121">
        <v>1.6541840000000001</v>
      </c>
      <c r="C121" s="15">
        <f>g4infl!B121</f>
        <v>1.53132250580046</v>
      </c>
      <c r="D121">
        <f t="shared" si="2"/>
        <v>1.6541840000000001</v>
      </c>
    </row>
    <row r="122" spans="1:4" x14ac:dyDescent="0.45">
      <c r="A122" t="s">
        <v>255</v>
      </c>
      <c r="B122">
        <v>1.751547</v>
      </c>
      <c r="C122" s="15">
        <f>g4infl!B122</f>
        <v>1.1111111111111101</v>
      </c>
      <c r="D122">
        <f t="shared" si="2"/>
        <v>1.751547</v>
      </c>
    </row>
    <row r="123" spans="1:4" x14ac:dyDescent="0.45">
      <c r="A123" t="s">
        <v>256</v>
      </c>
      <c r="B123">
        <v>1.7280709999999999</v>
      </c>
      <c r="C123" s="15">
        <f>g4infl!B123</f>
        <v>1.0545621274644701</v>
      </c>
      <c r="D123">
        <f t="shared" si="2"/>
        <v>1.7280709999999999</v>
      </c>
    </row>
    <row r="124" spans="1:4" x14ac:dyDescent="0.45">
      <c r="A124" t="s">
        <v>257</v>
      </c>
      <c r="B124">
        <v>1.7557480000000001</v>
      </c>
      <c r="C124" s="15">
        <f>g4infl!B124</f>
        <v>1.19375573921028</v>
      </c>
      <c r="D124">
        <f t="shared" si="2"/>
        <v>1.7557480000000001</v>
      </c>
    </row>
    <row r="125" spans="1:4" x14ac:dyDescent="0.45">
      <c r="A125" t="s">
        <v>258</v>
      </c>
      <c r="B125">
        <v>1.6947110000000001</v>
      </c>
      <c r="C125" s="15">
        <f>g4infl!B125</f>
        <v>1.3711151736745799</v>
      </c>
      <c r="D125">
        <f t="shared" si="2"/>
        <v>1.6947110000000001</v>
      </c>
    </row>
    <row r="126" spans="1:4" x14ac:dyDescent="0.45">
      <c r="A126" t="s">
        <v>259</v>
      </c>
      <c r="B126">
        <v>1.72906</v>
      </c>
      <c r="C126" s="15">
        <f>g4infl!B126</f>
        <v>1.2362637362637301</v>
      </c>
      <c r="D126">
        <f t="shared" si="2"/>
        <v>1.72906</v>
      </c>
    </row>
    <row r="127" spans="1:4" x14ac:dyDescent="0.45">
      <c r="A127" t="s">
        <v>260</v>
      </c>
      <c r="B127">
        <v>1.6791430000000001</v>
      </c>
      <c r="C127" s="15">
        <f>g4infl!B127</f>
        <v>1.7695099818511799</v>
      </c>
      <c r="D127">
        <f t="shared" si="2"/>
        <v>1.6791430000000001</v>
      </c>
    </row>
    <row r="128" spans="1:4" x14ac:dyDescent="0.45">
      <c r="A128" t="s">
        <v>261</v>
      </c>
      <c r="B128">
        <v>1.7508060000000001</v>
      </c>
      <c r="C128" s="15">
        <f>g4infl!B128</f>
        <v>1.7695099818511799</v>
      </c>
      <c r="D128">
        <f t="shared" si="2"/>
        <v>1.7508060000000001</v>
      </c>
    </row>
    <row r="129" spans="1:4" x14ac:dyDescent="0.45">
      <c r="A129" t="s">
        <v>262</v>
      </c>
      <c r="B129">
        <v>1.701136</v>
      </c>
      <c r="C129" s="15">
        <f>g4infl!B129</f>
        <v>1.3525698827772701</v>
      </c>
      <c r="D129">
        <f t="shared" si="2"/>
        <v>1.701136</v>
      </c>
    </row>
    <row r="130" spans="1:4" x14ac:dyDescent="0.45">
      <c r="A130" t="s">
        <v>263</v>
      </c>
      <c r="B130">
        <v>1.6964410000000001</v>
      </c>
      <c r="C130" s="15">
        <f>g4infl!B130</f>
        <v>1.76390773405698</v>
      </c>
      <c r="D130">
        <f t="shared" si="2"/>
        <v>1.6964410000000001</v>
      </c>
    </row>
    <row r="131" spans="1:4" x14ac:dyDescent="0.45">
      <c r="A131" t="s">
        <v>264</v>
      </c>
      <c r="B131">
        <v>1.742157</v>
      </c>
      <c r="C131" s="15">
        <f>g4infl!B131</f>
        <v>1.29291127953632</v>
      </c>
      <c r="D131">
        <f t="shared" si="2"/>
        <v>1.742157</v>
      </c>
    </row>
    <row r="132" spans="1:4" x14ac:dyDescent="0.45">
      <c r="A132" t="s">
        <v>265</v>
      </c>
      <c r="B132">
        <v>1.70682</v>
      </c>
      <c r="C132" s="15">
        <f>g4infl!B132</f>
        <v>1.38207757467676</v>
      </c>
      <c r="D132">
        <f t="shared" si="2"/>
        <v>1.70682</v>
      </c>
    </row>
    <row r="133" spans="1:4" x14ac:dyDescent="0.45">
      <c r="A133" t="s">
        <v>266</v>
      </c>
      <c r="B133">
        <v>1.7258469999999999</v>
      </c>
      <c r="C133" s="15">
        <f>g4infl!B133</f>
        <v>1.64590747330961</v>
      </c>
      <c r="D133">
        <f t="shared" si="2"/>
        <v>1.7258469999999999</v>
      </c>
    </row>
    <row r="134" spans="1:4" x14ac:dyDescent="0.45">
      <c r="A134" t="s">
        <v>267</v>
      </c>
      <c r="B134">
        <v>1.721646</v>
      </c>
      <c r="C134" s="15">
        <f>g4infl!B134</f>
        <v>1.5111111111111</v>
      </c>
      <c r="D134">
        <f t="shared" si="2"/>
        <v>1.721646</v>
      </c>
    </row>
    <row r="135" spans="1:4" x14ac:dyDescent="0.45">
      <c r="A135" t="s">
        <v>268</v>
      </c>
      <c r="B135">
        <v>1.7431449999999999</v>
      </c>
      <c r="C135" s="15">
        <f>g4infl!B135</f>
        <v>1.36443661971831</v>
      </c>
      <c r="D135">
        <f t="shared" si="2"/>
        <v>1.7431449999999999</v>
      </c>
    </row>
    <row r="136" spans="1:4" x14ac:dyDescent="0.45">
      <c r="A136" t="s">
        <v>269</v>
      </c>
      <c r="B136">
        <v>1.728566</v>
      </c>
      <c r="C136" s="15">
        <f>g4infl!B136</f>
        <v>1.3192612137203099</v>
      </c>
      <c r="D136">
        <f t="shared" si="2"/>
        <v>1.728566</v>
      </c>
    </row>
    <row r="137" spans="1:4" x14ac:dyDescent="0.45">
      <c r="A137" t="s">
        <v>270</v>
      </c>
      <c r="B137">
        <v>1.8296349999999999</v>
      </c>
      <c r="C137" s="15">
        <f>g4infl!B137</f>
        <v>1.31291028446389</v>
      </c>
      <c r="D137">
        <f t="shared" si="2"/>
        <v>1.8296349999999999</v>
      </c>
    </row>
    <row r="138" spans="1:4" x14ac:dyDescent="0.45">
      <c r="A138" t="s">
        <v>271</v>
      </c>
      <c r="B138">
        <v>1.760667</v>
      </c>
      <c r="C138" s="15">
        <f>g4infl!B138</f>
        <v>1.3572679509632299</v>
      </c>
      <c r="D138">
        <f t="shared" si="2"/>
        <v>1.760667</v>
      </c>
    </row>
    <row r="139" spans="1:4" x14ac:dyDescent="0.45">
      <c r="A139" t="s">
        <v>272</v>
      </c>
      <c r="B139">
        <v>1.7669999999999999</v>
      </c>
      <c r="C139" s="15">
        <f>g4infl!B139</f>
        <v>1.3460703430308201</v>
      </c>
      <c r="D139">
        <f t="shared" si="2"/>
        <v>1.7669999999999999</v>
      </c>
    </row>
    <row r="140" spans="1:4" x14ac:dyDescent="0.45">
      <c r="A140" t="s">
        <v>273</v>
      </c>
      <c r="B140">
        <v>1.8033330000000001</v>
      </c>
      <c r="C140" s="15">
        <f>g4infl!B140</f>
        <v>1.3454861111111001</v>
      </c>
      <c r="D140">
        <f t="shared" si="2"/>
        <v>1.8033330000000001</v>
      </c>
    </row>
    <row r="141" spans="1:4" x14ac:dyDescent="0.45">
      <c r="A141" t="s">
        <v>274</v>
      </c>
      <c r="B141">
        <v>1.705667</v>
      </c>
      <c r="C141" s="15">
        <f>g4infl!B141</f>
        <v>1.5118790496760099</v>
      </c>
      <c r="D141">
        <f t="shared" si="2"/>
        <v>1.705667</v>
      </c>
    </row>
    <row r="142" spans="1:4" x14ac:dyDescent="0.45">
      <c r="A142" t="s">
        <v>275</v>
      </c>
      <c r="B142">
        <v>1.8356669999999999</v>
      </c>
      <c r="C142" s="15">
        <f>g4infl!B142</f>
        <v>1.7710583153347601</v>
      </c>
      <c r="D142">
        <f t="shared" si="2"/>
        <v>1.8356669999999999</v>
      </c>
    </row>
    <row r="143" spans="1:4" x14ac:dyDescent="0.45">
      <c r="A143" t="s">
        <v>276</v>
      </c>
      <c r="B143">
        <v>1.864333</v>
      </c>
      <c r="C143" s="15">
        <f>g4infl!B143</f>
        <v>1.9280205655526901</v>
      </c>
      <c r="D143">
        <f t="shared" si="2"/>
        <v>1.864333</v>
      </c>
    </row>
    <row r="144" spans="1:4" x14ac:dyDescent="0.45">
      <c r="A144" t="s">
        <v>277</v>
      </c>
      <c r="B144">
        <v>1.9430000000000001</v>
      </c>
      <c r="C144" s="15">
        <f>g4infl!B144</f>
        <v>2.3982869379015002</v>
      </c>
      <c r="D144">
        <f t="shared" si="2"/>
        <v>1.9430000000000001</v>
      </c>
    </row>
    <row r="145" spans="1:4" x14ac:dyDescent="0.45">
      <c r="A145" t="s">
        <v>278</v>
      </c>
      <c r="B145">
        <v>2.0186670000000002</v>
      </c>
      <c r="C145" s="15">
        <f>g4infl!B145</f>
        <v>2.2553191489361701</v>
      </c>
      <c r="D145">
        <f t="shared" si="2"/>
        <v>2.0186670000000002</v>
      </c>
    </row>
    <row r="146" spans="1:4" x14ac:dyDescent="0.45">
      <c r="A146" t="s">
        <v>279</v>
      </c>
      <c r="B146">
        <v>1.948</v>
      </c>
      <c r="C146" s="15">
        <f>g4infl!B146</f>
        <v>2.1222410865874402</v>
      </c>
      <c r="D146">
        <f t="shared" ref="D146:D209" si="3">B146</f>
        <v>1.948</v>
      </c>
    </row>
    <row r="147" spans="1:4" x14ac:dyDescent="0.45">
      <c r="A147" t="s">
        <v>280</v>
      </c>
      <c r="B147">
        <v>1.959667</v>
      </c>
      <c r="C147" s="15">
        <f>g4infl!B147</f>
        <v>2.43799915931063</v>
      </c>
      <c r="D147">
        <f t="shared" si="3"/>
        <v>1.959667</v>
      </c>
    </row>
    <row r="148" spans="1:4" x14ac:dyDescent="0.45">
      <c r="A148" t="s">
        <v>281</v>
      </c>
      <c r="B148">
        <v>2.093</v>
      </c>
      <c r="C148" s="15">
        <f>g4infl!B148</f>
        <v>2.5512337933918801</v>
      </c>
      <c r="D148">
        <f t="shared" si="3"/>
        <v>2.093</v>
      </c>
    </row>
    <row r="149" spans="1:4" x14ac:dyDescent="0.45">
      <c r="A149" t="s">
        <v>282</v>
      </c>
      <c r="B149">
        <v>2.1903329999999999</v>
      </c>
      <c r="C149" s="15">
        <f>g4infl!B149</f>
        <v>2.7049521431543901</v>
      </c>
      <c r="D149">
        <f t="shared" si="3"/>
        <v>2.1903329999999999</v>
      </c>
    </row>
    <row r="150" spans="1:4" x14ac:dyDescent="0.45">
      <c r="A150" t="s">
        <v>283</v>
      </c>
      <c r="B150">
        <v>1.949333</v>
      </c>
      <c r="C150" s="15">
        <f>g4infl!B150</f>
        <v>2.7847049044056398</v>
      </c>
      <c r="D150">
        <f t="shared" si="3"/>
        <v>1.949333</v>
      </c>
    </row>
    <row r="151" spans="1:4" x14ac:dyDescent="0.45">
      <c r="A151" t="s">
        <v>284</v>
      </c>
      <c r="B151">
        <v>1.9410000000000001</v>
      </c>
      <c r="C151" s="15">
        <f>g4infl!B151</f>
        <v>2.5441116126384902</v>
      </c>
      <c r="D151">
        <f t="shared" si="3"/>
        <v>1.9410000000000001</v>
      </c>
    </row>
    <row r="152" spans="1:4" x14ac:dyDescent="0.45">
      <c r="A152" t="s">
        <v>285</v>
      </c>
      <c r="B152">
        <v>1.9903329999999999</v>
      </c>
      <c r="C152" s="15">
        <f>g4infl!B152</f>
        <v>1.9575856443719399</v>
      </c>
      <c r="D152">
        <f t="shared" si="3"/>
        <v>1.9903329999999999</v>
      </c>
    </row>
    <row r="153" spans="1:4" x14ac:dyDescent="0.45">
      <c r="A153" t="s">
        <v>286</v>
      </c>
      <c r="B153">
        <v>2.0396670000000001</v>
      </c>
      <c r="C153" s="15">
        <f>g4infl!B153</f>
        <v>2.2690437601296498</v>
      </c>
      <c r="D153">
        <f t="shared" si="3"/>
        <v>2.0396670000000001</v>
      </c>
    </row>
    <row r="154" spans="1:4" x14ac:dyDescent="0.45">
      <c r="A154" t="s">
        <v>287</v>
      </c>
      <c r="B154">
        <v>1.9896670000000001</v>
      </c>
      <c r="C154" s="15">
        <f>g4infl!B154</f>
        <v>2.5475131419328698</v>
      </c>
      <c r="D154">
        <f t="shared" si="3"/>
        <v>1.9896670000000001</v>
      </c>
    </row>
    <row r="155" spans="1:4" x14ac:dyDescent="0.45">
      <c r="A155" t="s">
        <v>288</v>
      </c>
      <c r="B155">
        <v>2.197333</v>
      </c>
      <c r="C155" s="15">
        <f>g4infl!B155</f>
        <v>3.3613445378151199</v>
      </c>
      <c r="D155">
        <f t="shared" si="3"/>
        <v>2.197333</v>
      </c>
    </row>
    <row r="156" spans="1:4" x14ac:dyDescent="0.45">
      <c r="A156" t="s">
        <v>289</v>
      </c>
      <c r="B156">
        <v>2.862333</v>
      </c>
      <c r="C156" s="15">
        <f>g4infl!B156</f>
        <v>4.4800000000000004</v>
      </c>
      <c r="D156">
        <f t="shared" si="3"/>
        <v>2.862333</v>
      </c>
    </row>
    <row r="157" spans="1:4" x14ac:dyDescent="0.45">
      <c r="A157" t="s">
        <v>290</v>
      </c>
      <c r="B157">
        <v>2.2003330000000001</v>
      </c>
      <c r="C157" s="15">
        <f>g4infl!B157</f>
        <v>3.6846275752773301</v>
      </c>
      <c r="D157">
        <f t="shared" si="3"/>
        <v>2.2003330000000001</v>
      </c>
    </row>
    <row r="158" spans="1:4" x14ac:dyDescent="0.45">
      <c r="A158" t="s">
        <v>291</v>
      </c>
      <c r="B158">
        <v>1.8433330000000001</v>
      </c>
      <c r="C158" s="15">
        <f>g4infl!B158</f>
        <v>2.9574132492113501</v>
      </c>
      <c r="D158">
        <f t="shared" si="3"/>
        <v>1.8433330000000001</v>
      </c>
    </row>
    <row r="159" spans="1:4" x14ac:dyDescent="0.45">
      <c r="A159" t="s">
        <v>292</v>
      </c>
      <c r="B159">
        <v>1.7263329999999999</v>
      </c>
      <c r="C159" s="15">
        <f>g4infl!B159</f>
        <v>2.01316298877274</v>
      </c>
      <c r="D159">
        <f t="shared" si="3"/>
        <v>1.7263329999999999</v>
      </c>
    </row>
    <row r="160" spans="1:4" x14ac:dyDescent="0.45">
      <c r="A160" t="s">
        <v>293</v>
      </c>
      <c r="B160">
        <v>1.7556670000000001</v>
      </c>
      <c r="C160" s="15">
        <f>g4infl!B160</f>
        <v>1.30168453292495</v>
      </c>
      <c r="D160">
        <f t="shared" si="3"/>
        <v>1.7556670000000001</v>
      </c>
    </row>
    <row r="161" spans="1:4" x14ac:dyDescent="0.45">
      <c r="A161" t="s">
        <v>294</v>
      </c>
      <c r="B161">
        <v>2.093</v>
      </c>
      <c r="C161" s="15">
        <f>g4infl!B161</f>
        <v>1.6048910966755801</v>
      </c>
      <c r="D161">
        <f t="shared" si="3"/>
        <v>2.093</v>
      </c>
    </row>
    <row r="162" spans="1:4" x14ac:dyDescent="0.45">
      <c r="A162" t="s">
        <v>295</v>
      </c>
      <c r="B162">
        <v>1.7126669999999999</v>
      </c>
      <c r="C162" s="15">
        <f>g4infl!B162</f>
        <v>2.3362696284948301</v>
      </c>
      <c r="D162">
        <f t="shared" si="3"/>
        <v>1.7126669999999999</v>
      </c>
    </row>
    <row r="163" spans="1:4" x14ac:dyDescent="0.45">
      <c r="A163" t="s">
        <v>296</v>
      </c>
      <c r="B163">
        <v>1.825</v>
      </c>
      <c r="C163" s="15">
        <f>g4infl!B163</f>
        <v>2.5426944971537</v>
      </c>
      <c r="D163">
        <f t="shared" si="3"/>
        <v>1.825</v>
      </c>
    </row>
    <row r="164" spans="1:4" x14ac:dyDescent="0.45">
      <c r="A164" t="s">
        <v>297</v>
      </c>
      <c r="B164">
        <v>2.4863330000000001</v>
      </c>
      <c r="C164" s="15">
        <f>g4infl!B164</f>
        <v>2.34315948601663</v>
      </c>
      <c r="D164">
        <f t="shared" si="3"/>
        <v>2.4863330000000001</v>
      </c>
    </row>
    <row r="165" spans="1:4" x14ac:dyDescent="0.45">
      <c r="A165" t="s">
        <v>298</v>
      </c>
      <c r="B165">
        <v>2.7723330000000002</v>
      </c>
      <c r="C165" s="15">
        <f>g4infl!B165</f>
        <v>2.7453930048890598</v>
      </c>
      <c r="D165">
        <f t="shared" si="3"/>
        <v>2.7723330000000002</v>
      </c>
    </row>
    <row r="166" spans="1:4" x14ac:dyDescent="0.45">
      <c r="A166" t="s">
        <v>299</v>
      </c>
      <c r="B166">
        <v>2.0306670000000002</v>
      </c>
      <c r="C166" s="15">
        <f>g4infl!B166</f>
        <v>3.5553892215568701</v>
      </c>
      <c r="D166">
        <f t="shared" si="3"/>
        <v>2.0306670000000002</v>
      </c>
    </row>
    <row r="167" spans="1:4" x14ac:dyDescent="0.45">
      <c r="A167" t="s">
        <v>300</v>
      </c>
      <c r="B167">
        <v>2.3156669999999999</v>
      </c>
      <c r="C167" s="15">
        <f>g4infl!B167</f>
        <v>3.7379718726868898</v>
      </c>
      <c r="D167">
        <f t="shared" si="3"/>
        <v>2.3156669999999999</v>
      </c>
    </row>
    <row r="168" spans="1:4" x14ac:dyDescent="0.45">
      <c r="A168" t="s">
        <v>301</v>
      </c>
      <c r="B168">
        <v>2.6476670000000002</v>
      </c>
      <c r="C168" s="15">
        <f>g4infl!B168</f>
        <v>4.0989660265878802</v>
      </c>
      <c r="D168">
        <f t="shared" si="3"/>
        <v>2.6476670000000002</v>
      </c>
    </row>
    <row r="169" spans="1:4" x14ac:dyDescent="0.45">
      <c r="A169" t="s">
        <v>302</v>
      </c>
      <c r="B169">
        <v>2.7280000000000002</v>
      </c>
      <c r="C169" s="15">
        <f>g4infl!B169</f>
        <v>4.0263543191800801</v>
      </c>
      <c r="D169">
        <f t="shared" si="3"/>
        <v>2.7280000000000002</v>
      </c>
    </row>
    <row r="170" spans="1:4" x14ac:dyDescent="0.45">
      <c r="A170" t="s">
        <v>303</v>
      </c>
      <c r="B170">
        <v>2.0356670000000001</v>
      </c>
      <c r="C170" s="15">
        <f>g4infl!B170</f>
        <v>3.1080592699674701</v>
      </c>
      <c r="D170">
        <f t="shared" si="3"/>
        <v>2.0356670000000001</v>
      </c>
    </row>
    <row r="171" spans="1:4" x14ac:dyDescent="0.45">
      <c r="A171" t="s">
        <v>304</v>
      </c>
      <c r="B171">
        <v>2.0663330000000002</v>
      </c>
      <c r="C171" s="15">
        <f>g4infl!B171</f>
        <v>2.5330003567606099</v>
      </c>
      <c r="D171">
        <f t="shared" si="3"/>
        <v>2.0663330000000002</v>
      </c>
    </row>
    <row r="172" spans="1:4" x14ac:dyDescent="0.45">
      <c r="A172" t="s">
        <v>305</v>
      </c>
      <c r="B172">
        <v>1.9996670000000001</v>
      </c>
      <c r="C172" s="15">
        <f>g4infl!B172</f>
        <v>2.23483504788932</v>
      </c>
      <c r="D172">
        <f t="shared" si="3"/>
        <v>1.9996670000000001</v>
      </c>
    </row>
    <row r="173" spans="1:4" x14ac:dyDescent="0.45">
      <c r="A173" t="s">
        <v>306</v>
      </c>
      <c r="B173">
        <v>2.3460000000000001</v>
      </c>
      <c r="C173" s="15">
        <f>g4infl!B173</f>
        <v>2.4278676988036501</v>
      </c>
      <c r="D173">
        <f t="shared" si="3"/>
        <v>2.3460000000000001</v>
      </c>
    </row>
    <row r="174" spans="1:4" x14ac:dyDescent="0.45">
      <c r="A174" t="s">
        <v>307</v>
      </c>
      <c r="B174">
        <v>2.3753329999999999</v>
      </c>
      <c r="C174" s="15">
        <f>g4infl!B174</f>
        <v>2.4535576586049701</v>
      </c>
      <c r="D174">
        <f t="shared" si="3"/>
        <v>2.3753329999999999</v>
      </c>
    </row>
    <row r="175" spans="1:4" x14ac:dyDescent="0.45">
      <c r="A175" t="s">
        <v>308</v>
      </c>
      <c r="B175">
        <v>2.515333</v>
      </c>
      <c r="C175" s="15">
        <f>g4infl!B175</f>
        <v>2.3660403618650001</v>
      </c>
      <c r="D175">
        <f t="shared" si="3"/>
        <v>2.515333</v>
      </c>
    </row>
    <row r="176" spans="1:4" x14ac:dyDescent="0.45">
      <c r="A176" t="s">
        <v>309</v>
      </c>
      <c r="B176">
        <v>2.46</v>
      </c>
      <c r="C176" s="15">
        <f>g4infl!B176</f>
        <v>2.3941707147814002</v>
      </c>
      <c r="D176">
        <f t="shared" si="3"/>
        <v>2.46</v>
      </c>
    </row>
    <row r="177" spans="1:4" x14ac:dyDescent="0.45">
      <c r="A177" t="s">
        <v>310</v>
      </c>
      <c r="B177">
        <v>2.4729999999999999</v>
      </c>
      <c r="C177" s="15">
        <f>g4infl!B177</f>
        <v>1.95809000343524</v>
      </c>
      <c r="D177">
        <f t="shared" si="3"/>
        <v>2.4729999999999999</v>
      </c>
    </row>
    <row r="178" spans="1:4" x14ac:dyDescent="0.45">
      <c r="A178" t="s">
        <v>311</v>
      </c>
      <c r="B178">
        <v>2.245333</v>
      </c>
      <c r="C178" s="15">
        <f>g4infl!B178</f>
        <v>1.6421484775915101</v>
      </c>
      <c r="D178">
        <f t="shared" si="3"/>
        <v>2.245333</v>
      </c>
    </row>
    <row r="179" spans="1:4" x14ac:dyDescent="0.45">
      <c r="A179" t="s">
        <v>312</v>
      </c>
      <c r="B179">
        <v>2.0611000000000002</v>
      </c>
      <c r="C179" s="15">
        <f>g4infl!B179</f>
        <v>1.6315431679129799</v>
      </c>
      <c r="D179">
        <f t="shared" si="3"/>
        <v>2.0611000000000002</v>
      </c>
    </row>
    <row r="180" spans="1:4" x14ac:dyDescent="0.45">
      <c r="A180" t="s">
        <v>313</v>
      </c>
      <c r="B180">
        <v>1.944733</v>
      </c>
      <c r="C180" s="15">
        <f>g4infl!B180</f>
        <v>1.49101999322263</v>
      </c>
      <c r="D180">
        <f t="shared" si="3"/>
        <v>1.944733</v>
      </c>
    </row>
    <row r="181" spans="1:4" x14ac:dyDescent="0.45">
      <c r="A181" t="s">
        <v>314</v>
      </c>
      <c r="B181">
        <v>1.6174999999999999</v>
      </c>
      <c r="C181" s="15">
        <f>g4infl!B181</f>
        <v>1.0444743935309999</v>
      </c>
      <c r="D181">
        <f t="shared" si="3"/>
        <v>1.6174999999999999</v>
      </c>
    </row>
    <row r="182" spans="1:4" x14ac:dyDescent="0.45">
      <c r="A182" t="s">
        <v>315</v>
      </c>
      <c r="B182">
        <v>1.757633</v>
      </c>
      <c r="C182" s="15">
        <f>g4infl!B182</f>
        <v>0.40390440928980098</v>
      </c>
      <c r="D182">
        <f t="shared" si="3"/>
        <v>1.757633</v>
      </c>
    </row>
    <row r="183" spans="1:4" x14ac:dyDescent="0.45">
      <c r="A183" t="s">
        <v>316</v>
      </c>
      <c r="B183">
        <v>1.624833</v>
      </c>
      <c r="C183" s="15">
        <f>g4infl!B183</f>
        <v>0.36789297658859199</v>
      </c>
      <c r="D183">
        <f t="shared" si="3"/>
        <v>1.624833</v>
      </c>
    </row>
    <row r="184" spans="1:4" x14ac:dyDescent="0.45">
      <c r="A184" t="s">
        <v>317</v>
      </c>
      <c r="B184">
        <v>1.4784999999999999</v>
      </c>
      <c r="C184" s="15">
        <f>g4infl!B184</f>
        <v>0.33388981636063703</v>
      </c>
      <c r="D184">
        <f t="shared" si="3"/>
        <v>1.4784999999999999</v>
      </c>
    </row>
    <row r="185" spans="1:4" x14ac:dyDescent="0.45">
      <c r="A185" t="s">
        <v>318</v>
      </c>
      <c r="B185">
        <v>1.262033</v>
      </c>
      <c r="C185" s="15">
        <f>g4infl!B185</f>
        <v>0.366788929643177</v>
      </c>
      <c r="D185">
        <f t="shared" si="3"/>
        <v>1.262033</v>
      </c>
    </row>
    <row r="186" spans="1:4" x14ac:dyDescent="0.45">
      <c r="A186" t="s">
        <v>319</v>
      </c>
      <c r="B186">
        <v>1.798567</v>
      </c>
      <c r="C186" s="15">
        <f>g4infl!B186</f>
        <v>0.70398927254438803</v>
      </c>
      <c r="D186">
        <f t="shared" si="3"/>
        <v>1.798567</v>
      </c>
    </row>
    <row r="187" spans="1:4" x14ac:dyDescent="0.45">
      <c r="A187" t="s">
        <v>320</v>
      </c>
      <c r="B187">
        <v>1.678633</v>
      </c>
      <c r="C187" s="15">
        <f>g4infl!B187</f>
        <v>0.76641119626794396</v>
      </c>
      <c r="D187">
        <f t="shared" si="3"/>
        <v>1.678633</v>
      </c>
    </row>
    <row r="188" spans="1:4" x14ac:dyDescent="0.45">
      <c r="A188" t="s">
        <v>321</v>
      </c>
      <c r="B188">
        <v>2.3626</v>
      </c>
      <c r="C188" s="15">
        <f>g4infl!B188</f>
        <v>1.03161397670545</v>
      </c>
      <c r="D188">
        <f t="shared" si="3"/>
        <v>2.3626</v>
      </c>
    </row>
    <row r="189" spans="1:4" x14ac:dyDescent="0.45">
      <c r="A189" t="s">
        <v>322</v>
      </c>
      <c r="B189">
        <v>2.452467</v>
      </c>
      <c r="C189" s="15">
        <f>g4infl!B189</f>
        <v>1.5282392026578699</v>
      </c>
      <c r="D189">
        <f t="shared" si="3"/>
        <v>2.452467</v>
      </c>
    </row>
    <row r="190" spans="1:4" x14ac:dyDescent="0.45">
      <c r="A190" t="s">
        <v>323</v>
      </c>
      <c r="B190">
        <v>2.6566000000000001</v>
      </c>
      <c r="C190" s="15">
        <f>g4infl!B190</f>
        <v>2.1637816245007002</v>
      </c>
      <c r="D190">
        <f t="shared" si="3"/>
        <v>2.6566000000000001</v>
      </c>
    </row>
    <row r="191" spans="1:4" x14ac:dyDescent="0.45">
      <c r="A191" t="s">
        <v>324</v>
      </c>
      <c r="B191">
        <v>2.6812330000000002</v>
      </c>
      <c r="C191" s="15">
        <f>g4infl!B191</f>
        <v>2.5793650793650702</v>
      </c>
      <c r="D191">
        <f t="shared" si="3"/>
        <v>2.6812330000000002</v>
      </c>
    </row>
    <row r="192" spans="1:4" x14ac:dyDescent="0.45">
      <c r="A192" t="s">
        <v>325</v>
      </c>
      <c r="B192">
        <v>2.629267</v>
      </c>
      <c r="C192" s="15">
        <f>g4infl!B192</f>
        <v>2.7009222661396199</v>
      </c>
      <c r="D192">
        <f t="shared" si="3"/>
        <v>2.629267</v>
      </c>
    </row>
    <row r="193" spans="1:4" x14ac:dyDescent="0.45">
      <c r="A193" t="s">
        <v>326</v>
      </c>
      <c r="B193">
        <v>2.5758329999999998</v>
      </c>
      <c r="C193" s="15">
        <f>g4infl!B193</f>
        <v>2.7814136125654101</v>
      </c>
      <c r="D193">
        <f t="shared" si="3"/>
        <v>2.5758329999999998</v>
      </c>
    </row>
    <row r="194" spans="1:4" x14ac:dyDescent="0.45">
      <c r="A194" t="s">
        <v>327</v>
      </c>
      <c r="B194">
        <v>2.1979669999999998</v>
      </c>
      <c r="C194" s="15">
        <f>g4infl!B194</f>
        <v>2.47637666992502</v>
      </c>
      <c r="D194">
        <f t="shared" si="3"/>
        <v>2.1979669999999998</v>
      </c>
    </row>
    <row r="195" spans="1:4" x14ac:dyDescent="0.45">
      <c r="A195" t="s">
        <v>328</v>
      </c>
      <c r="B195">
        <v>2.1546669999999999</v>
      </c>
      <c r="C195" s="15">
        <f>g4infl!B195</f>
        <v>2.2888459058672099</v>
      </c>
      <c r="D195">
        <f t="shared" si="3"/>
        <v>2.1546669999999999</v>
      </c>
    </row>
    <row r="196" spans="1:4" x14ac:dyDescent="0.45">
      <c r="A196" t="s">
        <v>329</v>
      </c>
      <c r="B196">
        <v>2.1192000000000002</v>
      </c>
      <c r="C196" s="15">
        <f>g4infl!B196</f>
        <v>2.3091725465041701</v>
      </c>
      <c r="D196">
        <f t="shared" si="3"/>
        <v>2.1192000000000002</v>
      </c>
    </row>
    <row r="197" spans="1:4" x14ac:dyDescent="0.45">
      <c r="A197" t="s">
        <v>330</v>
      </c>
      <c r="B197">
        <v>2.1604670000000001</v>
      </c>
      <c r="C197" s="15">
        <f>g4infl!B197</f>
        <v>2.1012416427889198</v>
      </c>
      <c r="D197">
        <f t="shared" si="3"/>
        <v>2.1604670000000001</v>
      </c>
    </row>
    <row r="198" spans="1:4" x14ac:dyDescent="0.45">
      <c r="A198" t="s">
        <v>331</v>
      </c>
      <c r="B198">
        <v>2.0763669999999999</v>
      </c>
      <c r="C198" s="15">
        <f>g4infl!B198</f>
        <v>1.81240063593004</v>
      </c>
      <c r="D198">
        <f t="shared" si="3"/>
        <v>2.0763669999999999</v>
      </c>
    </row>
    <row r="199" spans="1:4" x14ac:dyDescent="0.45">
      <c r="A199" t="s">
        <v>332</v>
      </c>
      <c r="B199">
        <v>2.0377329999999998</v>
      </c>
      <c r="C199" s="15">
        <f>g4infl!B199</f>
        <v>1.9224708477780901</v>
      </c>
      <c r="D199">
        <f t="shared" si="3"/>
        <v>2.0377329999999998</v>
      </c>
    </row>
    <row r="200" spans="1:4" x14ac:dyDescent="0.45">
      <c r="A200" t="s">
        <v>333</v>
      </c>
      <c r="B200">
        <v>2.0667330000000002</v>
      </c>
      <c r="C200" s="15">
        <f>g4infl!B200</f>
        <v>1.7868338557993699</v>
      </c>
      <c r="D200">
        <f t="shared" si="3"/>
        <v>2.0667330000000002</v>
      </c>
    </row>
    <row r="201" spans="1:4" x14ac:dyDescent="0.45">
      <c r="A201" t="s">
        <v>334</v>
      </c>
      <c r="B201">
        <v>1.933867</v>
      </c>
      <c r="C201" s="15">
        <f>g4infl!B201</f>
        <v>1.4343623323978401</v>
      </c>
      <c r="D201">
        <f t="shared" si="3"/>
        <v>1.933867</v>
      </c>
    </row>
    <row r="202" spans="1:4" x14ac:dyDescent="0.45">
      <c r="A202" t="s">
        <v>335</v>
      </c>
      <c r="B202">
        <v>1.877567</v>
      </c>
      <c r="C202" s="15">
        <f>g4infl!B202</f>
        <v>1.6552154903185801</v>
      </c>
      <c r="D202">
        <f t="shared" si="3"/>
        <v>1.877567</v>
      </c>
    </row>
    <row r="203" spans="1:4" x14ac:dyDescent="0.45">
      <c r="A203" t="s">
        <v>336</v>
      </c>
      <c r="B203">
        <v>1.409767</v>
      </c>
      <c r="C203" s="15">
        <f>g4infl!B203</f>
        <v>0.80395794681512001</v>
      </c>
      <c r="D203">
        <f t="shared" si="3"/>
        <v>1.409767</v>
      </c>
    </row>
    <row r="204" spans="1:4" x14ac:dyDescent="0.45">
      <c r="A204" t="s">
        <v>337</v>
      </c>
      <c r="B204">
        <v>1.421033</v>
      </c>
      <c r="C204" s="15">
        <f>g4infl!B204</f>
        <v>0.76994148444724297</v>
      </c>
      <c r="D204">
        <f t="shared" si="3"/>
        <v>1.421033</v>
      </c>
    </row>
    <row r="205" spans="1:4" x14ac:dyDescent="0.45">
      <c r="A205" t="s">
        <v>338</v>
      </c>
      <c r="B205">
        <v>1.542333</v>
      </c>
      <c r="C205" s="15">
        <f>g4infl!B205</f>
        <v>0.73778051029818603</v>
      </c>
      <c r="D205">
        <f t="shared" si="3"/>
        <v>1.542333</v>
      </c>
    </row>
    <row r="206" spans="1:4" x14ac:dyDescent="0.45">
      <c r="A206" t="s">
        <v>339</v>
      </c>
      <c r="B206">
        <v>1.9750000000000001</v>
      </c>
      <c r="C206" s="15">
        <f>g4infl!B206</f>
        <v>0.89093701996930796</v>
      </c>
      <c r="D206">
        <f t="shared" si="3"/>
        <v>1.9750000000000001</v>
      </c>
    </row>
    <row r="207" spans="1:4" x14ac:dyDescent="0.45">
      <c r="A207" t="s">
        <v>340</v>
      </c>
      <c r="B207">
        <v>2.191033</v>
      </c>
      <c r="C207" s="15">
        <f>g4infl!B207</f>
        <v>2.0858895705520801</v>
      </c>
      <c r="D207">
        <f t="shared" si="3"/>
        <v>2.191033</v>
      </c>
    </row>
    <row r="208" spans="1:4" x14ac:dyDescent="0.45">
      <c r="A208" t="s">
        <v>341</v>
      </c>
      <c r="B208">
        <v>2.6218330000000001</v>
      </c>
      <c r="C208" s="15">
        <f>g4infl!B208</f>
        <v>2.6589242053789701</v>
      </c>
      <c r="D208">
        <f t="shared" si="3"/>
        <v>2.6218330000000001</v>
      </c>
    </row>
    <row r="209" spans="1:4" x14ac:dyDescent="0.45">
      <c r="A209" t="s">
        <v>342</v>
      </c>
      <c r="B209">
        <v>3.6949999999999998</v>
      </c>
      <c r="C209" s="15">
        <f>g4infl!B209</f>
        <v>4.424778761062</v>
      </c>
      <c r="D209">
        <f t="shared" si="3"/>
        <v>3.6949999999999998</v>
      </c>
    </row>
    <row r="210" spans="1:4" x14ac:dyDescent="0.45">
      <c r="A210" t="s">
        <v>343</v>
      </c>
      <c r="B210">
        <v>2.9231669999999998</v>
      </c>
      <c r="C210" s="15">
        <f>g4infl!B210</f>
        <v>5.5115712545675599</v>
      </c>
      <c r="D210">
        <f t="shared" ref="D210:D224" si="4">B210</f>
        <v>2.9231669999999998</v>
      </c>
    </row>
    <row r="211" spans="1:4" x14ac:dyDescent="0.45">
      <c r="A211" t="s">
        <v>344</v>
      </c>
      <c r="B211">
        <v>4.4743000000000004</v>
      </c>
      <c r="C211" s="15">
        <f>g4infl!B211</f>
        <v>7.9326923076923102</v>
      </c>
      <c r="D211">
        <f t="shared" si="4"/>
        <v>4.4743000000000004</v>
      </c>
    </row>
    <row r="212" spans="1:4" x14ac:dyDescent="0.45">
      <c r="A212" t="s">
        <v>345</v>
      </c>
      <c r="B212">
        <v>6.4272330000000002</v>
      </c>
      <c r="C212" s="15">
        <f>g4infl!B212</f>
        <v>8.7526049419470002</v>
      </c>
      <c r="D212">
        <f t="shared" si="4"/>
        <v>6.4272330000000002</v>
      </c>
    </row>
    <row r="213" spans="1:4" x14ac:dyDescent="0.45">
      <c r="A213" t="s">
        <v>346</v>
      </c>
      <c r="B213">
        <v>6.9379330000000001</v>
      </c>
      <c r="C213" s="15">
        <f>g4infl!B213</f>
        <v>9.4097019286966308</v>
      </c>
      <c r="D213">
        <f>B213</f>
        <v>6.9379330000000001</v>
      </c>
    </row>
    <row r="214" spans="1:4" x14ac:dyDescent="0.45">
      <c r="A214" t="s">
        <v>347</v>
      </c>
      <c r="B214">
        <v>2.9924330000000001</v>
      </c>
      <c r="C214" s="15">
        <f>g4infl!B214</f>
        <v>8.9754689754689991</v>
      </c>
      <c r="D214">
        <f t="shared" si="4"/>
        <v>2.9924330000000001</v>
      </c>
    </row>
    <row r="215" spans="1:4" x14ac:dyDescent="0.45">
      <c r="A215" t="s">
        <v>348</v>
      </c>
      <c r="B215">
        <v>2.9180999999999999</v>
      </c>
      <c r="C215" s="15">
        <f>g4infl!B215</f>
        <v>7.6837416481069001</v>
      </c>
      <c r="D215">
        <f t="shared" si="4"/>
        <v>2.9180999999999999</v>
      </c>
    </row>
    <row r="216" spans="1:4" x14ac:dyDescent="0.45">
      <c r="A216" t="s">
        <v>349</v>
      </c>
      <c r="B216">
        <v>3.1230329999999999</v>
      </c>
      <c r="C216" s="15">
        <f>g4infl!B216</f>
        <v>6.3509444292362103</v>
      </c>
      <c r="D216">
        <f t="shared" si="4"/>
        <v>3.1230329999999999</v>
      </c>
    </row>
    <row r="217" spans="1:4" x14ac:dyDescent="0.45">
      <c r="A217" t="s">
        <v>350</v>
      </c>
      <c r="B217">
        <v>3.1106669999999998</v>
      </c>
      <c r="C217" s="15">
        <f>g4infl!B217</f>
        <v>4.3536324786324503</v>
      </c>
      <c r="D217">
        <f t="shared" si="4"/>
        <v>3.1106669999999998</v>
      </c>
    </row>
    <row r="218" spans="1:4" x14ac:dyDescent="0.45">
      <c r="A218" t="s">
        <v>351</v>
      </c>
      <c r="B218">
        <v>2.1744330000000001</v>
      </c>
      <c r="C218" s="15">
        <f>g4infl!B218</f>
        <v>3.9194915254236999</v>
      </c>
      <c r="D218">
        <f t="shared" si="4"/>
        <v>2.1744330000000001</v>
      </c>
    </row>
    <row r="219" spans="1:4" x14ac:dyDescent="0.45">
      <c r="A219" t="s">
        <v>352</v>
      </c>
      <c r="B219">
        <v>2.2317330000000002</v>
      </c>
      <c r="C219" s="15">
        <f>g4infl!B219</f>
        <v>2.8697001034126099</v>
      </c>
      <c r="D219">
        <f t="shared" si="4"/>
        <v>2.2317330000000002</v>
      </c>
    </row>
    <row r="220" spans="1:4" x14ac:dyDescent="0.45">
      <c r="A220" t="s">
        <v>353</v>
      </c>
      <c r="B220">
        <v>2.3441670000000001</v>
      </c>
      <c r="C220" s="15">
        <f>g4infl!B220</f>
        <v>2.90862290862293</v>
      </c>
      <c r="D220">
        <f t="shared" si="4"/>
        <v>2.3441670000000001</v>
      </c>
    </row>
    <row r="221" spans="1:4" s="10" customFormat="1" x14ac:dyDescent="0.45">
      <c r="A221" s="10" t="s">
        <v>354</v>
      </c>
      <c r="B221" s="10">
        <v>2.4459330000000001</v>
      </c>
      <c r="C221" s="16">
        <f>g4infl!B221</f>
        <v>3.4041464038905</v>
      </c>
      <c r="D221" s="10">
        <f t="shared" si="4"/>
        <v>2.4459330000000001</v>
      </c>
    </row>
    <row r="222" spans="1:4" x14ac:dyDescent="0.45">
      <c r="A222" t="s">
        <v>355</v>
      </c>
      <c r="B222">
        <v>2.352233</v>
      </c>
      <c r="C222" s="15">
        <f>g4infl!B222</f>
        <v>3.6697247706421998</v>
      </c>
      <c r="D222">
        <f t="shared" si="4"/>
        <v>2.352233</v>
      </c>
    </row>
    <row r="223" spans="1:4" x14ac:dyDescent="0.45">
      <c r="A223" t="s">
        <v>356</v>
      </c>
      <c r="B223">
        <v>2.3450000000000002</v>
      </c>
      <c r="C223" s="15">
        <f>g4infl!B223</f>
        <v>4.07</v>
      </c>
      <c r="D223">
        <f t="shared" si="4"/>
        <v>2.3450000000000002</v>
      </c>
    </row>
    <row r="224" spans="1:4" x14ac:dyDescent="0.45">
      <c r="A224" t="s">
        <v>357</v>
      </c>
      <c r="B224" s="15">
        <v>2.4864666666666668</v>
      </c>
      <c r="D224">
        <f t="shared" si="4"/>
        <v>2.4864666666666668</v>
      </c>
    </row>
    <row r="225" spans="1:4" x14ac:dyDescent="0.45">
      <c r="A225" t="s">
        <v>438</v>
      </c>
      <c r="B225" s="15">
        <v>3.4864666666666699</v>
      </c>
      <c r="D225">
        <f t="shared" ref="D225" si="5">B225</f>
        <v>3.4864666666666699</v>
      </c>
    </row>
    <row r="226" spans="1:4" x14ac:dyDescent="0.45">
      <c r="A226" s="4" t="s">
        <v>441</v>
      </c>
      <c r="B226" s="52">
        <v>4.4864666666666704</v>
      </c>
      <c r="C226" s="52"/>
      <c r="D226" s="4">
        <f t="shared" ref="D226" si="6">B226</f>
        <v>4.4864666666666704</v>
      </c>
    </row>
  </sheetData>
  <phoneticPr fontId="3" type="noConversion"/>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0D82-6108-4A9F-927B-6EB5FBE68A21}">
  <dimension ref="A1:AF226"/>
  <sheetViews>
    <sheetView topLeftCell="A214" workbookViewId="0">
      <selection activeCell="F231" sqref="F231"/>
    </sheetView>
  </sheetViews>
  <sheetFormatPr defaultRowHeight="14.25" x14ac:dyDescent="0.45"/>
  <cols>
    <col min="2" max="2" width="12.796875" style="15" bestFit="1" customWidth="1"/>
    <col min="3" max="3" width="10" style="15" bestFit="1" customWidth="1"/>
    <col min="4" max="4" width="13.9296875" bestFit="1" customWidth="1"/>
  </cols>
  <sheetData>
    <row r="1" spans="1:24" x14ac:dyDescent="0.45">
      <c r="A1" t="s">
        <v>431</v>
      </c>
      <c r="B1" s="15" t="s">
        <v>432</v>
      </c>
      <c r="C1" s="15" t="s">
        <v>421</v>
      </c>
      <c r="D1" t="s">
        <v>430</v>
      </c>
      <c r="G1" s="15" t="s">
        <v>432</v>
      </c>
      <c r="H1" t="s">
        <v>433</v>
      </c>
    </row>
    <row r="2" spans="1:24" x14ac:dyDescent="0.45">
      <c r="A2" t="s">
        <v>135</v>
      </c>
      <c r="B2"/>
      <c r="C2"/>
    </row>
    <row r="3" spans="1:24" x14ac:dyDescent="0.45">
      <c r="A3" t="s">
        <v>136</v>
      </c>
      <c r="B3"/>
      <c r="C3"/>
    </row>
    <row r="4" spans="1:24" x14ac:dyDescent="0.45">
      <c r="A4" t="s">
        <v>137</v>
      </c>
      <c r="B4"/>
      <c r="C4"/>
    </row>
    <row r="5" spans="1:24" x14ac:dyDescent="0.45">
      <c r="A5" t="s">
        <v>138</v>
      </c>
      <c r="B5"/>
      <c r="C5"/>
    </row>
    <row r="6" spans="1:24" x14ac:dyDescent="0.45">
      <c r="A6" t="s">
        <v>139</v>
      </c>
      <c r="C6">
        <f>g4rgdp!B6</f>
        <v>3.7558927516482044</v>
      </c>
      <c r="D6">
        <f>$Y$34+C6*$Y$35</f>
        <v>3.8184270939309026E-2</v>
      </c>
    </row>
    <row r="7" spans="1:24" x14ac:dyDescent="0.45">
      <c r="A7" t="s">
        <v>140</v>
      </c>
      <c r="B7"/>
      <c r="C7">
        <f>g4rgdp!B7</f>
        <v>3.1690425980844594</v>
      </c>
      <c r="D7">
        <f t="shared" ref="D7:D70" si="0">$Y$34+C7*$Y$35</f>
        <v>3.2292020331028071E-2</v>
      </c>
    </row>
    <row r="8" spans="1:24" x14ac:dyDescent="0.45">
      <c r="A8" t="s">
        <v>141</v>
      </c>
      <c r="B8"/>
      <c r="C8">
        <f>g4rgdp!B8</f>
        <v>3.9080272416976314</v>
      </c>
      <c r="D8">
        <f t="shared" si="0"/>
        <v>3.971177252739011E-2</v>
      </c>
    </row>
    <row r="9" spans="1:24" x14ac:dyDescent="0.45">
      <c r="A9" t="s">
        <v>142</v>
      </c>
      <c r="B9"/>
      <c r="C9">
        <f>g4rgdp!B9</f>
        <v>3.3708729388914449</v>
      </c>
      <c r="D9">
        <f t="shared" si="0"/>
        <v>3.4318491553993052E-2</v>
      </c>
    </row>
    <row r="10" spans="1:24" x14ac:dyDescent="0.45">
      <c r="A10" t="s">
        <v>143</v>
      </c>
      <c r="B10"/>
      <c r="C10">
        <f>g4rgdp!B10</f>
        <v>4.0631250073184688</v>
      </c>
      <c r="D10">
        <f t="shared" si="0"/>
        <v>4.1269026791145066E-2</v>
      </c>
    </row>
    <row r="11" spans="1:24" x14ac:dyDescent="0.45">
      <c r="A11" t="s">
        <v>144</v>
      </c>
      <c r="B11"/>
      <c r="C11">
        <f>g4rgdp!B11</f>
        <v>4.8928192465451659</v>
      </c>
      <c r="D11">
        <f t="shared" si="0"/>
        <v>4.9599545844574391E-2</v>
      </c>
    </row>
    <row r="12" spans="1:24" x14ac:dyDescent="0.45">
      <c r="A12" t="s">
        <v>145</v>
      </c>
      <c r="B12"/>
      <c r="C12">
        <f>g4rgdp!B12</f>
        <v>3.4729729476637772</v>
      </c>
      <c r="D12">
        <f t="shared" si="0"/>
        <v>3.5343623498052298E-2</v>
      </c>
    </row>
    <row r="13" spans="1:24" x14ac:dyDescent="0.45">
      <c r="A13" t="s">
        <v>146</v>
      </c>
      <c r="B13"/>
      <c r="C13">
        <f>g4rgdp!B13</f>
        <v>4.6296654406667415</v>
      </c>
      <c r="D13">
        <f t="shared" si="0"/>
        <v>4.6957358288956474E-2</v>
      </c>
    </row>
    <row r="14" spans="1:24" x14ac:dyDescent="0.45">
      <c r="A14" t="s">
        <v>147</v>
      </c>
      <c r="B14"/>
      <c r="C14">
        <f>g4rgdp!B14</f>
        <v>9.2023636518643315</v>
      </c>
      <c r="D14">
        <f t="shared" si="0"/>
        <v>9.2869391629657558E-2</v>
      </c>
    </row>
    <row r="15" spans="1:24" x14ac:dyDescent="0.45">
      <c r="A15" t="s">
        <v>148</v>
      </c>
      <c r="B15"/>
      <c r="C15">
        <f>g4rgdp!B15</f>
        <v>6.7873159314219222</v>
      </c>
      <c r="D15">
        <f t="shared" si="0"/>
        <v>6.8621180543079724E-2</v>
      </c>
    </row>
    <row r="16" spans="1:24" x14ac:dyDescent="0.45">
      <c r="A16" t="s">
        <v>149</v>
      </c>
      <c r="B16"/>
      <c r="C16">
        <f>g4rgdp!B16</f>
        <v>5.5834443408263823</v>
      </c>
      <c r="D16">
        <f t="shared" si="0"/>
        <v>5.6533745498712457E-2</v>
      </c>
      <c r="X16" t="s">
        <v>434</v>
      </c>
    </row>
    <row r="17" spans="1:29" x14ac:dyDescent="0.45">
      <c r="A17" t="s">
        <v>150</v>
      </c>
      <c r="B17"/>
      <c r="C17">
        <f>g4rgdp!B17</f>
        <v>3.6512301513171863</v>
      </c>
      <c r="D17">
        <f t="shared" si="0"/>
        <v>3.7133409374870974E-2</v>
      </c>
    </row>
    <row r="18" spans="1:29" x14ac:dyDescent="0.45">
      <c r="A18" t="s">
        <v>151</v>
      </c>
      <c r="B18"/>
      <c r="C18">
        <f>g4rgdp!B18</f>
        <v>-3.9513623489229488</v>
      </c>
      <c r="D18">
        <f t="shared" si="0"/>
        <v>-3.9200182790043128E-2</v>
      </c>
      <c r="X18" t="s">
        <v>425</v>
      </c>
    </row>
    <row r="19" spans="1:29" ht="14.65" thickBot="1" x14ac:dyDescent="0.5">
      <c r="A19" t="s">
        <v>152</v>
      </c>
      <c r="B19"/>
      <c r="C19">
        <f>g4rgdp!B19</f>
        <v>-2.7182711334983622</v>
      </c>
      <c r="D19">
        <f t="shared" si="0"/>
        <v>-2.681936901666444E-2</v>
      </c>
    </row>
    <row r="20" spans="1:29" x14ac:dyDescent="0.45">
      <c r="A20" t="s">
        <v>153</v>
      </c>
      <c r="B20"/>
      <c r="C20">
        <f>g4rgdp!B20</f>
        <v>-1.1899592886875254</v>
      </c>
      <c r="D20">
        <f t="shared" si="0"/>
        <v>-1.1474401749391723E-2</v>
      </c>
      <c r="X20" s="20" t="s">
        <v>396</v>
      </c>
      <c r="Y20" s="20"/>
    </row>
    <row r="21" spans="1:29" x14ac:dyDescent="0.45">
      <c r="A21" t="s">
        <v>154</v>
      </c>
      <c r="B21"/>
      <c r="C21">
        <f>g4rgdp!B21</f>
        <v>-2.2692069451274222</v>
      </c>
      <c r="D21">
        <f t="shared" si="0"/>
        <v>-2.2310554081510045E-2</v>
      </c>
      <c r="X21" t="s">
        <v>397</v>
      </c>
      <c r="Y21">
        <v>0.99472491103163874</v>
      </c>
    </row>
    <row r="22" spans="1:29" x14ac:dyDescent="0.45">
      <c r="A22" t="s">
        <v>155</v>
      </c>
      <c r="B22"/>
      <c r="C22">
        <f>g4rgdp!B22</f>
        <v>0.56178831710713695</v>
      </c>
      <c r="D22">
        <f t="shared" si="0"/>
        <v>6.1139652862439373E-3</v>
      </c>
      <c r="X22" t="s">
        <v>398</v>
      </c>
      <c r="Y22">
        <v>0.98947764862690157</v>
      </c>
    </row>
    <row r="23" spans="1:29" x14ac:dyDescent="0.45">
      <c r="A23" t="s">
        <v>156</v>
      </c>
      <c r="B23"/>
      <c r="C23">
        <f>g4rgdp!B23</f>
        <v>-2.4937027835321146</v>
      </c>
      <c r="D23">
        <f t="shared" si="0"/>
        <v>-2.4564597524054543E-2</v>
      </c>
      <c r="X23" t="s">
        <v>399</v>
      </c>
      <c r="Y23">
        <v>0.98937838116111765</v>
      </c>
    </row>
    <row r="24" spans="1:29" x14ac:dyDescent="0.45">
      <c r="A24" t="s">
        <v>157</v>
      </c>
      <c r="B24"/>
      <c r="C24">
        <f>g4rgdp!B24</f>
        <v>-3.3871268295659007</v>
      </c>
      <c r="D24">
        <f t="shared" si="0"/>
        <v>-3.3534993709055438E-2</v>
      </c>
      <c r="X24" t="s">
        <v>400</v>
      </c>
      <c r="Y24">
        <v>4.486682118232937E-3</v>
      </c>
    </row>
    <row r="25" spans="1:29" ht="14.65" thickBot="1" x14ac:dyDescent="0.5">
      <c r="A25" t="s">
        <v>158</v>
      </c>
      <c r="B25"/>
      <c r="C25">
        <f>g4rgdp!B25</f>
        <v>-0.80965171474147724</v>
      </c>
      <c r="D25">
        <f t="shared" si="0"/>
        <v>-7.6559354504405937E-3</v>
      </c>
      <c r="X25" s="18" t="s">
        <v>401</v>
      </c>
      <c r="Y25" s="18">
        <v>108</v>
      </c>
    </row>
    <row r="26" spans="1:29" x14ac:dyDescent="0.45">
      <c r="A26" t="s">
        <v>159</v>
      </c>
      <c r="B26"/>
      <c r="C26">
        <f>g4rgdp!B26</f>
        <v>0.83027730891238605</v>
      </c>
      <c r="D26">
        <f t="shared" si="0"/>
        <v>8.8097206092582255E-3</v>
      </c>
    </row>
    <row r="27" spans="1:29" ht="14.65" thickBot="1" x14ac:dyDescent="0.5">
      <c r="A27" t="s">
        <v>160</v>
      </c>
      <c r="B27"/>
      <c r="C27">
        <f>g4rgdp!B27</f>
        <v>2.3260935965245366</v>
      </c>
      <c r="D27">
        <f t="shared" si="0"/>
        <v>2.3828417251043937E-2</v>
      </c>
      <c r="X27" t="s">
        <v>402</v>
      </c>
    </row>
    <row r="28" spans="1:29" x14ac:dyDescent="0.45">
      <c r="A28" t="s">
        <v>161</v>
      </c>
      <c r="B28"/>
      <c r="C28">
        <f>g4rgdp!B28</f>
        <v>3.860250743157323</v>
      </c>
      <c r="D28">
        <f t="shared" si="0"/>
        <v>3.9232074088399946E-2</v>
      </c>
      <c r="X28" s="19"/>
      <c r="Y28" s="19" t="s">
        <v>403</v>
      </c>
      <c r="Z28" s="19" t="s">
        <v>404</v>
      </c>
      <c r="AA28" s="19" t="s">
        <v>405</v>
      </c>
      <c r="AB28" s="19" t="s">
        <v>406</v>
      </c>
      <c r="AC28" s="19" t="s">
        <v>407</v>
      </c>
    </row>
    <row r="29" spans="1:29" x14ac:dyDescent="0.45">
      <c r="A29" t="s">
        <v>162</v>
      </c>
      <c r="B29"/>
      <c r="C29">
        <f>g4rgdp!B29</f>
        <v>4.8335234947733952</v>
      </c>
      <c r="D29">
        <f t="shared" si="0"/>
        <v>4.9004188703873339E-2</v>
      </c>
      <c r="X29" t="s">
        <v>408</v>
      </c>
      <c r="Y29">
        <v>1</v>
      </c>
      <c r="Z29">
        <v>0.20065484708448461</v>
      </c>
      <c r="AA29">
        <v>0.20065484708448461</v>
      </c>
      <c r="AB29">
        <v>9967.7939878153684</v>
      </c>
      <c r="AC29">
        <v>1.1547700818753829E-106</v>
      </c>
    </row>
    <row r="30" spans="1:29" x14ac:dyDescent="0.45">
      <c r="A30" t="s">
        <v>163</v>
      </c>
      <c r="B30"/>
      <c r="C30">
        <f>g4rgdp!B30</f>
        <v>3.2378499602309319</v>
      </c>
      <c r="D30">
        <f t="shared" si="0"/>
        <v>3.2982878498142312E-2</v>
      </c>
      <c r="X30" t="s">
        <v>409</v>
      </c>
      <c r="Y30">
        <v>106</v>
      </c>
      <c r="Z30">
        <v>2.133813541587547E-3</v>
      </c>
      <c r="AA30">
        <v>2.0130316430071197E-5</v>
      </c>
    </row>
    <row r="31" spans="1:29" ht="14.65" thickBot="1" x14ac:dyDescent="0.5">
      <c r="A31" t="s">
        <v>164</v>
      </c>
      <c r="B31"/>
      <c r="C31">
        <f>g4rgdp!B31</f>
        <v>2.6860703353749571</v>
      </c>
      <c r="D31">
        <f t="shared" si="0"/>
        <v>2.7442752436231867E-2</v>
      </c>
      <c r="X31" s="18" t="s">
        <v>410</v>
      </c>
      <c r="Y31" s="18">
        <v>107</v>
      </c>
      <c r="Z31" s="18">
        <v>0.20278866062607215</v>
      </c>
      <c r="AA31" s="18"/>
      <c r="AB31" s="18"/>
      <c r="AC31" s="18"/>
    </row>
    <row r="32" spans="1:29" ht="14.65" thickBot="1" x14ac:dyDescent="0.5">
      <c r="A32" t="s">
        <v>165</v>
      </c>
      <c r="B32"/>
      <c r="C32">
        <f>g4rgdp!B32</f>
        <v>2.1002973796603541</v>
      </c>
      <c r="D32">
        <f t="shared" si="0"/>
        <v>2.1561317399256985E-2</v>
      </c>
    </row>
    <row r="33" spans="1:32" x14ac:dyDescent="0.45">
      <c r="A33" t="s">
        <v>166</v>
      </c>
      <c r="B33"/>
      <c r="C33">
        <f>g4rgdp!B33</f>
        <v>1.7039167382309373</v>
      </c>
      <c r="D33">
        <f t="shared" si="0"/>
        <v>1.7581469969056764E-2</v>
      </c>
      <c r="X33" s="19"/>
      <c r="Y33" s="19" t="s">
        <v>411</v>
      </c>
      <c r="Z33" s="19" t="s">
        <v>400</v>
      </c>
      <c r="AA33" s="19" t="s">
        <v>412</v>
      </c>
      <c r="AB33" s="19" t="s">
        <v>413</v>
      </c>
      <c r="AC33" s="19" t="s">
        <v>414</v>
      </c>
      <c r="AD33" s="19" t="s">
        <v>415</v>
      </c>
      <c r="AE33" s="19" t="s">
        <v>416</v>
      </c>
      <c r="AF33" s="19" t="s">
        <v>417</v>
      </c>
    </row>
    <row r="34" spans="1:32" x14ac:dyDescent="0.45">
      <c r="A34" t="s">
        <v>167</v>
      </c>
      <c r="B34"/>
      <c r="C34">
        <f>g4rgdp!B34</f>
        <v>2.5734243787999489</v>
      </c>
      <c r="D34">
        <f t="shared" si="0"/>
        <v>2.6311734233171305E-2</v>
      </c>
      <c r="X34" t="s">
        <v>418</v>
      </c>
      <c r="Y34">
        <v>4.733472628900455E-4</v>
      </c>
      <c r="Z34">
        <v>4.6476737954682283E-4</v>
      </c>
      <c r="AA34">
        <v>1.0184605971090066</v>
      </c>
      <c r="AB34">
        <v>0.31077804632802203</v>
      </c>
      <c r="AC34">
        <v>-4.4809927115741193E-4</v>
      </c>
      <c r="AD34">
        <v>1.394793796937503E-3</v>
      </c>
      <c r="AE34">
        <v>-4.4809927115741193E-4</v>
      </c>
      <c r="AF34">
        <v>1.394793796937503E-3</v>
      </c>
    </row>
    <row r="35" spans="1:32" ht="14.65" thickBot="1" x14ac:dyDescent="0.5">
      <c r="A35" t="s">
        <v>168</v>
      </c>
      <c r="B35"/>
      <c r="C35">
        <f>g4rgdp!B35</f>
        <v>4.401539796801579</v>
      </c>
      <c r="D35">
        <f t="shared" si="0"/>
        <v>4.4666869898238218E-2</v>
      </c>
      <c r="X35" s="18" t="s">
        <v>419</v>
      </c>
      <c r="Y35" s="18">
        <v>1.0040468716757216E-2</v>
      </c>
      <c r="Z35" s="18">
        <v>1.0056676048185921E-4</v>
      </c>
      <c r="AA35" s="18">
        <v>99.83884007647211</v>
      </c>
      <c r="AB35" s="18">
        <v>1.1547700818753829E-106</v>
      </c>
      <c r="AC35" s="18">
        <v>9.8410853328012547E-3</v>
      </c>
      <c r="AD35" s="18">
        <v>1.0239852100713178E-2</v>
      </c>
      <c r="AE35" s="18">
        <v>9.8410853328012547E-3</v>
      </c>
      <c r="AF35" s="18">
        <v>1.0239852100713178E-2</v>
      </c>
    </row>
    <row r="36" spans="1:32" x14ac:dyDescent="0.45">
      <c r="A36" t="s">
        <v>169</v>
      </c>
      <c r="B36"/>
      <c r="C36">
        <f>g4rgdp!B36</f>
        <v>5.1070544557669351</v>
      </c>
      <c r="D36">
        <f t="shared" si="0"/>
        <v>5.1750567760793509E-2</v>
      </c>
    </row>
    <row r="37" spans="1:32" x14ac:dyDescent="0.45">
      <c r="A37" t="s">
        <v>170</v>
      </c>
      <c r="B37"/>
      <c r="C37">
        <f>g4rgdp!B37</f>
        <v>4.3097076825752367</v>
      </c>
      <c r="D37">
        <f t="shared" si="0"/>
        <v>4.3744832428154953E-2</v>
      </c>
    </row>
    <row r="38" spans="1:32" x14ac:dyDescent="0.45">
      <c r="A38" t="s">
        <v>171</v>
      </c>
      <c r="B38"/>
      <c r="C38">
        <f>g4rgdp!B38</f>
        <v>3.0757487029440256</v>
      </c>
      <c r="D38">
        <f t="shared" si="0"/>
        <v>3.1355305895406117E-2</v>
      </c>
    </row>
    <row r="39" spans="1:32" x14ac:dyDescent="0.45">
      <c r="A39" t="s">
        <v>172</v>
      </c>
      <c r="B39"/>
      <c r="C39">
        <f>g4rgdp!B39</f>
        <v>6.1981275870143904</v>
      </c>
      <c r="D39">
        <f t="shared" si="0"/>
        <v>6.270545340277793E-2</v>
      </c>
    </row>
    <row r="40" spans="1:32" x14ac:dyDescent="0.45">
      <c r="A40" t="s">
        <v>173</v>
      </c>
      <c r="B40"/>
      <c r="C40">
        <f>g4rgdp!B40</f>
        <v>2.6175211077614335</v>
      </c>
      <c r="D40">
        <f t="shared" si="0"/>
        <v>2.6754486060820412E-2</v>
      </c>
    </row>
    <row r="41" spans="1:32" x14ac:dyDescent="0.45">
      <c r="A41" t="s">
        <v>174</v>
      </c>
      <c r="B41"/>
      <c r="C41">
        <f>g4rgdp!B41</f>
        <v>2.7486308951885974</v>
      </c>
      <c r="D41">
        <f t="shared" si="0"/>
        <v>2.8070889779943542E-2</v>
      </c>
    </row>
    <row r="42" spans="1:32" x14ac:dyDescent="0.45">
      <c r="A42" t="s">
        <v>175</v>
      </c>
      <c r="B42"/>
      <c r="C42">
        <f>g4rgdp!B42</f>
        <v>2.060142271691312</v>
      </c>
      <c r="D42">
        <f t="shared" si="0"/>
        <v>2.1158141293875811E-2</v>
      </c>
    </row>
    <row r="43" spans="1:32" x14ac:dyDescent="0.45">
      <c r="A43" t="s">
        <v>176</v>
      </c>
      <c r="B43"/>
      <c r="C43">
        <f>g4rgdp!B43</f>
        <v>-4.1714986572511492</v>
      </c>
      <c r="D43">
        <f t="shared" si="0"/>
        <v>-4.1410454507234851E-2</v>
      </c>
    </row>
    <row r="44" spans="1:32" x14ac:dyDescent="0.45">
      <c r="A44" t="s">
        <v>177</v>
      </c>
      <c r="B44"/>
      <c r="C44">
        <f>g4rgdp!B44</f>
        <v>-2.0515806586923091</v>
      </c>
      <c r="D44">
        <f t="shared" si="0"/>
        <v>-2.0125484160614247E-2</v>
      </c>
    </row>
    <row r="45" spans="1:32" x14ac:dyDescent="0.45">
      <c r="A45" t="s">
        <v>178</v>
      </c>
      <c r="B45"/>
      <c r="C45">
        <f>g4rgdp!B45</f>
        <v>-4.0958399233248954</v>
      </c>
      <c r="D45">
        <f t="shared" si="0"/>
        <v>-4.0650805356098843E-2</v>
      </c>
    </row>
    <row r="46" spans="1:32" x14ac:dyDescent="0.45">
      <c r="A46" t="s">
        <v>179</v>
      </c>
      <c r="B46"/>
      <c r="C46">
        <f>g4rgdp!B46</f>
        <v>-3.1914680407338025</v>
      </c>
      <c r="D46">
        <f t="shared" si="0"/>
        <v>-3.1570487760628138E-2</v>
      </c>
    </row>
    <row r="47" spans="1:32" x14ac:dyDescent="0.45">
      <c r="A47" t="s">
        <v>180</v>
      </c>
      <c r="B47"/>
      <c r="C47">
        <f>g4rgdp!B47</f>
        <v>-0.90250900134805079</v>
      </c>
      <c r="D47">
        <f t="shared" si="0"/>
        <v>-8.5882661317368547E-3</v>
      </c>
    </row>
    <row r="48" spans="1:32" x14ac:dyDescent="0.45">
      <c r="A48" t="s">
        <v>181</v>
      </c>
      <c r="B48"/>
      <c r="C48">
        <f>g4rgdp!B48</f>
        <v>0.36326089935627692</v>
      </c>
      <c r="D48">
        <f t="shared" si="0"/>
        <v>4.1206569588978356E-3</v>
      </c>
    </row>
    <row r="49" spans="1:4" x14ac:dyDescent="0.45">
      <c r="A49" t="s">
        <v>182</v>
      </c>
      <c r="B49"/>
      <c r="C49">
        <f>g4rgdp!B49</f>
        <v>1.5223011713120016</v>
      </c>
      <c r="D49">
        <f t="shared" si="0"/>
        <v>1.5757964550931064E-2</v>
      </c>
    </row>
    <row r="50" spans="1:4" x14ac:dyDescent="0.45">
      <c r="A50" t="s">
        <v>183</v>
      </c>
      <c r="B50"/>
      <c r="C50">
        <f>g4rgdp!B50</f>
        <v>1.7684045201608711</v>
      </c>
      <c r="D50">
        <f t="shared" si="0"/>
        <v>1.8228957526137329E-2</v>
      </c>
    </row>
    <row r="51" spans="1:4" x14ac:dyDescent="0.45">
      <c r="A51" t="s">
        <v>184</v>
      </c>
      <c r="B51"/>
      <c r="C51">
        <f>g4rgdp!B51</f>
        <v>2.4772568904014136</v>
      </c>
      <c r="D51">
        <f t="shared" si="0"/>
        <v>2.5346167574336699E-2</v>
      </c>
    </row>
    <row r="52" spans="1:4" x14ac:dyDescent="0.45">
      <c r="A52" t="s">
        <v>185</v>
      </c>
      <c r="B52"/>
      <c r="C52">
        <f>g4rgdp!B52</f>
        <v>1.5349108635961173</v>
      </c>
      <c r="D52">
        <f t="shared" si="0"/>
        <v>1.5884571771837663E-2</v>
      </c>
    </row>
    <row r="53" spans="1:4" x14ac:dyDescent="0.45">
      <c r="A53" t="s">
        <v>186</v>
      </c>
      <c r="B53"/>
      <c r="C53">
        <f>g4rgdp!B53</f>
        <v>2.0837044629107737</v>
      </c>
      <c r="D53">
        <f t="shared" si="0"/>
        <v>2.1394716737713065E-2</v>
      </c>
    </row>
    <row r="54" spans="1:4" x14ac:dyDescent="0.45">
      <c r="A54" t="s">
        <v>187</v>
      </c>
      <c r="B54"/>
      <c r="C54">
        <f>g4rgdp!B54</f>
        <v>3.8673079973182922</v>
      </c>
      <c r="D54">
        <f t="shared" si="0"/>
        <v>3.9302932228029358E-2</v>
      </c>
    </row>
    <row r="55" spans="1:4" x14ac:dyDescent="0.45">
      <c r="A55" t="s">
        <v>188</v>
      </c>
      <c r="B55"/>
      <c r="C55">
        <f>g4rgdp!B55</f>
        <v>3.5295883489341762</v>
      </c>
      <c r="D55">
        <f t="shared" si="0"/>
        <v>3.59120686633944E-2</v>
      </c>
    </row>
    <row r="56" spans="1:4" x14ac:dyDescent="0.45">
      <c r="A56" t="s">
        <v>189</v>
      </c>
      <c r="B56"/>
      <c r="C56">
        <f>g4rgdp!B56</f>
        <v>4.4642846338849296</v>
      </c>
      <c r="D56">
        <f t="shared" si="0"/>
        <v>4.5296857472111623E-2</v>
      </c>
    </row>
    <row r="57" spans="1:4" x14ac:dyDescent="0.45">
      <c r="A57" t="s">
        <v>190</v>
      </c>
      <c r="B57"/>
      <c r="C57">
        <f>g4rgdp!B57</f>
        <v>4.5316389025229498</v>
      </c>
      <c r="D57">
        <f t="shared" si="0"/>
        <v>4.5973125899311726E-2</v>
      </c>
    </row>
    <row r="58" spans="1:4" x14ac:dyDescent="0.45">
      <c r="A58" t="s">
        <v>191</v>
      </c>
      <c r="B58"/>
      <c r="C58">
        <f>g4rgdp!B58</f>
        <v>3.4356925752740963</v>
      </c>
      <c r="D58">
        <f t="shared" si="0"/>
        <v>3.4969311085324653E-2</v>
      </c>
    </row>
    <row r="59" spans="1:4" x14ac:dyDescent="0.45">
      <c r="A59" t="s">
        <v>192</v>
      </c>
      <c r="B59"/>
      <c r="C59">
        <f>g4rgdp!B59</f>
        <v>1.7432597817286677</v>
      </c>
      <c r="D59">
        <f t="shared" si="0"/>
        <v>1.7976492566517746E-2</v>
      </c>
    </row>
    <row r="60" spans="1:4" x14ac:dyDescent="0.45">
      <c r="A60" t="s">
        <v>193</v>
      </c>
      <c r="B60"/>
      <c r="C60">
        <f>g4rgdp!B60</f>
        <v>1.3231768562331325</v>
      </c>
      <c r="D60">
        <f t="shared" si="0"/>
        <v>1.3758663094635974E-2</v>
      </c>
    </row>
    <row r="61" spans="1:4" x14ac:dyDescent="0.45">
      <c r="A61" t="s">
        <v>194</v>
      </c>
      <c r="B61"/>
      <c r="C61">
        <f>g4rgdp!B61</f>
        <v>2.3739987303073917</v>
      </c>
      <c r="D61">
        <f t="shared" si="0"/>
        <v>2.4309407248162763E-2</v>
      </c>
    </row>
    <row r="62" spans="1:4" x14ac:dyDescent="0.45">
      <c r="A62" t="s">
        <v>195</v>
      </c>
      <c r="B62"/>
      <c r="C62">
        <f>g4rgdp!B62</f>
        <v>2.4977369347785938</v>
      </c>
      <c r="D62">
        <f t="shared" si="0"/>
        <v>2.5551796819223576E-2</v>
      </c>
    </row>
    <row r="63" spans="1:4" x14ac:dyDescent="0.45">
      <c r="A63" t="s">
        <v>196</v>
      </c>
      <c r="B63"/>
      <c r="C63">
        <f>g4rgdp!B63</f>
        <v>5.5993571168459155</v>
      </c>
      <c r="D63">
        <f t="shared" si="0"/>
        <v>5.6693517228533344E-2</v>
      </c>
    </row>
    <row r="64" spans="1:4" x14ac:dyDescent="0.45">
      <c r="A64" t="s">
        <v>197</v>
      </c>
      <c r="B64"/>
      <c r="C64">
        <f>g4rgdp!B64</f>
        <v>4.8523133644954086</v>
      </c>
      <c r="D64">
        <f t="shared" si="0"/>
        <v>4.9192847803009157E-2</v>
      </c>
    </row>
    <row r="65" spans="1:4" x14ac:dyDescent="0.45">
      <c r="A65" t="s">
        <v>198</v>
      </c>
      <c r="B65"/>
      <c r="C65">
        <f>g4rgdp!B65</f>
        <v>3.1190894312437933</v>
      </c>
      <c r="D65">
        <f t="shared" si="0"/>
        <v>3.1790467122061405E-2</v>
      </c>
    </row>
    <row r="66" spans="1:4" x14ac:dyDescent="0.45">
      <c r="A66" t="s">
        <v>199</v>
      </c>
      <c r="B66"/>
      <c r="C66">
        <f>g4rgdp!B66</f>
        <v>3.1838954666431718</v>
      </c>
      <c r="D66">
        <f t="shared" si="0"/>
        <v>3.2441150093145937E-2</v>
      </c>
    </row>
    <row r="67" spans="1:4" x14ac:dyDescent="0.45">
      <c r="A67" t="s">
        <v>200</v>
      </c>
      <c r="B67"/>
      <c r="C67">
        <f>g4rgdp!B67</f>
        <v>1.9717430604423214</v>
      </c>
      <c r="D67">
        <f t="shared" si="0"/>
        <v>2.0270571778744306E-2</v>
      </c>
    </row>
    <row r="68" spans="1:4" x14ac:dyDescent="0.45">
      <c r="A68" t="s">
        <v>201</v>
      </c>
      <c r="B68"/>
      <c r="C68">
        <f>g4rgdp!B68</f>
        <v>2.6247454639046097</v>
      </c>
      <c r="D68">
        <f t="shared" si="0"/>
        <v>2.6827021982674688E-2</v>
      </c>
    </row>
    <row r="69" spans="1:4" x14ac:dyDescent="0.45">
      <c r="A69" t="s">
        <v>202</v>
      </c>
      <c r="B69"/>
      <c r="C69">
        <f>g4rgdp!B69</f>
        <v>4.4745793700634806</v>
      </c>
      <c r="D69">
        <f t="shared" si="0"/>
        <v>4.5400221448659628E-2</v>
      </c>
    </row>
    <row r="70" spans="1:4" x14ac:dyDescent="0.45">
      <c r="A70" t="s">
        <v>203</v>
      </c>
      <c r="B70"/>
      <c r="C70">
        <f>g4rgdp!B70</f>
        <v>4.1422609285168832</v>
      </c>
      <c r="D70">
        <f t="shared" si="0"/>
        <v>4.2063588532309515E-2</v>
      </c>
    </row>
    <row r="71" spans="1:4" x14ac:dyDescent="0.45">
      <c r="A71" t="s">
        <v>204</v>
      </c>
      <c r="B71"/>
      <c r="C71">
        <f>g4rgdp!B71</f>
        <v>4.7281420212291536</v>
      </c>
      <c r="D71">
        <f t="shared" ref="D71:D113" si="1">$Y$34+C71*$Y$35</f>
        <v>4.7946109315426602E-2</v>
      </c>
    </row>
    <row r="72" spans="1:4" x14ac:dyDescent="0.45">
      <c r="A72" t="s">
        <v>205</v>
      </c>
      <c r="B72"/>
      <c r="C72">
        <f>g4rgdp!B72</f>
        <v>6.5485865995775328</v>
      </c>
      <c r="D72">
        <f t="shared" si="1"/>
        <v>6.6224226154923779E-2</v>
      </c>
    </row>
    <row r="73" spans="1:4" x14ac:dyDescent="0.45">
      <c r="A73" t="s">
        <v>206</v>
      </c>
      <c r="B73"/>
      <c r="C73">
        <f>g4rgdp!B73</f>
        <v>5.7793359633667052</v>
      </c>
      <c r="D73">
        <f t="shared" si="1"/>
        <v>5.8500589206703382E-2</v>
      </c>
    </row>
    <row r="74" spans="1:4" x14ac:dyDescent="0.45">
      <c r="A74" t="s">
        <v>207</v>
      </c>
      <c r="B74"/>
      <c r="C74">
        <f>g4rgdp!B74</f>
        <v>6.6916274755312699</v>
      </c>
      <c r="D74">
        <f t="shared" si="1"/>
        <v>6.7660423595154826E-2</v>
      </c>
    </row>
    <row r="75" spans="1:4" x14ac:dyDescent="0.45">
      <c r="A75" t="s">
        <v>208</v>
      </c>
      <c r="B75"/>
      <c r="C75">
        <f>g4rgdp!B75</f>
        <v>5.7519754923520239</v>
      </c>
      <c r="D75">
        <f t="shared" si="1"/>
        <v>5.8225877253404723E-2</v>
      </c>
    </row>
    <row r="76" spans="1:4" x14ac:dyDescent="0.45">
      <c r="A76" t="s">
        <v>209</v>
      </c>
      <c r="B76"/>
      <c r="C76">
        <f>g4rgdp!B76</f>
        <v>4.5390491142894618</v>
      </c>
      <c r="D76">
        <f t="shared" si="1"/>
        <v>4.6047527898737936E-2</v>
      </c>
    </row>
    <row r="77" spans="1:4" x14ac:dyDescent="0.45">
      <c r="A77" t="s">
        <v>210</v>
      </c>
      <c r="B77"/>
      <c r="C77">
        <f>g4rgdp!B77</f>
        <v>4.1948600952361303</v>
      </c>
      <c r="D77">
        <f t="shared" si="1"/>
        <v>4.2591708820281612E-2</v>
      </c>
    </row>
    <row r="78" spans="1:4" x14ac:dyDescent="0.45">
      <c r="A78" t="s">
        <v>211</v>
      </c>
      <c r="B78"/>
      <c r="C78">
        <f>g4rgdp!B78</f>
        <v>3.0752722586658621</v>
      </c>
      <c r="D78">
        <f t="shared" si="1"/>
        <v>3.1350522171535944E-2</v>
      </c>
    </row>
    <row r="79" spans="1:4" x14ac:dyDescent="0.45">
      <c r="A79" t="s">
        <v>212</v>
      </c>
      <c r="B79"/>
      <c r="C79">
        <f>g4rgdp!B79</f>
        <v>3.1645413078104312</v>
      </c>
      <c r="D79">
        <f t="shared" si="1"/>
        <v>3.2246825266846649E-2</v>
      </c>
    </row>
    <row r="80" spans="1:4" x14ac:dyDescent="0.45">
      <c r="A80" t="s">
        <v>213</v>
      </c>
      <c r="B80"/>
      <c r="C80">
        <f>g4rgdp!B80</f>
        <v>2.087191927096832</v>
      </c>
      <c r="D80">
        <f t="shared" si="1"/>
        <v>2.1429732512773997E-2</v>
      </c>
    </row>
    <row r="81" spans="1:4" x14ac:dyDescent="0.45">
      <c r="A81" t="s">
        <v>214</v>
      </c>
      <c r="B81"/>
      <c r="C81">
        <f>g4rgdp!B81</f>
        <v>1.2678441360565174</v>
      </c>
      <c r="D81">
        <f t="shared" si="1"/>
        <v>1.3203096648689587E-2</v>
      </c>
    </row>
    <row r="82" spans="1:4" x14ac:dyDescent="0.45">
      <c r="A82" t="s">
        <v>215</v>
      </c>
      <c r="B82"/>
      <c r="C82">
        <f>g4rgdp!B82</f>
        <v>1.2853095107649537</v>
      </c>
      <c r="D82">
        <f t="shared" si="1"/>
        <v>1.3378457197076086E-2</v>
      </c>
    </row>
    <row r="83" spans="1:4" x14ac:dyDescent="0.45">
      <c r="A83" t="s">
        <v>216</v>
      </c>
      <c r="B83"/>
      <c r="C83">
        <f>g4rgdp!B83</f>
        <v>1.3297549646669182</v>
      </c>
      <c r="D83">
        <f t="shared" si="1"/>
        <v>1.3824710386580836E-2</v>
      </c>
    </row>
    <row r="84" spans="1:4" x14ac:dyDescent="0.45">
      <c r="A84" t="s">
        <v>217</v>
      </c>
      <c r="B84"/>
      <c r="C84">
        <f>g4rgdp!B84</f>
        <v>6.8307822048119249E-2</v>
      </c>
      <c r="D84">
        <f t="shared" si="1"/>
        <v>1.1591898132740056E-3</v>
      </c>
    </row>
    <row r="85" spans="1:4" x14ac:dyDescent="0.45">
      <c r="A85" t="s">
        <v>218</v>
      </c>
      <c r="B85"/>
      <c r="C85">
        <f>g4rgdp!B85</f>
        <v>-0.42260463413850147</v>
      </c>
      <c r="D85">
        <f t="shared" si="1"/>
        <v>-3.7698013457342075E-3</v>
      </c>
    </row>
    <row r="86" spans="1:4" x14ac:dyDescent="0.45">
      <c r="A86" t="s">
        <v>219</v>
      </c>
      <c r="B86"/>
      <c r="C86">
        <f>g4rgdp!B86</f>
        <v>-1.432770641948089</v>
      </c>
      <c r="D86">
        <f t="shared" si="1"/>
        <v>-1.3912341545877897E-2</v>
      </c>
    </row>
    <row r="87" spans="1:4" x14ac:dyDescent="0.45">
      <c r="A87" t="s">
        <v>220</v>
      </c>
      <c r="B87"/>
      <c r="C87">
        <f>g4rgdp!B87</f>
        <v>-2.2205635770937704</v>
      </c>
      <c r="D87">
        <f t="shared" si="1"/>
        <v>-2.1822151866490457E-2</v>
      </c>
    </row>
    <row r="88" spans="1:4" x14ac:dyDescent="0.45">
      <c r="A88" t="s">
        <v>221</v>
      </c>
      <c r="B88"/>
      <c r="C88">
        <f>g4rgdp!B88</f>
        <v>-1.3195717303755572</v>
      </c>
      <c r="D88">
        <f t="shared" si="1"/>
        <v>-1.2775771415462924E-2</v>
      </c>
    </row>
    <row r="89" spans="1:4" x14ac:dyDescent="0.45">
      <c r="A89" t="s">
        <v>222</v>
      </c>
      <c r="B89"/>
      <c r="C89">
        <f>g4rgdp!B89</f>
        <v>-0.68306477071953253</v>
      </c>
      <c r="D89">
        <f t="shared" si="1"/>
        <v>-6.3849431990383619E-3</v>
      </c>
    </row>
    <row r="90" spans="1:4" x14ac:dyDescent="0.45">
      <c r="A90" t="s">
        <v>223</v>
      </c>
      <c r="B90"/>
      <c r="C90">
        <f>g4rgdp!B90</f>
        <v>-0.1988287690883439</v>
      </c>
      <c r="D90">
        <f t="shared" si="1"/>
        <v>-1.5229867731328156E-3</v>
      </c>
    </row>
    <row r="91" spans="1:4" x14ac:dyDescent="0.45">
      <c r="A91" t="s">
        <v>224</v>
      </c>
      <c r="B91"/>
      <c r="C91">
        <f>g4rgdp!B91</f>
        <v>-0.22964829971616751</v>
      </c>
      <c r="D91">
        <f t="shared" si="1"/>
        <v>-1.8324293062666197E-3</v>
      </c>
    </row>
    <row r="92" spans="1:4" x14ac:dyDescent="0.45">
      <c r="A92" t="s">
        <v>225</v>
      </c>
      <c r="B92"/>
      <c r="C92">
        <f>g4rgdp!B92</f>
        <v>0.44393080806646168</v>
      </c>
      <c r="D92">
        <f t="shared" si="1"/>
        <v>4.9306206536861063E-3</v>
      </c>
    </row>
    <row r="93" spans="1:4" x14ac:dyDescent="0.45">
      <c r="A93" t="s">
        <v>226</v>
      </c>
      <c r="B93"/>
      <c r="C93">
        <f>g4rgdp!B93</f>
        <v>1.0818260081736142</v>
      </c>
      <c r="D93">
        <f t="shared" si="1"/>
        <v>1.1335387454931555E-2</v>
      </c>
    </row>
    <row r="94" spans="1:4" x14ac:dyDescent="0.45">
      <c r="A94" t="s">
        <v>227</v>
      </c>
      <c r="B94"/>
      <c r="C94">
        <f>g4rgdp!B94</f>
        <v>1.6084057491276837</v>
      </c>
      <c r="D94">
        <f t="shared" si="1"/>
        <v>1.6622494870859008E-2</v>
      </c>
    </row>
    <row r="95" spans="1:4" x14ac:dyDescent="0.45">
      <c r="A95" t="s">
        <v>228</v>
      </c>
      <c r="B95"/>
      <c r="C95">
        <f>g4rgdp!B95</f>
        <v>2.2006841983960967</v>
      </c>
      <c r="D95">
        <f t="shared" si="1"/>
        <v>2.2569248112347985E-2</v>
      </c>
    </row>
    <row r="96" spans="1:4" x14ac:dyDescent="0.45">
      <c r="A96" t="s">
        <v>229</v>
      </c>
      <c r="B96"/>
      <c r="C96">
        <f>g4rgdp!B96</f>
        <v>2.6315609248451111</v>
      </c>
      <c r="D96">
        <f t="shared" si="1"/>
        <v>2.6895452405038073E-2</v>
      </c>
    </row>
    <row r="97" spans="1:4" x14ac:dyDescent="0.45">
      <c r="A97" t="s">
        <v>230</v>
      </c>
      <c r="B97"/>
      <c r="C97">
        <f>g4rgdp!B97</f>
        <v>2.54408072713872</v>
      </c>
      <c r="D97">
        <f t="shared" si="1"/>
        <v>2.6017110216631317E-2</v>
      </c>
    </row>
    <row r="98" spans="1:4" x14ac:dyDescent="0.45">
      <c r="A98" t="s">
        <v>231</v>
      </c>
      <c r="B98"/>
      <c r="C98">
        <f>g4rgdp!B98</f>
        <v>3.0262071783029754</v>
      </c>
      <c r="D98">
        <f t="shared" si="1"/>
        <v>3.0857885767067196E-2</v>
      </c>
    </row>
    <row r="99" spans="1:4" x14ac:dyDescent="0.45">
      <c r="A99" t="s">
        <v>232</v>
      </c>
      <c r="B99"/>
      <c r="C99">
        <f>g4rgdp!B99</f>
        <v>3.4924704195326228</v>
      </c>
      <c r="D99">
        <f t="shared" si="1"/>
        <v>3.5539387254407293E-2</v>
      </c>
    </row>
    <row r="100" spans="1:4" x14ac:dyDescent="0.45">
      <c r="A100" t="s">
        <v>233</v>
      </c>
      <c r="B100"/>
      <c r="C100">
        <f>g4rgdp!B100</f>
        <v>3.5866899872310398</v>
      </c>
      <c r="D100">
        <f t="shared" si="1"/>
        <v>3.6485395876389645E-2</v>
      </c>
    </row>
    <row r="101" spans="1:4" x14ac:dyDescent="0.45">
      <c r="A101" t="s">
        <v>234</v>
      </c>
      <c r="B101"/>
      <c r="C101">
        <f>g4rgdp!B101</f>
        <v>3.3367670145855399</v>
      </c>
      <c r="D101">
        <f t="shared" si="1"/>
        <v>3.3976052087943534E-2</v>
      </c>
    </row>
    <row r="102" spans="1:4" x14ac:dyDescent="0.45">
      <c r="A102" t="s">
        <v>235</v>
      </c>
      <c r="B102"/>
      <c r="C102">
        <f>g4rgdp!B102</f>
        <v>2.8647713643831452</v>
      </c>
      <c r="D102">
        <f t="shared" si="1"/>
        <v>2.9236994527640902E-2</v>
      </c>
    </row>
    <row r="103" spans="1:4" x14ac:dyDescent="0.45">
      <c r="A103" t="s">
        <v>236</v>
      </c>
      <c r="B103"/>
      <c r="C103">
        <f>g4rgdp!B103</f>
        <v>2.1736852833358355</v>
      </c>
      <c r="D103">
        <f t="shared" si="1"/>
        <v>2.2298166350299048E-2</v>
      </c>
    </row>
    <row r="104" spans="1:4" x14ac:dyDescent="0.45">
      <c r="A104" t="s">
        <v>237</v>
      </c>
      <c r="B104"/>
      <c r="C104">
        <f>g4rgdp!B104</f>
        <v>2.2891491557318844</v>
      </c>
      <c r="D104">
        <f t="shared" si="1"/>
        <v>2.3457477749007225E-2</v>
      </c>
    </row>
    <row r="105" spans="1:4" x14ac:dyDescent="0.45">
      <c r="A105" t="s">
        <v>238</v>
      </c>
      <c r="B105"/>
      <c r="C105">
        <f>g4rgdp!B105</f>
        <v>2.1876038392369068</v>
      </c>
      <c r="D105">
        <f t="shared" si="1"/>
        <v>2.2437915175406192E-2</v>
      </c>
    </row>
    <row r="106" spans="1:4" x14ac:dyDescent="0.45">
      <c r="A106" t="s">
        <v>239</v>
      </c>
      <c r="B106"/>
      <c r="C106">
        <f>g4rgdp!B106</f>
        <v>2.3654978400044158</v>
      </c>
      <c r="D106">
        <f t="shared" si="1"/>
        <v>2.4224054325011148E-2</v>
      </c>
    </row>
    <row r="107" spans="1:4" x14ac:dyDescent="0.45">
      <c r="A107" t="s">
        <v>240</v>
      </c>
      <c r="B107"/>
      <c r="C107">
        <f>g4rgdp!B107</f>
        <v>2.465517302026754</v>
      </c>
      <c r="D107">
        <f t="shared" si="1"/>
        <v>2.5228296604513322E-2</v>
      </c>
    </row>
    <row r="108" spans="1:4" x14ac:dyDescent="0.45">
      <c r="A108" t="s">
        <v>241</v>
      </c>
      <c r="B108"/>
      <c r="C108">
        <f>g4rgdp!B108</f>
        <v>2.2367187156998369</v>
      </c>
      <c r="D108">
        <f t="shared" si="1"/>
        <v>2.2931051556059637E-2</v>
      </c>
    </row>
    <row r="109" spans="1:4" x14ac:dyDescent="0.45">
      <c r="A109" t="s">
        <v>242</v>
      </c>
      <c r="B109"/>
      <c r="C109">
        <f>g4rgdp!B109</f>
        <v>3.2480544413102663</v>
      </c>
      <c r="D109">
        <f t="shared" si="1"/>
        <v>3.3085336271190119E-2</v>
      </c>
    </row>
    <row r="110" spans="1:4" x14ac:dyDescent="0.45">
      <c r="A110" t="s">
        <v>243</v>
      </c>
      <c r="B110"/>
      <c r="C110">
        <f>g4rgdp!B110</f>
        <v>4.1354057540637257</v>
      </c>
      <c r="D110">
        <f t="shared" si="1"/>
        <v>4.1994759367664669E-2</v>
      </c>
    </row>
    <row r="111" spans="1:4" x14ac:dyDescent="0.45">
      <c r="A111" t="s">
        <v>244</v>
      </c>
      <c r="B111"/>
      <c r="C111">
        <f>g4rgdp!B111</f>
        <v>4.926874591799546</v>
      </c>
      <c r="D111">
        <f t="shared" si="1"/>
        <v>4.9941477473239362E-2</v>
      </c>
    </row>
    <row r="112" spans="1:4" x14ac:dyDescent="0.45">
      <c r="A112" t="s">
        <v>245</v>
      </c>
      <c r="B112"/>
      <c r="C112">
        <f>g4rgdp!B112</f>
        <v>4.9315410509876756</v>
      </c>
      <c r="D112">
        <f t="shared" si="1"/>
        <v>4.9988330910735804E-2</v>
      </c>
    </row>
    <row r="113" spans="1:4" x14ac:dyDescent="0.45">
      <c r="A113" t="s">
        <v>246</v>
      </c>
      <c r="B113"/>
      <c r="C113">
        <f>g4rgdp!B113</f>
        <v>5.0521652883238843</v>
      </c>
      <c r="D113">
        <f t="shared" si="1"/>
        <v>5.1199454792192706E-2</v>
      </c>
    </row>
    <row r="114" spans="1:4" s="10" customFormat="1" x14ac:dyDescent="0.45">
      <c r="A114" s="10" t="s">
        <v>247</v>
      </c>
      <c r="B114">
        <v>4.0205072854829993E-2</v>
      </c>
      <c r="C114" s="10">
        <f>g4rgdp!B114</f>
        <v>4.1719365028084709</v>
      </c>
      <c r="D114" s="10">
        <f>B114</f>
        <v>4.0205072854829993E-2</v>
      </c>
    </row>
    <row r="115" spans="1:4" x14ac:dyDescent="0.45">
      <c r="A115" t="s">
        <v>248</v>
      </c>
      <c r="B115">
        <v>3.6858974358974228E-2</v>
      </c>
      <c r="C115">
        <f>g4rgdp!B115</f>
        <v>3.6393306860484032</v>
      </c>
      <c r="D115" s="10">
        <f t="shared" ref="D115:D178" si="2">B115</f>
        <v>3.6858974358974228E-2</v>
      </c>
    </row>
    <row r="116" spans="1:4" x14ac:dyDescent="0.45">
      <c r="A116" t="s">
        <v>249</v>
      </c>
      <c r="B116">
        <v>3.0752916224814575E-2</v>
      </c>
      <c r="C116">
        <f>g4rgdp!B116</f>
        <v>2.9031231095872911</v>
      </c>
      <c r="D116" s="10">
        <f t="shared" si="2"/>
        <v>3.0752916224814575E-2</v>
      </c>
    </row>
    <row r="117" spans="1:4" x14ac:dyDescent="0.45">
      <c r="A117" t="s">
        <v>250</v>
      </c>
      <c r="B117">
        <v>2.3797071129707303E-2</v>
      </c>
      <c r="C117">
        <f>g4rgdp!B117</f>
        <v>2.0918382235938893</v>
      </c>
      <c r="D117" s="10">
        <f t="shared" si="2"/>
        <v>2.3797071129707303E-2</v>
      </c>
    </row>
    <row r="118" spans="1:4" x14ac:dyDescent="0.45">
      <c r="A118" t="s">
        <v>251</v>
      </c>
      <c r="B118">
        <v>2.2055007784120395E-2</v>
      </c>
      <c r="C118">
        <f>g4rgdp!B118</f>
        <v>2.0629497796226914</v>
      </c>
      <c r="D118" s="10">
        <f t="shared" si="2"/>
        <v>2.2055007784120395E-2</v>
      </c>
    </row>
    <row r="119" spans="1:4" x14ac:dyDescent="0.45">
      <c r="A119" t="s">
        <v>252</v>
      </c>
      <c r="B119">
        <v>1.6752577319587791E-2</v>
      </c>
      <c r="C119">
        <f>g4rgdp!B119</f>
        <v>1.8521940890829924</v>
      </c>
      <c r="D119" s="10">
        <f t="shared" si="2"/>
        <v>1.6752577319587791E-2</v>
      </c>
    </row>
    <row r="120" spans="1:4" x14ac:dyDescent="0.45">
      <c r="A120" t="s">
        <v>253</v>
      </c>
      <c r="B120">
        <v>3.1876606683804543E-2</v>
      </c>
      <c r="C120">
        <f>g4rgdp!B120</f>
        <v>3.3537335661769418</v>
      </c>
      <c r="D120" s="10">
        <f t="shared" si="2"/>
        <v>3.1876606683804543E-2</v>
      </c>
    </row>
    <row r="121" spans="1:4" x14ac:dyDescent="0.45">
      <c r="A121" t="s">
        <v>254</v>
      </c>
      <c r="B121">
        <v>4.3877551020408356E-2</v>
      </c>
      <c r="C121">
        <f>g4rgdp!B121</f>
        <v>4.3021025739928831</v>
      </c>
      <c r="D121" s="10">
        <f t="shared" si="2"/>
        <v>4.3877551020408356E-2</v>
      </c>
    </row>
    <row r="122" spans="1:4" x14ac:dyDescent="0.45">
      <c r="A122" t="s">
        <v>255</v>
      </c>
      <c r="B122">
        <v>5.2511415525114291E-2</v>
      </c>
      <c r="C122">
        <f>g4rgdp!B122</f>
        <v>4.9448006715488546</v>
      </c>
      <c r="D122" s="10">
        <f t="shared" si="2"/>
        <v>5.2511415525114291E-2</v>
      </c>
    </row>
    <row r="123" spans="1:4" x14ac:dyDescent="0.45">
      <c r="A123" t="s">
        <v>256</v>
      </c>
      <c r="B123">
        <v>5.1593323216995612E-2</v>
      </c>
      <c r="C123">
        <f>g4rgdp!B123</f>
        <v>5.2988788926578323</v>
      </c>
      <c r="D123" s="10">
        <f t="shared" si="2"/>
        <v>5.1593323216995612E-2</v>
      </c>
    </row>
    <row r="124" spans="1:4" x14ac:dyDescent="0.45">
      <c r="A124" t="s">
        <v>257</v>
      </c>
      <c r="B124">
        <v>4.2992047713717341E-2</v>
      </c>
      <c r="C124">
        <f>g4rgdp!B124</f>
        <v>4.2461604454311797</v>
      </c>
      <c r="D124" s="10">
        <f t="shared" si="2"/>
        <v>4.2992047713717341E-2</v>
      </c>
    </row>
    <row r="125" spans="1:4" x14ac:dyDescent="0.45">
      <c r="A125" t="s">
        <v>258</v>
      </c>
      <c r="B125">
        <v>3.2486565705911019E-2</v>
      </c>
      <c r="C125">
        <f>g4rgdp!B125</f>
        <v>3.2417271668471415</v>
      </c>
      <c r="D125" s="10">
        <f t="shared" si="2"/>
        <v>3.2486565705911019E-2</v>
      </c>
    </row>
    <row r="126" spans="1:4" x14ac:dyDescent="0.45">
      <c r="A126" t="s">
        <v>259</v>
      </c>
      <c r="B126">
        <v>2.753623188405796E-2</v>
      </c>
      <c r="C126">
        <f>g4rgdp!B126</f>
        <v>2.7447149947702698</v>
      </c>
      <c r="D126" s="10">
        <f t="shared" si="2"/>
        <v>2.753623188405796E-2</v>
      </c>
    </row>
    <row r="127" spans="1:4" x14ac:dyDescent="0.45">
      <c r="A127" t="s">
        <v>260</v>
      </c>
      <c r="B127">
        <v>2.4197412553905284E-2</v>
      </c>
      <c r="C127">
        <f>g4rgdp!B127</f>
        <v>2.4366194226058013</v>
      </c>
      <c r="D127" s="10">
        <f t="shared" si="2"/>
        <v>2.4197412553905284E-2</v>
      </c>
    </row>
    <row r="128" spans="1:4" x14ac:dyDescent="0.45">
      <c r="A128" t="s">
        <v>261</v>
      </c>
      <c r="B128">
        <v>2.3084245597335018E-2</v>
      </c>
      <c r="C128">
        <f>g4rgdp!B128</f>
        <v>2.2998205250360115</v>
      </c>
      <c r="D128" s="10">
        <f t="shared" si="2"/>
        <v>2.3084245597335018E-2</v>
      </c>
    </row>
    <row r="129" spans="1:4" x14ac:dyDescent="0.45">
      <c r="A129" t="s">
        <v>262</v>
      </c>
      <c r="B129">
        <v>1.7477562588568807E-2</v>
      </c>
      <c r="C129">
        <f>g4rgdp!B129</f>
        <v>1.9766335548498049</v>
      </c>
      <c r="D129" s="10">
        <f t="shared" si="2"/>
        <v>1.7477562588568807E-2</v>
      </c>
    </row>
    <row r="130" spans="1:4" x14ac:dyDescent="0.45">
      <c r="A130" t="s">
        <v>263</v>
      </c>
      <c r="B130">
        <v>1.1726078799249473E-2</v>
      </c>
      <c r="C130">
        <f>g4rgdp!B130</f>
        <v>1.4520015873154435</v>
      </c>
      <c r="D130" s="10">
        <f t="shared" si="2"/>
        <v>1.1726078799249473E-2</v>
      </c>
    </row>
    <row r="131" spans="1:4" x14ac:dyDescent="0.45">
      <c r="A131" t="s">
        <v>264</v>
      </c>
      <c r="B131">
        <v>1.9383465670247624E-2</v>
      </c>
      <c r="C131">
        <f>g4rgdp!B131</f>
        <v>1.5677449524503118</v>
      </c>
      <c r="D131" s="10">
        <f t="shared" si="2"/>
        <v>1.9383465670247624E-2</v>
      </c>
    </row>
    <row r="132" spans="1:4" x14ac:dyDescent="0.45">
      <c r="A132" t="s">
        <v>265</v>
      </c>
      <c r="B132">
        <v>1.4192647743136222E-2</v>
      </c>
      <c r="C132">
        <f>g4rgdp!B132</f>
        <v>1.6823653036096786</v>
      </c>
      <c r="D132" s="10">
        <f t="shared" si="2"/>
        <v>1.4192647743136222E-2</v>
      </c>
    </row>
    <row r="133" spans="1:4" x14ac:dyDescent="0.45">
      <c r="A133" t="s">
        <v>266</v>
      </c>
      <c r="B133">
        <v>1.9498607242339761E-2</v>
      </c>
      <c r="C133">
        <f>g4rgdp!B133</f>
        <v>2.0714195262769408</v>
      </c>
      <c r="D133" s="10">
        <f t="shared" si="2"/>
        <v>1.9498607242339761E-2</v>
      </c>
    </row>
    <row r="134" spans="1:4" x14ac:dyDescent="0.45">
      <c r="A134" t="s">
        <v>267</v>
      </c>
      <c r="B134">
        <v>2.594995366079722E-2</v>
      </c>
      <c r="C134">
        <f>g4rgdp!B134</f>
        <v>2.6088736037111815</v>
      </c>
      <c r="D134" s="10">
        <f t="shared" si="2"/>
        <v>2.594995366079722E-2</v>
      </c>
    </row>
    <row r="135" spans="1:4" x14ac:dyDescent="0.45">
      <c r="A135" t="s">
        <v>268</v>
      </c>
      <c r="B135">
        <v>2.9303184125519133E-2</v>
      </c>
      <c r="C135">
        <f>g4rgdp!B135</f>
        <v>3.0071672701115659</v>
      </c>
      <c r="D135" s="10">
        <f t="shared" si="2"/>
        <v>2.9303184125519133E-2</v>
      </c>
    </row>
    <row r="136" spans="1:4" x14ac:dyDescent="0.45">
      <c r="A136" t="s">
        <v>269</v>
      </c>
      <c r="B136">
        <v>3.1593406593406481E-2</v>
      </c>
      <c r="C136">
        <f>g4rgdp!B136</f>
        <v>3.4598865958308522</v>
      </c>
      <c r="D136" s="10">
        <f t="shared" si="2"/>
        <v>3.1593406593406481E-2</v>
      </c>
    </row>
    <row r="137" spans="1:4" x14ac:dyDescent="0.45">
      <c r="A137" t="s">
        <v>270</v>
      </c>
      <c r="B137">
        <v>3.4576888080072976E-2</v>
      </c>
      <c r="C137">
        <f>g4rgdp!B137</f>
        <v>3.5824910619535189</v>
      </c>
      <c r="D137" s="10">
        <f t="shared" si="2"/>
        <v>3.4576888080072976E-2</v>
      </c>
    </row>
    <row r="138" spans="1:4" x14ac:dyDescent="0.45">
      <c r="A138" t="s">
        <v>271</v>
      </c>
      <c r="B138">
        <v>2.9132791327913132E-2</v>
      </c>
      <c r="C138">
        <f>g4rgdp!B138</f>
        <v>3.0585884427317467</v>
      </c>
      <c r="D138" s="10">
        <f t="shared" si="2"/>
        <v>2.9132791327913132E-2</v>
      </c>
    </row>
    <row r="139" spans="1:4" x14ac:dyDescent="0.45">
      <c r="A139" t="s">
        <v>272</v>
      </c>
      <c r="B139">
        <v>2.2147651006711566E-2</v>
      </c>
      <c r="C139">
        <f>g4rgdp!B139</f>
        <v>2.6141338012115156</v>
      </c>
      <c r="D139" s="10">
        <f t="shared" si="2"/>
        <v>2.2147651006711566E-2</v>
      </c>
    </row>
    <row r="140" spans="1:4" x14ac:dyDescent="0.45">
      <c r="A140" t="s">
        <v>273</v>
      </c>
      <c r="B140">
        <v>1.617190961453252E-2</v>
      </c>
      <c r="C140">
        <f>g4rgdp!B140</f>
        <v>1.9334477180365184</v>
      </c>
      <c r="D140" s="10">
        <f t="shared" si="2"/>
        <v>1.617190961453252E-2</v>
      </c>
    </row>
    <row r="141" spans="1:4" x14ac:dyDescent="0.45">
      <c r="A141" t="s">
        <v>274</v>
      </c>
      <c r="B141">
        <v>1.3620386643233617E-2</v>
      </c>
      <c r="C141">
        <f>g4rgdp!B141</f>
        <v>1.6083620737489923</v>
      </c>
      <c r="D141" s="10">
        <f t="shared" si="2"/>
        <v>1.3620386643233617E-2</v>
      </c>
    </row>
    <row r="142" spans="1:4" x14ac:dyDescent="0.45">
      <c r="A142" t="s">
        <v>275</v>
      </c>
      <c r="B142">
        <v>2.3026315789473673E-2</v>
      </c>
      <c r="C142">
        <f>g4rgdp!B142</f>
        <v>2.0601574166702719</v>
      </c>
      <c r="D142" s="10">
        <f t="shared" si="2"/>
        <v>2.3026315789473673E-2</v>
      </c>
    </row>
    <row r="143" spans="1:4" x14ac:dyDescent="0.45">
      <c r="A143" t="s">
        <v>276</v>
      </c>
      <c r="B143">
        <v>2.5349650349650421E-2</v>
      </c>
      <c r="C143">
        <f>g4rgdp!B143</f>
        <v>2.409415368089185</v>
      </c>
      <c r="D143" s="10">
        <f t="shared" si="2"/>
        <v>2.5349650349650421E-2</v>
      </c>
    </row>
    <row r="144" spans="1:4" x14ac:dyDescent="0.45">
      <c r="A144" t="s">
        <v>277</v>
      </c>
      <c r="B144">
        <v>3.2679738562091609E-2</v>
      </c>
      <c r="C144">
        <f>g4rgdp!B144</f>
        <v>2.9688843826969347</v>
      </c>
      <c r="D144" s="10">
        <f t="shared" si="2"/>
        <v>3.2679738562091609E-2</v>
      </c>
    </row>
    <row r="145" spans="1:4" x14ac:dyDescent="0.45">
      <c r="A145" t="s">
        <v>278</v>
      </c>
      <c r="B145">
        <v>3.5961871750433083E-2</v>
      </c>
      <c r="C145">
        <f>g4rgdp!B145</f>
        <v>3.5541708920007409</v>
      </c>
      <c r="D145" s="10">
        <f t="shared" si="2"/>
        <v>3.5961871750433083E-2</v>
      </c>
    </row>
    <row r="146" spans="1:4" x14ac:dyDescent="0.45">
      <c r="A146" t="s">
        <v>279</v>
      </c>
      <c r="B146">
        <v>3.5438144329896781E-2</v>
      </c>
      <c r="C146">
        <f>g4rgdp!B146</f>
        <v>3.145049461128302</v>
      </c>
      <c r="D146" s="10">
        <f t="shared" si="2"/>
        <v>3.5438144329896781E-2</v>
      </c>
    </row>
    <row r="147" spans="1:4" x14ac:dyDescent="0.45">
      <c r="A147" t="s">
        <v>280</v>
      </c>
      <c r="B147">
        <v>2.6819923371647514E-2</v>
      </c>
      <c r="C147">
        <f>g4rgdp!B147</f>
        <v>2.5812846102141407</v>
      </c>
      <c r="D147" s="10">
        <f t="shared" si="2"/>
        <v>2.6819923371647514E-2</v>
      </c>
    </row>
    <row r="148" spans="1:4" x14ac:dyDescent="0.45">
      <c r="A148" t="s">
        <v>281</v>
      </c>
      <c r="B148">
        <v>1.6638584667228118E-2</v>
      </c>
      <c r="C148">
        <f>g4rgdp!B148</f>
        <v>1.8220003728446343</v>
      </c>
      <c r="D148" s="10">
        <f t="shared" si="2"/>
        <v>1.6638584667228118E-2</v>
      </c>
    </row>
    <row r="149" spans="1:4" x14ac:dyDescent="0.45">
      <c r="A149" t="s">
        <v>282</v>
      </c>
      <c r="B149">
        <v>7.0803831736778733E-3</v>
      </c>
      <c r="C149">
        <f>g4rgdp!B149</f>
        <v>1.1364043009365332</v>
      </c>
      <c r="D149" s="10">
        <f t="shared" si="2"/>
        <v>7.0803831736778733E-3</v>
      </c>
    </row>
    <row r="150" spans="1:4" x14ac:dyDescent="0.45">
      <c r="A150" t="s">
        <v>283</v>
      </c>
      <c r="B150">
        <v>1.5748031496063186E-2</v>
      </c>
      <c r="C150">
        <f>g4rgdp!B150</f>
        <v>1.8686461157876977</v>
      </c>
      <c r="D150" s="10">
        <f t="shared" si="2"/>
        <v>1.5748031496063186E-2</v>
      </c>
    </row>
    <row r="151" spans="1:4" x14ac:dyDescent="0.45">
      <c r="A151" t="s">
        <v>284</v>
      </c>
      <c r="B151">
        <v>2.4420529801324253E-2</v>
      </c>
      <c r="C151">
        <f>g4rgdp!B151</f>
        <v>2.5396673031453432</v>
      </c>
      <c r="D151" s="10">
        <f t="shared" si="2"/>
        <v>2.4420529801324253E-2</v>
      </c>
    </row>
    <row r="152" spans="1:4" x14ac:dyDescent="0.45">
      <c r="A152" t="s">
        <v>285</v>
      </c>
      <c r="B152">
        <v>3.2258064516129226E-2</v>
      </c>
      <c r="C152">
        <f>g4rgdp!B152</f>
        <v>3.3205422036026278</v>
      </c>
      <c r="D152" s="10">
        <f t="shared" si="2"/>
        <v>3.2258064516129226E-2</v>
      </c>
    </row>
    <row r="153" spans="1:4" x14ac:dyDescent="0.45">
      <c r="A153" t="s">
        <v>286</v>
      </c>
      <c r="B153">
        <v>3.6464771322620493E-2</v>
      </c>
      <c r="C153">
        <f>g4rgdp!B153</f>
        <v>3.8072090946027259</v>
      </c>
      <c r="D153" s="10">
        <f t="shared" si="2"/>
        <v>3.6464771322620493E-2</v>
      </c>
    </row>
    <row r="154" spans="1:4" x14ac:dyDescent="0.45">
      <c r="A154" t="s">
        <v>287</v>
      </c>
      <c r="B154">
        <v>3.5030549898167118E-2</v>
      </c>
      <c r="C154">
        <f>g4rgdp!B154</f>
        <v>3.0888582016707744</v>
      </c>
      <c r="D154" s="10">
        <f t="shared" si="2"/>
        <v>3.5030549898167118E-2</v>
      </c>
    </row>
    <row r="155" spans="1:4" x14ac:dyDescent="0.45">
      <c r="A155" t="s">
        <v>288</v>
      </c>
      <c r="B155">
        <v>2.0169423154497768E-2</v>
      </c>
      <c r="C155">
        <f>g4rgdp!B155</f>
        <v>1.6147396584909046</v>
      </c>
      <c r="D155" s="10">
        <f t="shared" si="2"/>
        <v>2.0169423154497768E-2</v>
      </c>
    </row>
    <row r="156" spans="1:4" x14ac:dyDescent="0.45">
      <c r="A156" t="s">
        <v>289</v>
      </c>
      <c r="B156">
        <v>-1.9992003198723296E-3</v>
      </c>
      <c r="C156">
        <f>g4rgdp!B156</f>
        <v>-0.97853872879998249</v>
      </c>
      <c r="D156" s="10">
        <f t="shared" si="2"/>
        <v>-1.9992003198723296E-3</v>
      </c>
    </row>
    <row r="157" spans="1:4" x14ac:dyDescent="0.45">
      <c r="A157" t="s">
        <v>290</v>
      </c>
      <c r="B157">
        <v>-3.1931773105910444E-2</v>
      </c>
      <c r="C157">
        <f>g4rgdp!B157</f>
        <v>-3.9589230193973535</v>
      </c>
      <c r="D157" s="10">
        <f t="shared" si="2"/>
        <v>-3.1931773105910444E-2</v>
      </c>
    </row>
    <row r="158" spans="1:4" x14ac:dyDescent="0.45">
      <c r="A158" t="s">
        <v>291</v>
      </c>
      <c r="B158">
        <v>-5.702446724546173E-2</v>
      </c>
      <c r="C158">
        <f>g4rgdp!B158</f>
        <v>-6.3758629090253649</v>
      </c>
      <c r="D158" s="10">
        <f t="shared" si="2"/>
        <v>-5.702446724546173E-2</v>
      </c>
    </row>
    <row r="159" spans="1:4" x14ac:dyDescent="0.45">
      <c r="A159" t="s">
        <v>292</v>
      </c>
      <c r="B159">
        <v>-5.923137876386686E-2</v>
      </c>
      <c r="C159">
        <f>g4rgdp!B159</f>
        <v>-6.1273136974673292</v>
      </c>
      <c r="D159" s="10">
        <f t="shared" si="2"/>
        <v>-5.923137876386686E-2</v>
      </c>
    </row>
    <row r="160" spans="1:4" x14ac:dyDescent="0.45">
      <c r="A160" t="s">
        <v>293</v>
      </c>
      <c r="B160">
        <v>-4.3259557344064281E-2</v>
      </c>
      <c r="C160">
        <f>g4rgdp!B160</f>
        <v>-4.3479885117427841</v>
      </c>
      <c r="D160" s="10">
        <f t="shared" si="2"/>
        <v>-4.3259557344064281E-2</v>
      </c>
    </row>
    <row r="161" spans="1:4" x14ac:dyDescent="0.45">
      <c r="A161" t="s">
        <v>294</v>
      </c>
      <c r="B161">
        <v>-1.9539284245166488E-2</v>
      </c>
      <c r="C161">
        <f>g4rgdp!B161</f>
        <v>-1.876467668347459</v>
      </c>
      <c r="D161" s="10">
        <f t="shared" si="2"/>
        <v>-1.9539284245166488E-2</v>
      </c>
    </row>
    <row r="162" spans="1:4" x14ac:dyDescent="0.45">
      <c r="A162" t="s">
        <v>295</v>
      </c>
      <c r="B162">
        <v>5.2454888795634425E-3</v>
      </c>
      <c r="C162">
        <f>g4rgdp!B162</f>
        <v>1.0033949156222022</v>
      </c>
      <c r="D162" s="10">
        <f t="shared" si="2"/>
        <v>5.2454888795634425E-3</v>
      </c>
    </row>
    <row r="163" spans="1:4" x14ac:dyDescent="0.45">
      <c r="A163" t="s">
        <v>296</v>
      </c>
      <c r="B163">
        <v>2.5484414490311691E-2</v>
      </c>
      <c r="C163">
        <f>g4rgdp!B163</f>
        <v>2.4288188669924438</v>
      </c>
      <c r="D163" s="10">
        <f t="shared" si="2"/>
        <v>2.5484414490311691E-2</v>
      </c>
    </row>
    <row r="164" spans="1:4" x14ac:dyDescent="0.45">
      <c r="A164" t="s">
        <v>297</v>
      </c>
      <c r="B164">
        <v>3.0500631047539084E-2</v>
      </c>
      <c r="C164">
        <f>g4rgdp!B164</f>
        <v>2.8909858501913632</v>
      </c>
      <c r="D164" s="10">
        <f t="shared" si="2"/>
        <v>3.0500631047539084E-2</v>
      </c>
    </row>
    <row r="165" spans="1:4" x14ac:dyDescent="0.45">
      <c r="A165" t="s">
        <v>298</v>
      </c>
      <c r="B165">
        <v>3.1210724759112018E-2</v>
      </c>
      <c r="C165">
        <f>g4rgdp!B165</f>
        <v>2.608718286948708</v>
      </c>
      <c r="D165" s="10">
        <f t="shared" si="2"/>
        <v>3.1210724759112018E-2</v>
      </c>
    </row>
    <row r="166" spans="1:4" x14ac:dyDescent="0.45">
      <c r="A166" t="s">
        <v>299</v>
      </c>
      <c r="B166">
        <v>1.7434620174346271E-2</v>
      </c>
      <c r="C166">
        <f>g4rgdp!B166</f>
        <v>1.9363401382097578</v>
      </c>
      <c r="D166" s="10">
        <f t="shared" si="2"/>
        <v>1.7434620174346271E-2</v>
      </c>
    </row>
    <row r="167" spans="1:4" x14ac:dyDescent="0.45">
      <c r="A167" t="s">
        <v>300</v>
      </c>
      <c r="B167">
        <v>5.33223954060702E-3</v>
      </c>
      <c r="C167">
        <f>g4rgdp!B167</f>
        <v>0.75255857166425244</v>
      </c>
      <c r="D167" s="10">
        <f t="shared" si="2"/>
        <v>5.33223954060702E-3</v>
      </c>
    </row>
    <row r="168" spans="1:4" x14ac:dyDescent="0.45">
      <c r="A168" t="s">
        <v>301</v>
      </c>
      <c r="B168">
        <v>3.8743882544862718E-3</v>
      </c>
      <c r="C168">
        <f>g4rgdp!B168</f>
        <v>0.34008565796064261</v>
      </c>
      <c r="D168" s="10">
        <f t="shared" si="2"/>
        <v>3.8743882544862718E-3</v>
      </c>
    </row>
    <row r="169" spans="1:4" x14ac:dyDescent="0.45">
      <c r="A169" t="s">
        <v>302</v>
      </c>
      <c r="B169">
        <v>4.0766408479409044E-4</v>
      </c>
      <c r="C169">
        <f>g4rgdp!B169</f>
        <v>0.37231050739290339</v>
      </c>
      <c r="D169" s="10">
        <f t="shared" si="2"/>
        <v>4.0766408479409044E-4</v>
      </c>
    </row>
    <row r="170" spans="1:4" x14ac:dyDescent="0.45">
      <c r="A170" t="s">
        <v>303</v>
      </c>
      <c r="B170">
        <v>1.5281173594132058E-2</v>
      </c>
      <c r="C170">
        <f>g4rgdp!B170</f>
        <v>1.1476164043578763</v>
      </c>
      <c r="D170" s="10">
        <f t="shared" si="2"/>
        <v>1.5281173594132058E-2</v>
      </c>
    </row>
    <row r="171" spans="1:4" x14ac:dyDescent="0.45">
      <c r="A171" t="s">
        <v>304</v>
      </c>
      <c r="B171">
        <v>1.5478615071283119E-2</v>
      </c>
      <c r="C171">
        <f>g4rgdp!B171</f>
        <v>1.1425807784245734</v>
      </c>
      <c r="D171" s="10">
        <f t="shared" si="2"/>
        <v>1.5478615071283119E-2</v>
      </c>
    </row>
    <row r="172" spans="1:4" x14ac:dyDescent="0.45">
      <c r="A172" t="s">
        <v>305</v>
      </c>
      <c r="B172">
        <v>2.4583502641202681E-2</v>
      </c>
      <c r="C172">
        <f>g4rgdp!B172</f>
        <v>1.9998276871007192</v>
      </c>
      <c r="D172" s="10">
        <f t="shared" si="2"/>
        <v>2.4583502641202681E-2</v>
      </c>
    </row>
    <row r="173" spans="1:4" x14ac:dyDescent="0.45">
      <c r="A173" t="s">
        <v>306</v>
      </c>
      <c r="B173">
        <v>1.94647201946474E-2</v>
      </c>
      <c r="C173">
        <f>g4rgdp!B173</f>
        <v>1.7725766415544797</v>
      </c>
      <c r="D173" s="10">
        <f t="shared" si="2"/>
        <v>1.94647201946474E-2</v>
      </c>
    </row>
    <row r="174" spans="1:4" x14ac:dyDescent="0.45">
      <c r="A174" t="s">
        <v>307</v>
      </c>
      <c r="B174">
        <v>1.0240963855421725E-2</v>
      </c>
      <c r="C174">
        <f>g4rgdp!B174</f>
        <v>1.0983794460646124</v>
      </c>
      <c r="D174" s="10">
        <f t="shared" si="2"/>
        <v>1.0240963855421725E-2</v>
      </c>
    </row>
    <row r="175" spans="1:4" x14ac:dyDescent="0.45">
      <c r="A175" t="s">
        <v>308</v>
      </c>
      <c r="B175">
        <v>1.7276014463640132E-2</v>
      </c>
      <c r="C175">
        <f>g4rgdp!B175</f>
        <v>1.814322403130042</v>
      </c>
      <c r="D175" s="10">
        <f t="shared" si="2"/>
        <v>1.7276014463640132E-2</v>
      </c>
    </row>
    <row r="176" spans="1:4" x14ac:dyDescent="0.45">
      <c r="A176" t="s">
        <v>309</v>
      </c>
      <c r="B176">
        <v>1.3916500994035852E-2</v>
      </c>
      <c r="C176">
        <f>g4rgdp!B176</f>
        <v>1.5465634651546267</v>
      </c>
      <c r="D176" s="10">
        <f t="shared" si="2"/>
        <v>1.3916500994035852E-2</v>
      </c>
    </row>
    <row r="177" spans="1:4" x14ac:dyDescent="0.45">
      <c r="A177" t="s">
        <v>310</v>
      </c>
      <c r="B177">
        <v>2.3487261146496907E-2</v>
      </c>
      <c r="C177">
        <f>g4rgdp!B177</f>
        <v>2.3483157336126936</v>
      </c>
      <c r="D177" s="10">
        <f t="shared" si="2"/>
        <v>2.3487261146496907E-2</v>
      </c>
    </row>
    <row r="178" spans="1:4" x14ac:dyDescent="0.45">
      <c r="A178" t="s">
        <v>311</v>
      </c>
      <c r="B178">
        <v>2.6409849086576953E-2</v>
      </c>
      <c r="C178">
        <f>g4rgdp!B178</f>
        <v>2.8812519716714391</v>
      </c>
      <c r="D178" s="10">
        <f t="shared" si="2"/>
        <v>2.6409849086576953E-2</v>
      </c>
    </row>
    <row r="179" spans="1:4" x14ac:dyDescent="0.45">
      <c r="A179" t="s">
        <v>312</v>
      </c>
      <c r="B179">
        <v>2.9585798816567976E-2</v>
      </c>
      <c r="C179">
        <f>g4rgdp!B179</f>
        <v>3.1547878809671914</v>
      </c>
      <c r="D179" s="10">
        <f t="shared" ref="D179:D224" si="3">B179</f>
        <v>2.9585798816567976E-2</v>
      </c>
    </row>
    <row r="180" spans="1:4" x14ac:dyDescent="0.45">
      <c r="A180" t="s">
        <v>313</v>
      </c>
      <c r="B180">
        <v>3.3307210031348067E-2</v>
      </c>
      <c r="C180">
        <f>g4rgdp!B180</f>
        <v>3.2023444354880581</v>
      </c>
      <c r="D180" s="10">
        <f t="shared" si="3"/>
        <v>3.3307210031348067E-2</v>
      </c>
    </row>
    <row r="181" spans="1:4" x14ac:dyDescent="0.45">
      <c r="A181" t="s">
        <v>314</v>
      </c>
      <c r="B181">
        <v>3.3294392523364413E-2</v>
      </c>
      <c r="C181">
        <f>g4rgdp!B181</f>
        <v>3.2028030667737184</v>
      </c>
      <c r="D181" s="10">
        <f t="shared" si="3"/>
        <v>3.3294392523364413E-2</v>
      </c>
    </row>
    <row r="182" spans="1:4" x14ac:dyDescent="0.45">
      <c r="A182" t="s">
        <v>315</v>
      </c>
      <c r="B182">
        <v>2.5279814743342399E-2</v>
      </c>
      <c r="C182">
        <f>g4rgdp!B182</f>
        <v>2.7081137705964764</v>
      </c>
      <c r="D182" s="10">
        <f t="shared" si="3"/>
        <v>2.5279814743342399E-2</v>
      </c>
    </row>
    <row r="183" spans="1:4" x14ac:dyDescent="0.45">
      <c r="A183" t="s">
        <v>316</v>
      </c>
      <c r="B183">
        <v>2.1032504780114758E-2</v>
      </c>
      <c r="C183">
        <f>g4rgdp!B183</f>
        <v>2.2271757930530711</v>
      </c>
      <c r="D183" s="10">
        <f t="shared" si="3"/>
        <v>2.1032504780114758E-2</v>
      </c>
    </row>
    <row r="184" spans="1:4" x14ac:dyDescent="0.45">
      <c r="A184" t="s">
        <v>317</v>
      </c>
      <c r="B184">
        <v>1.4588859416445832E-2</v>
      </c>
      <c r="C184">
        <f>g4rgdp!B184</f>
        <v>1.803429767115361</v>
      </c>
      <c r="D184" s="10">
        <f t="shared" si="3"/>
        <v>1.4588859416445832E-2</v>
      </c>
    </row>
    <row r="185" spans="1:4" x14ac:dyDescent="0.45">
      <c r="A185" t="s">
        <v>318</v>
      </c>
      <c r="B185">
        <v>1.3376036171816263E-2</v>
      </c>
      <c r="C185">
        <f>g4rgdp!B185</f>
        <v>1.7431684640373035</v>
      </c>
      <c r="D185" s="10">
        <f t="shared" si="3"/>
        <v>1.3376036171816263E-2</v>
      </c>
    </row>
    <row r="186" spans="1:4" x14ac:dyDescent="0.45">
      <c r="A186" t="s">
        <v>319</v>
      </c>
      <c r="B186">
        <v>1.823993982700256E-2</v>
      </c>
      <c r="C186">
        <f>g4rgdp!B186</f>
        <v>1.9421128517029373</v>
      </c>
      <c r="D186" s="10">
        <f t="shared" si="3"/>
        <v>1.823993982700256E-2</v>
      </c>
    </row>
    <row r="187" spans="1:4" x14ac:dyDescent="0.45">
      <c r="A187" t="s">
        <v>320</v>
      </c>
      <c r="B187">
        <v>2.3417010116148607E-2</v>
      </c>
      <c r="C187">
        <f>g4rgdp!B187</f>
        <v>2.2194730445805888</v>
      </c>
      <c r="D187" s="10">
        <f t="shared" si="3"/>
        <v>2.3417010116148607E-2</v>
      </c>
    </row>
    <row r="188" spans="1:4" x14ac:dyDescent="0.45">
      <c r="A188" t="s">
        <v>321</v>
      </c>
      <c r="B188">
        <v>2.277819268110548E-2</v>
      </c>
      <c r="C188">
        <f>g4rgdp!B188</f>
        <v>2.2729923031079124</v>
      </c>
      <c r="D188" s="10">
        <f t="shared" si="3"/>
        <v>2.277819268110548E-2</v>
      </c>
    </row>
    <row r="189" spans="1:4" x14ac:dyDescent="0.45">
      <c r="A189" t="s">
        <v>322</v>
      </c>
      <c r="B189">
        <v>2.3588410104011581E-2</v>
      </c>
      <c r="C189">
        <f>g4rgdp!B189</f>
        <v>2.2926081203971549</v>
      </c>
      <c r="D189" s="10">
        <f t="shared" si="3"/>
        <v>2.3588410104011581E-2</v>
      </c>
    </row>
    <row r="190" spans="1:4" x14ac:dyDescent="0.45">
      <c r="A190" t="s">
        <v>323</v>
      </c>
      <c r="B190">
        <v>3.0834564254061947E-2</v>
      </c>
      <c r="C190">
        <f>g4rgdp!B190</f>
        <v>2.7399190370063664</v>
      </c>
      <c r="D190" s="10">
        <f t="shared" si="3"/>
        <v>3.0834564254061947E-2</v>
      </c>
    </row>
    <row r="191" spans="1:4" x14ac:dyDescent="0.45">
      <c r="A191" t="s">
        <v>324</v>
      </c>
      <c r="B191">
        <v>2.9465592972181431E-2</v>
      </c>
      <c r="C191">
        <f>g4rgdp!B191</f>
        <v>2.8565521554853035</v>
      </c>
      <c r="D191" s="10">
        <f t="shared" si="3"/>
        <v>2.9465592972181431E-2</v>
      </c>
    </row>
    <row r="192" spans="1:4" x14ac:dyDescent="0.45">
      <c r="A192" t="s">
        <v>325</v>
      </c>
      <c r="B192">
        <v>3.0601092896175075E-2</v>
      </c>
      <c r="C192">
        <f>g4rgdp!B192</f>
        <v>3.0905179581120379</v>
      </c>
      <c r="D192" s="10">
        <f t="shared" si="3"/>
        <v>3.0601092896175075E-2</v>
      </c>
    </row>
    <row r="193" spans="1:4" x14ac:dyDescent="0.45">
      <c r="A193" t="s">
        <v>326</v>
      </c>
      <c r="B193">
        <v>3.0741410488245968E-2</v>
      </c>
      <c r="C193">
        <f>g4rgdp!B193</f>
        <v>3.2211699935650984</v>
      </c>
      <c r="D193" s="10">
        <f t="shared" si="3"/>
        <v>3.0741410488245968E-2</v>
      </c>
    </row>
    <row r="194" spans="1:4" x14ac:dyDescent="0.45">
      <c r="A194" t="s">
        <v>327</v>
      </c>
      <c r="B194">
        <v>2.2556390977443552E-2</v>
      </c>
      <c r="C194">
        <f>g4rgdp!B194</f>
        <v>2.3502009254016798</v>
      </c>
      <c r="D194" s="10">
        <f t="shared" si="3"/>
        <v>2.2556390977443552E-2</v>
      </c>
    </row>
    <row r="195" spans="1:4" x14ac:dyDescent="0.45">
      <c r="A195" t="s">
        <v>328</v>
      </c>
      <c r="B195">
        <v>1.4737215909090828E-2</v>
      </c>
      <c r="C195">
        <f>g4rgdp!B195</f>
        <v>1.7180229100201672</v>
      </c>
      <c r="D195" s="10">
        <f t="shared" si="3"/>
        <v>1.4737215909090828E-2</v>
      </c>
    </row>
    <row r="196" spans="1:4" x14ac:dyDescent="0.45">
      <c r="A196" t="s">
        <v>329</v>
      </c>
      <c r="B196">
        <v>1.2526464361326539E-2</v>
      </c>
      <c r="C196">
        <f>g4rgdp!B196</f>
        <v>1.3601094570603323</v>
      </c>
      <c r="D196" s="10">
        <f t="shared" si="3"/>
        <v>1.2526464361326539E-2</v>
      </c>
    </row>
    <row r="197" spans="1:4" x14ac:dyDescent="0.45">
      <c r="A197" t="s">
        <v>330</v>
      </c>
      <c r="B197">
        <v>8.9379600420609329E-3</v>
      </c>
      <c r="C197">
        <f>g4rgdp!B197</f>
        <v>0.74203827819392387</v>
      </c>
      <c r="D197" s="10">
        <f t="shared" si="3"/>
        <v>8.9379600420609329E-3</v>
      </c>
    </row>
    <row r="198" spans="1:4" x14ac:dyDescent="0.45">
      <c r="A198" t="s">
        <v>331</v>
      </c>
      <c r="B198">
        <v>1.138353765323985E-2</v>
      </c>
      <c r="C198">
        <f>g4rgdp!B198</f>
        <v>1.1661283130420586</v>
      </c>
      <c r="D198" s="10">
        <f t="shared" si="3"/>
        <v>1.138353765323985E-2</v>
      </c>
    </row>
    <row r="199" spans="1:4" x14ac:dyDescent="0.45">
      <c r="A199" t="s">
        <v>332</v>
      </c>
      <c r="B199">
        <v>8.9098532494760185E-3</v>
      </c>
      <c r="C199">
        <f>g4rgdp!B199</f>
        <v>1.1618120091030804</v>
      </c>
      <c r="D199" s="10">
        <f t="shared" si="3"/>
        <v>8.9098532494760185E-3</v>
      </c>
    </row>
    <row r="200" spans="1:4" x14ac:dyDescent="0.45">
      <c r="A200" t="s">
        <v>333</v>
      </c>
      <c r="B200">
        <v>1.4275766016712765E-2</v>
      </c>
      <c r="C200">
        <f>g4rgdp!B200</f>
        <v>1.3943666751774941</v>
      </c>
      <c r="D200" s="10">
        <f t="shared" si="3"/>
        <v>1.4275766016712765E-2</v>
      </c>
    </row>
    <row r="201" spans="1:4" x14ac:dyDescent="0.45">
      <c r="A201" t="s">
        <v>334</v>
      </c>
      <c r="B201">
        <v>1.4091858037578398E-2</v>
      </c>
      <c r="C201">
        <f>g4rgdp!B201</f>
        <v>1.2706639827447574</v>
      </c>
      <c r="D201" s="10">
        <f t="shared" si="3"/>
        <v>1.4091858037578398E-2</v>
      </c>
    </row>
    <row r="202" spans="1:4" x14ac:dyDescent="0.45">
      <c r="A202" t="s">
        <v>335</v>
      </c>
      <c r="B202">
        <v>1.0384215991692702E-2</v>
      </c>
      <c r="C202">
        <f>g4rgdp!B202</f>
        <v>-2.0151922501971953</v>
      </c>
      <c r="D202" s="10">
        <f t="shared" si="3"/>
        <v>1.0384215991692702E-2</v>
      </c>
    </row>
    <row r="203" spans="1:4" x14ac:dyDescent="0.45">
      <c r="A203" t="s">
        <v>336</v>
      </c>
      <c r="B203">
        <v>-0.2391229281767957</v>
      </c>
      <c r="C203">
        <f>g4rgdp!B203</f>
        <v>-24.425327428730803</v>
      </c>
      <c r="D203" s="10">
        <f t="shared" si="3"/>
        <v>-0.2391229281767957</v>
      </c>
    </row>
    <row r="204" spans="1:4" x14ac:dyDescent="0.45">
      <c r="A204" t="s">
        <v>337</v>
      </c>
      <c r="B204">
        <v>-9.3621399176954778E-2</v>
      </c>
      <c r="C204">
        <f>g4rgdp!B204</f>
        <v>-9.3042665600020058</v>
      </c>
      <c r="D204" s="10">
        <f t="shared" si="3"/>
        <v>-9.3621399176954778E-2</v>
      </c>
    </row>
    <row r="205" spans="1:4" x14ac:dyDescent="0.45">
      <c r="A205" t="s">
        <v>338</v>
      </c>
      <c r="B205">
        <v>-7.2334590332533533E-2</v>
      </c>
      <c r="C205">
        <f>g4rgdp!B205</f>
        <v>-7.9515199659544678</v>
      </c>
      <c r="D205" s="10">
        <f t="shared" si="3"/>
        <v>-7.2334590332533533E-2</v>
      </c>
    </row>
    <row r="206" spans="1:4" x14ac:dyDescent="0.45">
      <c r="A206" t="s">
        <v>339</v>
      </c>
      <c r="B206">
        <v>-6.8365553602811935E-2</v>
      </c>
      <c r="C206">
        <f>g4rgdp!B206</f>
        <v>-6.2502303549358373</v>
      </c>
      <c r="D206" s="10">
        <f t="shared" si="3"/>
        <v>-6.8365553602811935E-2</v>
      </c>
    </row>
    <row r="207" spans="1:4" x14ac:dyDescent="0.45">
      <c r="A207" t="s">
        <v>340</v>
      </c>
      <c r="B207">
        <v>0.25197368421052646</v>
      </c>
      <c r="C207">
        <f>g4rgdp!B207</f>
        <v>22.696199513236692</v>
      </c>
      <c r="D207" s="10">
        <f t="shared" si="3"/>
        <v>0.25197368421052646</v>
      </c>
    </row>
    <row r="208" spans="1:4" x14ac:dyDescent="0.45">
      <c r="A208" t="s">
        <v>341</v>
      </c>
      <c r="B208">
        <v>8.764044943820215E-2</v>
      </c>
      <c r="C208">
        <f>g4rgdp!B208</f>
        <v>8.6986007256456332</v>
      </c>
      <c r="D208" s="10">
        <f t="shared" si="3"/>
        <v>8.764044943820215E-2</v>
      </c>
    </row>
    <row r="209" spans="1:4" x14ac:dyDescent="0.45">
      <c r="A209" t="s">
        <v>342</v>
      </c>
      <c r="B209">
        <v>8.6836283185840912E-2</v>
      </c>
      <c r="C209">
        <f>g4rgdp!B209</f>
        <v>8.7081342625767277</v>
      </c>
      <c r="D209" s="10">
        <f t="shared" si="3"/>
        <v>8.6836283185840912E-2</v>
      </c>
    </row>
    <row r="210" spans="1:4" x14ac:dyDescent="0.45">
      <c r="A210" t="s">
        <v>343</v>
      </c>
      <c r="B210">
        <v>0.10850111856823275</v>
      </c>
      <c r="C210">
        <f>g4rgdp!B210</f>
        <v>10.798379282056381</v>
      </c>
      <c r="D210" s="10">
        <f t="shared" si="3"/>
        <v>0.10850111856823275</v>
      </c>
    </row>
    <row r="211" spans="1:4" x14ac:dyDescent="0.45">
      <c r="A211" t="s">
        <v>344</v>
      </c>
      <c r="B211">
        <v>4.2682926829268331E-2</v>
      </c>
      <c r="C211">
        <f>g4rgdp!B211</f>
        <v>4.605450381893661</v>
      </c>
      <c r="D211" s="10">
        <f t="shared" si="3"/>
        <v>4.2682926829268331E-2</v>
      </c>
    </row>
    <row r="212" spans="1:4" x14ac:dyDescent="0.45">
      <c r="A212" t="s">
        <v>345</v>
      </c>
      <c r="B212">
        <v>2.8483184625943903E-2</v>
      </c>
      <c r="C212">
        <f>g4rgdp!B212</f>
        <v>3.0339364985547235</v>
      </c>
      <c r="D212" s="10">
        <f t="shared" si="3"/>
        <v>2.8483184625943903E-2</v>
      </c>
    </row>
    <row r="213" spans="1:4" x14ac:dyDescent="0.45">
      <c r="A213" t="s">
        <v>346</v>
      </c>
      <c r="B213">
        <v>1.916553595658077E-2</v>
      </c>
      <c r="C213">
        <f>g4rgdp!B213</f>
        <v>1.9256042227274506</v>
      </c>
      <c r="D213" s="10">
        <f t="shared" si="3"/>
        <v>1.916553595658077E-2</v>
      </c>
    </row>
    <row r="214" spans="1:4" x14ac:dyDescent="0.45">
      <c r="A214" t="s">
        <v>347</v>
      </c>
      <c r="B214">
        <v>1.0420168067226676E-2</v>
      </c>
      <c r="C214">
        <f>g4rgdp!B214</f>
        <v>0.97381236454907594</v>
      </c>
      <c r="D214" s="10">
        <f t="shared" si="3"/>
        <v>1.0420168067226676E-2</v>
      </c>
    </row>
    <row r="215" spans="1:4" x14ac:dyDescent="0.45">
      <c r="A215" t="s">
        <v>348</v>
      </c>
      <c r="B215">
        <v>3.1783205085311739E-3</v>
      </c>
      <c r="C215">
        <f>g4rgdp!B215</f>
        <v>0.45877974912418296</v>
      </c>
      <c r="D215" s="10">
        <f t="shared" si="3"/>
        <v>3.1783205085311739E-3</v>
      </c>
    </row>
    <row r="216" spans="1:4" x14ac:dyDescent="0.45">
      <c r="A216" t="s">
        <v>349</v>
      </c>
      <c r="B216">
        <v>3.8461538461538325E-3</v>
      </c>
      <c r="C216">
        <f>g4rgdp!B216</f>
        <v>0.11782950708223439</v>
      </c>
      <c r="D216" s="10">
        <f t="shared" si="3"/>
        <v>3.8461538461538325E-3</v>
      </c>
    </row>
    <row r="217" spans="1:4" x14ac:dyDescent="0.45">
      <c r="A217" t="s">
        <v>350</v>
      </c>
      <c r="B217">
        <v>-2.4999999999999467E-3</v>
      </c>
      <c r="C217">
        <f>g4rgdp!B217</f>
        <v>-0.46404268232507206</v>
      </c>
      <c r="D217" s="10">
        <f t="shared" si="3"/>
        <v>-2.4999999999999467E-3</v>
      </c>
    </row>
    <row r="218" spans="1:4" x14ac:dyDescent="0.45">
      <c r="A218" t="s">
        <v>351</v>
      </c>
      <c r="B218">
        <v>1.9980019980023744E-3</v>
      </c>
      <c r="C218">
        <f>g4rgdp!B218</f>
        <v>0.30871935064755718</v>
      </c>
      <c r="D218" s="10">
        <f t="shared" si="3"/>
        <v>1.9980019980023744E-3</v>
      </c>
    </row>
    <row r="219" spans="1:4" x14ac:dyDescent="0.45">
      <c r="A219" t="s">
        <v>352</v>
      </c>
      <c r="B219">
        <v>9.6537949400798961E-3</v>
      </c>
      <c r="C219">
        <f>g4rgdp!B219</f>
        <v>0.87895103966637578</v>
      </c>
      <c r="D219" s="10">
        <f t="shared" si="3"/>
        <v>9.6537949400798961E-3</v>
      </c>
    </row>
    <row r="220" spans="1:4" x14ac:dyDescent="0.45">
      <c r="A220" t="s">
        <v>353</v>
      </c>
      <c r="B220">
        <v>1.2162612462512268E-2</v>
      </c>
      <c r="C220">
        <f>g4rgdp!B220</f>
        <v>1.3586359171425144</v>
      </c>
      <c r="D220" s="10">
        <f t="shared" si="3"/>
        <v>1.2162612462512268E-2</v>
      </c>
    </row>
    <row r="221" spans="1:4" s="10" customFormat="1" x14ac:dyDescent="0.45">
      <c r="A221" s="10" t="s">
        <v>354</v>
      </c>
      <c r="B221">
        <v>1.6549648946840412E-2</v>
      </c>
      <c r="C221" s="10">
        <f>g4rgdp!B221</f>
        <v>1.9189633584343113</v>
      </c>
      <c r="D221" s="10">
        <f t="shared" si="3"/>
        <v>1.6549648946840412E-2</v>
      </c>
    </row>
    <row r="222" spans="1:4" x14ac:dyDescent="0.45">
      <c r="A222" t="s">
        <v>355</v>
      </c>
      <c r="B222">
        <v>1.4925373134328401E-2</v>
      </c>
      <c r="C222">
        <f>g4rgdp!B222</f>
        <v>1.7485958503257848</v>
      </c>
      <c r="D222" s="10">
        <f t="shared" si="3"/>
        <v>1.4925373134328401E-2</v>
      </c>
    </row>
    <row r="223" spans="1:4" x14ac:dyDescent="0.45">
      <c r="A223" t="s">
        <v>356</v>
      </c>
      <c r="B223">
        <v>1.2363996043521341E-2</v>
      </c>
      <c r="C223">
        <f>g4rgdp!B223</f>
        <v>1.4143772405841304</v>
      </c>
      <c r="D223" s="10">
        <f t="shared" si="3"/>
        <v>1.2363996043521341E-2</v>
      </c>
    </row>
    <row r="224" spans="1:4" x14ac:dyDescent="0.45">
      <c r="A224" t="s">
        <v>357</v>
      </c>
      <c r="B224">
        <v>1.332675222112556E-2</v>
      </c>
      <c r="C224">
        <f>g4rgdp!B224</f>
        <v>1.2561894242422156</v>
      </c>
      <c r="D224" s="10">
        <f t="shared" si="3"/>
        <v>1.332675222112556E-2</v>
      </c>
    </row>
    <row r="225" spans="1:4" x14ac:dyDescent="0.45">
      <c r="A225" t="s">
        <v>438</v>
      </c>
      <c r="B225">
        <v>1.01332675222113</v>
      </c>
      <c r="C225">
        <f>g4rgdp!B225</f>
        <v>0.94825639007183327</v>
      </c>
      <c r="D225" s="10">
        <f t="shared" ref="D225" si="4">B225</f>
        <v>1.01332675222113</v>
      </c>
    </row>
    <row r="226" spans="1:4" x14ac:dyDescent="0.45">
      <c r="A226" t="s">
        <v>441</v>
      </c>
      <c r="B226">
        <v>2.01332675222113</v>
      </c>
      <c r="C226">
        <f>g4rgdp!B226</f>
        <v>0.94825599999999999</v>
      </c>
      <c r="D226" s="10">
        <f t="shared" ref="D226" si="5">B226</f>
        <v>2.01332675222113</v>
      </c>
    </row>
  </sheetData>
  <phoneticPr fontId="3"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07A4A-BD06-4BCF-AF28-BBAE06737790}">
  <dimension ref="A1:R223"/>
  <sheetViews>
    <sheetView topLeftCell="A201" zoomScale="85" zoomScaleNormal="85" workbookViewId="0">
      <selection activeCell="B223" sqref="B223"/>
    </sheetView>
  </sheetViews>
  <sheetFormatPr defaultRowHeight="14.25" x14ac:dyDescent="0.45"/>
  <cols>
    <col min="2" max="2" width="12" bestFit="1" customWidth="1"/>
    <col min="3" max="3" width="17.73046875" bestFit="1" customWidth="1"/>
  </cols>
  <sheetData>
    <row r="1" spans="1:15" x14ac:dyDescent="0.45">
      <c r="B1" t="s">
        <v>435</v>
      </c>
      <c r="C1" t="s">
        <v>436</v>
      </c>
      <c r="D1" t="s">
        <v>437</v>
      </c>
    </row>
    <row r="2" spans="1:15" x14ac:dyDescent="0.45">
      <c r="A2" t="s">
        <v>135</v>
      </c>
      <c r="B2">
        <f>house_price_growth!B2</f>
        <v>0.1497</v>
      </c>
      <c r="D2">
        <f t="shared" ref="D2:D33" si="0">$K$22+B2*$K$23</f>
        <v>212424.40884033879</v>
      </c>
    </row>
    <row r="3" spans="1:15" x14ac:dyDescent="0.45">
      <c r="A3" t="s">
        <v>136</v>
      </c>
      <c r="B3">
        <f>house_price_growth!B3</f>
        <v>-3.1934999999999998</v>
      </c>
      <c r="D3">
        <f t="shared" si="0"/>
        <v>188184.35176923938</v>
      </c>
    </row>
    <row r="4" spans="1:15" x14ac:dyDescent="0.45">
      <c r="A4" t="s">
        <v>137</v>
      </c>
      <c r="B4">
        <f>house_price_growth!B4</f>
        <v>0.6825</v>
      </c>
      <c r="D4">
        <f t="shared" si="0"/>
        <v>216287.50479854702</v>
      </c>
    </row>
    <row r="5" spans="1:15" x14ac:dyDescent="0.45">
      <c r="A5" t="s">
        <v>138</v>
      </c>
      <c r="B5">
        <f>house_price_growth!B5</f>
        <v>-2.3022999999999998</v>
      </c>
      <c r="D5">
        <f t="shared" si="0"/>
        <v>194646.04681044654</v>
      </c>
    </row>
    <row r="6" spans="1:15" x14ac:dyDescent="0.45">
      <c r="A6" t="s">
        <v>139</v>
      </c>
      <c r="B6">
        <f>house_price_growth!B6</f>
        <v>-0.82420000000000004</v>
      </c>
      <c r="D6">
        <f t="shared" si="0"/>
        <v>205363.09286117402</v>
      </c>
      <c r="J6" t="s">
        <v>425</v>
      </c>
    </row>
    <row r="7" spans="1:15" ht="14.65" thickBot="1" x14ac:dyDescent="0.5">
      <c r="A7" t="s">
        <v>140</v>
      </c>
      <c r="B7">
        <f>house_price_growth!B7</f>
        <v>0.72809999999999997</v>
      </c>
      <c r="D7">
        <f t="shared" si="0"/>
        <v>216618.1301283036</v>
      </c>
    </row>
    <row r="8" spans="1:15" x14ac:dyDescent="0.45">
      <c r="A8" t="s">
        <v>141</v>
      </c>
      <c r="B8">
        <f>house_price_growth!B8</f>
        <v>1.6004</v>
      </c>
      <c r="D8">
        <f t="shared" si="0"/>
        <v>222942.78967099322</v>
      </c>
      <c r="J8" s="20" t="s">
        <v>396</v>
      </c>
      <c r="K8" s="20"/>
    </row>
    <row r="9" spans="1:15" x14ac:dyDescent="0.45">
      <c r="A9" t="s">
        <v>142</v>
      </c>
      <c r="B9">
        <f>house_price_growth!B9</f>
        <v>7.2469000000000001</v>
      </c>
      <c r="D9">
        <f t="shared" si="0"/>
        <v>263883.0511725375</v>
      </c>
      <c r="J9" t="s">
        <v>397</v>
      </c>
      <c r="K9">
        <v>0.6884628249371727</v>
      </c>
    </row>
    <row r="10" spans="1:15" x14ac:dyDescent="0.45">
      <c r="A10" t="s">
        <v>143</v>
      </c>
      <c r="B10">
        <f>house_price_growth!B10</f>
        <v>12.5296</v>
      </c>
      <c r="D10">
        <f t="shared" si="0"/>
        <v>302185.56059150642</v>
      </c>
      <c r="J10" t="s">
        <v>398</v>
      </c>
      <c r="K10">
        <v>0.47398106132047207</v>
      </c>
    </row>
    <row r="11" spans="1:15" x14ac:dyDescent="0.45">
      <c r="A11" t="s">
        <v>144</v>
      </c>
      <c r="B11">
        <f>house_price_growth!B11</f>
        <v>22.093</v>
      </c>
      <c r="D11">
        <f t="shared" si="0"/>
        <v>371525.52284137241</v>
      </c>
      <c r="J11" t="s">
        <v>399</v>
      </c>
      <c r="K11">
        <v>0.46977290981103587</v>
      </c>
    </row>
    <row r="12" spans="1:15" x14ac:dyDescent="0.45">
      <c r="A12" t="s">
        <v>145</v>
      </c>
      <c r="B12">
        <f>house_price_growth!B12</f>
        <v>30.8904</v>
      </c>
      <c r="D12">
        <f t="shared" si="0"/>
        <v>435311.55959576642</v>
      </c>
      <c r="J12" t="s">
        <v>400</v>
      </c>
      <c r="K12">
        <v>51973.755041353499</v>
      </c>
    </row>
    <row r="13" spans="1:15" ht="14.65" thickBot="1" x14ac:dyDescent="0.5">
      <c r="A13" t="s">
        <v>146</v>
      </c>
      <c r="B13">
        <f>house_price_growth!B13</f>
        <v>33.208300000000001</v>
      </c>
      <c r="D13">
        <f t="shared" si="0"/>
        <v>452117.6221361772</v>
      </c>
      <c r="J13" s="18" t="s">
        <v>401</v>
      </c>
      <c r="K13" s="18">
        <v>127</v>
      </c>
    </row>
    <row r="14" spans="1:15" x14ac:dyDescent="0.45">
      <c r="A14" t="s">
        <v>147</v>
      </c>
      <c r="B14">
        <f>house_price_growth!B14</f>
        <v>40.054200000000002</v>
      </c>
      <c r="D14">
        <f t="shared" si="0"/>
        <v>501754.19987697626</v>
      </c>
    </row>
    <row r="15" spans="1:15" ht="14.65" thickBot="1" x14ac:dyDescent="0.5">
      <c r="A15" t="s">
        <v>148</v>
      </c>
      <c r="B15">
        <f>house_price_growth!B15</f>
        <v>32.384999999999998</v>
      </c>
      <c r="D15">
        <f t="shared" si="0"/>
        <v>446148.23981186631</v>
      </c>
      <c r="J15" t="s">
        <v>402</v>
      </c>
    </row>
    <row r="16" spans="1:15" x14ac:dyDescent="0.45">
      <c r="A16" t="s">
        <v>149</v>
      </c>
      <c r="B16">
        <f>house_price_growth!B16</f>
        <v>22.897099999999998</v>
      </c>
      <c r="D16">
        <f t="shared" si="0"/>
        <v>377355.69450052269</v>
      </c>
      <c r="J16" s="19"/>
      <c r="K16" s="19" t="s">
        <v>403</v>
      </c>
      <c r="L16" s="19" t="s">
        <v>404</v>
      </c>
      <c r="M16" s="19" t="s">
        <v>405</v>
      </c>
      <c r="N16" s="19" t="s">
        <v>406</v>
      </c>
      <c r="O16" s="19" t="s">
        <v>407</v>
      </c>
    </row>
    <row r="17" spans="1:18" x14ac:dyDescent="0.45">
      <c r="A17" t="s">
        <v>150</v>
      </c>
      <c r="B17">
        <f>house_price_growth!B17</f>
        <v>13.7057</v>
      </c>
      <c r="D17">
        <f t="shared" si="0"/>
        <v>310712.93888814439</v>
      </c>
      <c r="J17" t="s">
        <v>408</v>
      </c>
      <c r="K17">
        <v>1</v>
      </c>
      <c r="L17">
        <v>304255061546.12146</v>
      </c>
      <c r="M17">
        <v>304255061546.12146</v>
      </c>
      <c r="N17">
        <v>112.63402951572257</v>
      </c>
      <c r="O17">
        <v>3.7463241956393101E-19</v>
      </c>
    </row>
    <row r="18" spans="1:18" x14ac:dyDescent="0.45">
      <c r="A18" t="s">
        <v>151</v>
      </c>
      <c r="B18">
        <f>house_price_growth!B18</f>
        <v>0.80130000000000001</v>
      </c>
      <c r="D18">
        <f t="shared" si="0"/>
        <v>217148.87078922859</v>
      </c>
      <c r="J18" t="s">
        <v>409</v>
      </c>
      <c r="K18">
        <v>125</v>
      </c>
      <c r="L18">
        <v>337658901637.32727</v>
      </c>
      <c r="M18">
        <v>2701271213.098618</v>
      </c>
    </row>
    <row r="19" spans="1:18" ht="14.65" thickBot="1" x14ac:dyDescent="0.5">
      <c r="A19" t="s">
        <v>152</v>
      </c>
      <c r="B19">
        <f>house_price_growth!B19</f>
        <v>-6.0823999999999998</v>
      </c>
      <c r="D19">
        <f t="shared" si="0"/>
        <v>167238.22205139449</v>
      </c>
      <c r="J19" s="18" t="s">
        <v>410</v>
      </c>
      <c r="K19" s="18">
        <v>126</v>
      </c>
      <c r="L19" s="18">
        <v>641913963183.44873</v>
      </c>
      <c r="M19" s="18"/>
      <c r="N19" s="18"/>
      <c r="O19" s="18"/>
    </row>
    <row r="20" spans="1:18" ht="14.65" thickBot="1" x14ac:dyDescent="0.5">
      <c r="A20" t="s">
        <v>153</v>
      </c>
      <c r="B20">
        <f>house_price_growth!B20</f>
        <v>-11.137</v>
      </c>
      <c r="D20">
        <f t="shared" si="0"/>
        <v>130589.56433675608</v>
      </c>
    </row>
    <row r="21" spans="1:18" x14ac:dyDescent="0.45">
      <c r="A21" t="s">
        <v>154</v>
      </c>
      <c r="B21">
        <f>house_price_growth!B21</f>
        <v>-11.759499999999999</v>
      </c>
      <c r="D21">
        <f t="shared" si="0"/>
        <v>126076.09355225042</v>
      </c>
      <c r="J21" s="19"/>
      <c r="K21" s="19" t="s">
        <v>411</v>
      </c>
      <c r="L21" s="19" t="s">
        <v>400</v>
      </c>
      <c r="M21" s="19" t="s">
        <v>412</v>
      </c>
      <c r="N21" s="19" t="s">
        <v>413</v>
      </c>
      <c r="O21" s="19" t="s">
        <v>414</v>
      </c>
      <c r="P21" s="19" t="s">
        <v>415</v>
      </c>
      <c r="Q21" s="19" t="s">
        <v>416</v>
      </c>
      <c r="R21" s="19" t="s">
        <v>417</v>
      </c>
    </row>
    <row r="22" spans="1:18" x14ac:dyDescent="0.45">
      <c r="A22" t="s">
        <v>155</v>
      </c>
      <c r="B22">
        <f>house_price_growth!B22</f>
        <v>-13.2102</v>
      </c>
      <c r="D22">
        <f t="shared" si="0"/>
        <v>115557.71272159598</v>
      </c>
      <c r="J22" t="s">
        <v>418</v>
      </c>
      <c r="K22">
        <v>211339.0006854143</v>
      </c>
      <c r="L22">
        <v>5057.6090080194263</v>
      </c>
      <c r="M22">
        <v>41.786346147025554</v>
      </c>
      <c r="N22">
        <v>2.6194967056076411E-75</v>
      </c>
      <c r="O22">
        <v>201329.36476160405</v>
      </c>
      <c r="P22">
        <v>221348.63660922454</v>
      </c>
      <c r="Q22">
        <v>201329.36476160405</v>
      </c>
      <c r="R22">
        <v>221348.63660922454</v>
      </c>
    </row>
    <row r="23" spans="1:18" ht="14.65" thickBot="1" x14ac:dyDescent="0.5">
      <c r="A23" t="s">
        <v>156</v>
      </c>
      <c r="B23">
        <f>house_price_growth!B23</f>
        <v>-13.8772</v>
      </c>
      <c r="D23">
        <f t="shared" si="0"/>
        <v>110721.59221835856</v>
      </c>
      <c r="J23" s="18" t="s">
        <v>419</v>
      </c>
      <c r="K23" s="18">
        <v>7250.5554771175548</v>
      </c>
      <c r="L23" s="18">
        <v>683.18208466433259</v>
      </c>
      <c r="M23" s="18">
        <v>10.612918049043932</v>
      </c>
      <c r="N23" s="18">
        <v>3.7463241956393915E-19</v>
      </c>
      <c r="O23" s="18">
        <v>5898.4533422319628</v>
      </c>
      <c r="P23" s="18">
        <v>8602.6576120031459</v>
      </c>
      <c r="Q23" s="18">
        <v>5898.4533422319628</v>
      </c>
      <c r="R23" s="18">
        <v>8602.6576120031459</v>
      </c>
    </row>
    <row r="24" spans="1:18" x14ac:dyDescent="0.45">
      <c r="A24" t="s">
        <v>157</v>
      </c>
      <c r="B24">
        <f>house_price_growth!B24</f>
        <v>-13.7387</v>
      </c>
      <c r="D24">
        <f t="shared" si="0"/>
        <v>111725.79415193935</v>
      </c>
    </row>
    <row r="25" spans="1:18" x14ac:dyDescent="0.45">
      <c r="A25" t="s">
        <v>158</v>
      </c>
      <c r="B25">
        <f>house_price_growth!B25</f>
        <v>-12.793900000000001</v>
      </c>
      <c r="D25">
        <f t="shared" si="0"/>
        <v>118576.11896672001</v>
      </c>
    </row>
    <row r="26" spans="1:18" x14ac:dyDescent="0.45">
      <c r="A26" t="s">
        <v>159</v>
      </c>
      <c r="B26">
        <f>house_price_growth!B26</f>
        <v>-10.0465</v>
      </c>
      <c r="D26">
        <f t="shared" si="0"/>
        <v>138496.29508455278</v>
      </c>
    </row>
    <row r="27" spans="1:18" x14ac:dyDescent="0.45">
      <c r="A27" t="s">
        <v>160</v>
      </c>
      <c r="B27">
        <f>house_price_growth!B27</f>
        <v>-4.8136000000000001</v>
      </c>
      <c r="D27">
        <f t="shared" si="0"/>
        <v>176437.72684076123</v>
      </c>
    </row>
    <row r="28" spans="1:18" x14ac:dyDescent="0.45">
      <c r="A28" t="s">
        <v>161</v>
      </c>
      <c r="B28">
        <f>house_price_growth!B28</f>
        <v>-4.1456</v>
      </c>
      <c r="D28">
        <f t="shared" si="0"/>
        <v>181281.09789947578</v>
      </c>
    </row>
    <row r="29" spans="1:18" x14ac:dyDescent="0.45">
      <c r="A29" t="s">
        <v>162</v>
      </c>
      <c r="B29">
        <f>house_price_growth!B29</f>
        <v>-4.2324000000000002</v>
      </c>
      <c r="D29">
        <f t="shared" si="0"/>
        <v>180651.74968406197</v>
      </c>
    </row>
    <row r="30" spans="1:18" x14ac:dyDescent="0.45">
      <c r="A30" t="s">
        <v>163</v>
      </c>
      <c r="B30">
        <f>house_price_growth!B30</f>
        <v>-7.4621000000000004</v>
      </c>
      <c r="D30">
        <f t="shared" si="0"/>
        <v>157234.63065961539</v>
      </c>
    </row>
    <row r="31" spans="1:18" x14ac:dyDescent="0.45">
      <c r="A31" t="s">
        <v>164</v>
      </c>
      <c r="B31">
        <f>house_price_growth!B31</f>
        <v>-8.9741999999999997</v>
      </c>
      <c r="D31">
        <f t="shared" si="0"/>
        <v>146271.06572266592</v>
      </c>
    </row>
    <row r="32" spans="1:18" x14ac:dyDescent="0.45">
      <c r="A32" t="s">
        <v>165</v>
      </c>
      <c r="B32">
        <f>house_price_growth!B32</f>
        <v>-7.7491000000000003</v>
      </c>
      <c r="D32">
        <f t="shared" si="0"/>
        <v>155153.72123768265</v>
      </c>
    </row>
    <row r="33" spans="1:4" x14ac:dyDescent="0.45">
      <c r="A33" t="s">
        <v>166</v>
      </c>
      <c r="B33">
        <f>house_price_growth!B33</f>
        <v>-3.3426</v>
      </c>
      <c r="D33">
        <f t="shared" si="0"/>
        <v>187103.29394760117</v>
      </c>
    </row>
    <row r="34" spans="1:4" x14ac:dyDescent="0.45">
      <c r="A34" t="s">
        <v>167</v>
      </c>
      <c r="B34">
        <f>house_price_growth!B34</f>
        <v>1.4341999999999999</v>
      </c>
      <c r="D34">
        <f t="shared" ref="D34:D65" si="1">$K$22+B34*$K$23</f>
        <v>221737.7473506963</v>
      </c>
    </row>
    <row r="35" spans="1:4" x14ac:dyDescent="0.45">
      <c r="A35" t="s">
        <v>168</v>
      </c>
      <c r="B35">
        <f>house_price_growth!B35</f>
        <v>6.3121</v>
      </c>
      <c r="D35">
        <f t="shared" si="1"/>
        <v>257105.23191252802</v>
      </c>
    </row>
    <row r="36" spans="1:4" x14ac:dyDescent="0.45">
      <c r="A36" t="s">
        <v>169</v>
      </c>
      <c r="B36">
        <f>house_price_growth!B36</f>
        <v>10.4078</v>
      </c>
      <c r="D36">
        <f t="shared" si="1"/>
        <v>286801.3319801584</v>
      </c>
    </row>
    <row r="37" spans="1:4" x14ac:dyDescent="0.45">
      <c r="A37" t="s">
        <v>170</v>
      </c>
      <c r="B37">
        <f>house_price_growth!B37</f>
        <v>14.4513</v>
      </c>
      <c r="D37">
        <f t="shared" si="1"/>
        <v>316118.9530518832</v>
      </c>
    </row>
    <row r="38" spans="1:4" x14ac:dyDescent="0.45">
      <c r="A38" t="s">
        <v>171</v>
      </c>
      <c r="B38">
        <f>house_price_growth!B38</f>
        <v>17.014800000000001</v>
      </c>
      <c r="D38">
        <f t="shared" si="1"/>
        <v>334705.75201747409</v>
      </c>
    </row>
    <row r="39" spans="1:4" x14ac:dyDescent="0.45">
      <c r="A39" t="s">
        <v>172</v>
      </c>
      <c r="B39">
        <f>house_price_growth!B39</f>
        <v>19.635000000000002</v>
      </c>
      <c r="D39">
        <f t="shared" si="1"/>
        <v>353703.6574786175</v>
      </c>
    </row>
    <row r="40" spans="1:4" x14ac:dyDescent="0.45">
      <c r="A40" t="s">
        <v>173</v>
      </c>
      <c r="B40">
        <f>house_price_growth!B40</f>
        <v>15.6698</v>
      </c>
      <c r="D40">
        <f t="shared" si="1"/>
        <v>324953.75490075094</v>
      </c>
    </row>
    <row r="41" spans="1:4" x14ac:dyDescent="0.45">
      <c r="A41" t="s">
        <v>174</v>
      </c>
      <c r="B41">
        <f>house_price_growth!B41</f>
        <v>12.9377</v>
      </c>
      <c r="D41">
        <f t="shared" si="1"/>
        <v>305144.51228171808</v>
      </c>
    </row>
    <row r="42" spans="1:4" x14ac:dyDescent="0.45">
      <c r="A42" t="s">
        <v>175</v>
      </c>
      <c r="B42">
        <f>house_price_growth!B42</f>
        <v>11.4658</v>
      </c>
      <c r="D42">
        <f t="shared" si="1"/>
        <v>294472.41967494879</v>
      </c>
    </row>
    <row r="43" spans="1:4" x14ac:dyDescent="0.45">
      <c r="A43" t="s">
        <v>176</v>
      </c>
      <c r="B43">
        <f>house_price_growth!B43</f>
        <v>4.6422999999999996</v>
      </c>
      <c r="D43">
        <f t="shared" si="1"/>
        <v>244998.25437683711</v>
      </c>
    </row>
    <row r="44" spans="1:4" x14ac:dyDescent="0.45">
      <c r="A44" t="s">
        <v>177</v>
      </c>
      <c r="B44">
        <f>house_price_growth!B44</f>
        <v>5.0808</v>
      </c>
      <c r="D44">
        <f t="shared" si="1"/>
        <v>248177.62295355316</v>
      </c>
    </row>
    <row r="45" spans="1:4" x14ac:dyDescent="0.45">
      <c r="A45" t="s">
        <v>178</v>
      </c>
      <c r="B45">
        <f>house_price_growth!B45</f>
        <v>0.19489999999999999</v>
      </c>
      <c r="D45">
        <f t="shared" si="1"/>
        <v>212752.13394790451</v>
      </c>
    </row>
    <row r="46" spans="1:4" x14ac:dyDescent="0.45">
      <c r="A46" t="s">
        <v>179</v>
      </c>
      <c r="B46">
        <f>house_price_growth!B46</f>
        <v>-3.5371000000000001</v>
      </c>
      <c r="D46">
        <f t="shared" si="1"/>
        <v>185693.06090730178</v>
      </c>
    </row>
    <row r="47" spans="1:4" x14ac:dyDescent="0.45">
      <c r="A47" t="s">
        <v>180</v>
      </c>
      <c r="B47">
        <f>house_price_growth!B47</f>
        <v>-3.8502999999999998</v>
      </c>
      <c r="D47">
        <f t="shared" si="1"/>
        <v>183422.18693186858</v>
      </c>
    </row>
    <row r="48" spans="1:4" x14ac:dyDescent="0.45">
      <c r="A48" t="s">
        <v>181</v>
      </c>
      <c r="B48">
        <f>house_price_growth!B48</f>
        <v>-5.9362000000000004</v>
      </c>
      <c r="D48">
        <f t="shared" si="1"/>
        <v>168298.25326214905</v>
      </c>
    </row>
    <row r="49" spans="1:4" x14ac:dyDescent="0.45">
      <c r="A49" t="s">
        <v>182</v>
      </c>
      <c r="B49">
        <f>house_price_growth!B49</f>
        <v>-8.2111999999999998</v>
      </c>
      <c r="D49">
        <f t="shared" si="1"/>
        <v>151803.23955170665</v>
      </c>
    </row>
    <row r="50" spans="1:4" x14ac:dyDescent="0.45">
      <c r="A50" t="s">
        <v>183</v>
      </c>
      <c r="B50">
        <f>house_price_growth!B50</f>
        <v>-9.2223000000000006</v>
      </c>
      <c r="D50">
        <f t="shared" si="1"/>
        <v>144472.20290879306</v>
      </c>
    </row>
    <row r="51" spans="1:4" x14ac:dyDescent="0.45">
      <c r="A51" t="s">
        <v>184</v>
      </c>
      <c r="B51">
        <f>house_price_growth!B51</f>
        <v>-6.6205999999999996</v>
      </c>
      <c r="D51">
        <f t="shared" si="1"/>
        <v>163335.97309360982</v>
      </c>
    </row>
    <row r="52" spans="1:4" x14ac:dyDescent="0.45">
      <c r="A52" t="s">
        <v>185</v>
      </c>
      <c r="B52">
        <f>house_price_growth!B52</f>
        <v>-4.6550000000000002</v>
      </c>
      <c r="D52">
        <f t="shared" si="1"/>
        <v>177587.66493943208</v>
      </c>
    </row>
    <row r="53" spans="1:4" x14ac:dyDescent="0.45">
      <c r="A53" t="s">
        <v>186</v>
      </c>
      <c r="B53">
        <f>house_price_growth!B53</f>
        <v>-0.83120000000000005</v>
      </c>
      <c r="D53">
        <f t="shared" si="1"/>
        <v>205312.3389728342</v>
      </c>
    </row>
    <row r="54" spans="1:4" x14ac:dyDescent="0.45">
      <c r="A54" t="s">
        <v>187</v>
      </c>
      <c r="B54">
        <f>house_price_growth!B54</f>
        <v>5.2214999999999998</v>
      </c>
      <c r="D54">
        <f t="shared" si="1"/>
        <v>249197.77610918361</v>
      </c>
    </row>
    <row r="55" spans="1:4" x14ac:dyDescent="0.45">
      <c r="A55" t="s">
        <v>188</v>
      </c>
      <c r="B55">
        <f>house_price_growth!B55</f>
        <v>6.1289999999999996</v>
      </c>
      <c r="D55">
        <f t="shared" si="1"/>
        <v>255777.6552046678</v>
      </c>
    </row>
    <row r="56" spans="1:4" x14ac:dyDescent="0.45">
      <c r="A56" t="s">
        <v>189</v>
      </c>
      <c r="B56">
        <f>house_price_growth!B56</f>
        <v>7.5483000000000002</v>
      </c>
      <c r="D56">
        <f t="shared" si="1"/>
        <v>266068.36859334074</v>
      </c>
    </row>
    <row r="57" spans="1:4" x14ac:dyDescent="0.45">
      <c r="A57" t="s">
        <v>190</v>
      </c>
      <c r="B57">
        <f>house_price_growth!B57</f>
        <v>7.0175000000000001</v>
      </c>
      <c r="D57">
        <f t="shared" si="1"/>
        <v>262219.77374608675</v>
      </c>
    </row>
    <row r="58" spans="1:4" x14ac:dyDescent="0.45">
      <c r="A58" t="s">
        <v>191</v>
      </c>
      <c r="B58">
        <f>house_price_growth!B58</f>
        <v>5.0910000000000002</v>
      </c>
      <c r="D58">
        <f t="shared" si="1"/>
        <v>248251.57861941977</v>
      </c>
    </row>
    <row r="59" spans="1:4" x14ac:dyDescent="0.45">
      <c r="A59" t="s">
        <v>192</v>
      </c>
      <c r="B59">
        <f>house_price_growth!B59</f>
        <v>4.2805</v>
      </c>
      <c r="D59">
        <f t="shared" si="1"/>
        <v>242375.003405216</v>
      </c>
    </row>
    <row r="60" spans="1:4" x14ac:dyDescent="0.45">
      <c r="A60" t="s">
        <v>193</v>
      </c>
      <c r="B60">
        <f>house_price_growth!B60</f>
        <v>4.5453000000000001</v>
      </c>
      <c r="D60">
        <f t="shared" si="1"/>
        <v>244294.95049555672</v>
      </c>
    </row>
    <row r="61" spans="1:4" x14ac:dyDescent="0.45">
      <c r="A61" t="s">
        <v>194</v>
      </c>
      <c r="B61">
        <f>house_price_growth!B61</f>
        <v>5.3529</v>
      </c>
      <c r="D61">
        <f t="shared" si="1"/>
        <v>250150.49909887684</v>
      </c>
    </row>
    <row r="62" spans="1:4" x14ac:dyDescent="0.45">
      <c r="A62" t="s">
        <v>195</v>
      </c>
      <c r="B62">
        <f>house_price_growth!B62</f>
        <v>3.7225999999999999</v>
      </c>
      <c r="D62">
        <f t="shared" si="1"/>
        <v>238329.91850453211</v>
      </c>
    </row>
    <row r="63" spans="1:4" x14ac:dyDescent="0.45">
      <c r="A63" t="s">
        <v>196</v>
      </c>
      <c r="B63">
        <f>house_price_growth!B63</f>
        <v>3.8178999999999998</v>
      </c>
      <c r="D63">
        <f t="shared" si="1"/>
        <v>239020.89644150142</v>
      </c>
    </row>
    <row r="64" spans="1:4" x14ac:dyDescent="0.45">
      <c r="A64" t="s">
        <v>197</v>
      </c>
      <c r="B64">
        <f>house_price_growth!B64</f>
        <v>2.2932999999999999</v>
      </c>
      <c r="D64">
        <f t="shared" si="1"/>
        <v>227966.699561088</v>
      </c>
    </row>
    <row r="65" spans="1:4" x14ac:dyDescent="0.45">
      <c r="A65" t="s">
        <v>198</v>
      </c>
      <c r="B65">
        <f>house_price_growth!B65</f>
        <v>4.4992999999999999</v>
      </c>
      <c r="D65">
        <f t="shared" si="1"/>
        <v>243961.42494360931</v>
      </c>
    </row>
    <row r="66" spans="1:4" x14ac:dyDescent="0.45">
      <c r="A66" t="s">
        <v>199</v>
      </c>
      <c r="B66">
        <f>house_price_growth!B66</f>
        <v>7.3010000000000002</v>
      </c>
      <c r="D66">
        <f t="shared" ref="D66:D93" si="2">$K$22+B66*$K$23</f>
        <v>264275.30622384959</v>
      </c>
    </row>
    <row r="67" spans="1:4" x14ac:dyDescent="0.45">
      <c r="A67" t="s">
        <v>200</v>
      </c>
      <c r="B67">
        <f>house_price_growth!B67</f>
        <v>9.3375000000000004</v>
      </c>
      <c r="D67">
        <f t="shared" si="2"/>
        <v>279041.06245299947</v>
      </c>
    </row>
    <row r="68" spans="1:4" x14ac:dyDescent="0.45">
      <c r="A68" t="s">
        <v>201</v>
      </c>
      <c r="B68">
        <f>house_price_growth!B68</f>
        <v>11.637600000000001</v>
      </c>
      <c r="D68">
        <f t="shared" si="2"/>
        <v>295718.06510591757</v>
      </c>
    </row>
    <row r="69" spans="1:4" x14ac:dyDescent="0.45">
      <c r="A69" t="s">
        <v>202</v>
      </c>
      <c r="B69">
        <f>house_price_growth!B69</f>
        <v>11.1157</v>
      </c>
      <c r="D69">
        <f t="shared" si="2"/>
        <v>291934.00020240992</v>
      </c>
    </row>
    <row r="70" spans="1:4" x14ac:dyDescent="0.45">
      <c r="A70" t="s">
        <v>203</v>
      </c>
      <c r="B70">
        <f>house_price_growth!B70</f>
        <v>11.7424</v>
      </c>
      <c r="D70">
        <f t="shared" si="2"/>
        <v>296477.9233199195</v>
      </c>
    </row>
    <row r="71" spans="1:4" x14ac:dyDescent="0.45">
      <c r="A71" t="s">
        <v>204</v>
      </c>
      <c r="B71">
        <f>house_price_growth!B71</f>
        <v>11.9862</v>
      </c>
      <c r="D71">
        <f t="shared" si="2"/>
        <v>298245.60874524072</v>
      </c>
    </row>
    <row r="72" spans="1:4" x14ac:dyDescent="0.45">
      <c r="A72" t="s">
        <v>205</v>
      </c>
      <c r="B72">
        <f>house_price_growth!B72</f>
        <v>12.8324</v>
      </c>
      <c r="D72">
        <f t="shared" si="2"/>
        <v>304381.0287899776</v>
      </c>
    </row>
    <row r="73" spans="1:4" x14ac:dyDescent="0.45">
      <c r="A73" t="s">
        <v>206</v>
      </c>
      <c r="B73">
        <f>house_price_growth!B73</f>
        <v>15.9732</v>
      </c>
      <c r="D73">
        <f t="shared" si="2"/>
        <v>327153.57343250845</v>
      </c>
    </row>
    <row r="74" spans="1:4" x14ac:dyDescent="0.45">
      <c r="A74" t="s">
        <v>207</v>
      </c>
      <c r="B74">
        <f>house_price_growth!B74</f>
        <v>17.715399999999999</v>
      </c>
      <c r="D74">
        <f t="shared" si="2"/>
        <v>339785.49118474266</v>
      </c>
    </row>
    <row r="75" spans="1:4" x14ac:dyDescent="0.45">
      <c r="A75" t="s">
        <v>208</v>
      </c>
      <c r="B75">
        <f>house_price_growth!B75</f>
        <v>18.684799999999999</v>
      </c>
      <c r="D75">
        <f t="shared" si="2"/>
        <v>346814.17966426036</v>
      </c>
    </row>
    <row r="76" spans="1:4" x14ac:dyDescent="0.45">
      <c r="A76" t="s">
        <v>209</v>
      </c>
      <c r="B76">
        <f>house_price_growth!B76</f>
        <v>27.198499999999999</v>
      </c>
      <c r="D76">
        <f t="shared" si="2"/>
        <v>408543.23382979608</v>
      </c>
    </row>
    <row r="77" spans="1:4" x14ac:dyDescent="0.45">
      <c r="A77" t="s">
        <v>210</v>
      </c>
      <c r="B77">
        <f>house_price_growth!B77</f>
        <v>27.246200000000002</v>
      </c>
      <c r="D77">
        <f t="shared" si="2"/>
        <v>408889.0853260546</v>
      </c>
    </row>
    <row r="78" spans="1:4" x14ac:dyDescent="0.45">
      <c r="A78" t="s">
        <v>211</v>
      </c>
      <c r="B78">
        <f>house_price_growth!B78</f>
        <v>24.018799999999999</v>
      </c>
      <c r="D78">
        <f t="shared" si="2"/>
        <v>385488.64257920545</v>
      </c>
    </row>
    <row r="79" spans="1:4" x14ac:dyDescent="0.45">
      <c r="A79" t="s">
        <v>212</v>
      </c>
      <c r="B79">
        <f>house_price_growth!B79</f>
        <v>20.7683</v>
      </c>
      <c r="D79">
        <f t="shared" si="2"/>
        <v>361920.71200083481</v>
      </c>
    </row>
    <row r="80" spans="1:4" x14ac:dyDescent="0.45">
      <c r="A80" t="s">
        <v>213</v>
      </c>
      <c r="B80">
        <f>house_price_growth!B80</f>
        <v>10.5907</v>
      </c>
      <c r="D80">
        <f t="shared" si="2"/>
        <v>288127.45857692318</v>
      </c>
    </row>
    <row r="81" spans="1:5" x14ac:dyDescent="0.45">
      <c r="A81" t="s">
        <v>214</v>
      </c>
      <c r="B81">
        <f>house_price_growth!B81</f>
        <v>1.659</v>
      </c>
      <c r="D81">
        <f t="shared" si="2"/>
        <v>223367.67222195232</v>
      </c>
    </row>
    <row r="82" spans="1:5" x14ac:dyDescent="0.45">
      <c r="A82" t="s">
        <v>215</v>
      </c>
      <c r="B82">
        <f>house_price_growth!B82</f>
        <v>-2.7370999999999999</v>
      </c>
      <c r="D82">
        <f t="shared" si="2"/>
        <v>191493.50528899583</v>
      </c>
    </row>
    <row r="83" spans="1:5" x14ac:dyDescent="0.45">
      <c r="A83" t="s">
        <v>216</v>
      </c>
      <c r="B83">
        <f>house_price_growth!B83</f>
        <v>-7.69</v>
      </c>
      <c r="D83">
        <f t="shared" si="2"/>
        <v>155582.2290663803</v>
      </c>
    </row>
    <row r="84" spans="1:5" x14ac:dyDescent="0.45">
      <c r="A84" t="s">
        <v>217</v>
      </c>
      <c r="B84">
        <f>house_price_growth!B84</f>
        <v>-9.9198000000000004</v>
      </c>
      <c r="D84">
        <f t="shared" si="2"/>
        <v>139414.94046350359</v>
      </c>
    </row>
    <row r="85" spans="1:5" x14ac:dyDescent="0.45">
      <c r="A85" t="s">
        <v>218</v>
      </c>
      <c r="B85">
        <f>house_price_growth!B85</f>
        <v>-9.8308</v>
      </c>
      <c r="D85">
        <f t="shared" si="2"/>
        <v>140060.23990096705</v>
      </c>
    </row>
    <row r="86" spans="1:5" x14ac:dyDescent="0.45">
      <c r="A86" t="s">
        <v>219</v>
      </c>
      <c r="B86">
        <f>house_price_growth!B86</f>
        <v>-8.4223999999999997</v>
      </c>
      <c r="D86">
        <f t="shared" si="2"/>
        <v>150271.92223493941</v>
      </c>
    </row>
    <row r="87" spans="1:5" x14ac:dyDescent="0.45">
      <c r="A87" t="s">
        <v>220</v>
      </c>
      <c r="B87">
        <f>house_price_growth!B87</f>
        <v>-9.1974999999999998</v>
      </c>
      <c r="D87">
        <f t="shared" si="2"/>
        <v>144652.01668462559</v>
      </c>
    </row>
    <row r="88" spans="1:5" x14ac:dyDescent="0.45">
      <c r="A88" t="s">
        <v>221</v>
      </c>
      <c r="B88">
        <f>house_price_growth!B88</f>
        <v>-8.5642999999999994</v>
      </c>
      <c r="D88">
        <f t="shared" si="2"/>
        <v>149243.06841273644</v>
      </c>
    </row>
    <row r="89" spans="1:5" x14ac:dyDescent="0.45">
      <c r="A89" t="s">
        <v>222</v>
      </c>
      <c r="B89">
        <f>house_price_growth!B89</f>
        <v>-7.1614000000000004</v>
      </c>
      <c r="D89">
        <f t="shared" si="2"/>
        <v>159414.87269158463</v>
      </c>
    </row>
    <row r="90" spans="1:5" x14ac:dyDescent="0.45">
      <c r="A90" t="s">
        <v>223</v>
      </c>
      <c r="B90">
        <f>house_price_growth!B90</f>
        <v>-7.3655999999999997</v>
      </c>
      <c r="D90">
        <f t="shared" si="2"/>
        <v>157934.30926315725</v>
      </c>
    </row>
    <row r="91" spans="1:5" x14ac:dyDescent="0.45">
      <c r="A91" t="s">
        <v>224</v>
      </c>
      <c r="B91">
        <f>house_price_growth!B91</f>
        <v>-6.9862000000000002</v>
      </c>
      <c r="D91">
        <f t="shared" si="2"/>
        <v>160685.17001117562</v>
      </c>
    </row>
    <row r="92" spans="1:5" x14ac:dyDescent="0.45">
      <c r="A92" t="s">
        <v>225</v>
      </c>
      <c r="B92">
        <f>house_price_growth!B92</f>
        <v>-7.4287999999999998</v>
      </c>
      <c r="D92">
        <f t="shared" si="2"/>
        <v>157476.0741570034</v>
      </c>
    </row>
    <row r="93" spans="1:5" x14ac:dyDescent="0.45">
      <c r="A93" t="s">
        <v>226</v>
      </c>
      <c r="B93">
        <f>house_price_growth!B93</f>
        <v>-9.8391000000000002</v>
      </c>
      <c r="D93">
        <f t="shared" si="2"/>
        <v>140000.06029050698</v>
      </c>
    </row>
    <row r="94" spans="1:5" x14ac:dyDescent="0.45">
      <c r="A94" t="s">
        <v>227</v>
      </c>
      <c r="B94">
        <f>house_price_growth!B94</f>
        <v>-7.6128</v>
      </c>
      <c r="D94">
        <f>$K$22+B94*$K$23</f>
        <v>156141.97194921377</v>
      </c>
    </row>
    <row r="95" spans="1:5" s="10" customFormat="1" x14ac:dyDescent="0.45">
      <c r="A95" s="10" t="s">
        <v>228</v>
      </c>
      <c r="B95" s="10">
        <f>house_price_growth!B95</f>
        <v>-4.6303000000000001</v>
      </c>
      <c r="C95">
        <v>259144</v>
      </c>
      <c r="D95" s="10">
        <f>C95</f>
        <v>259144</v>
      </c>
      <c r="E95"/>
    </row>
    <row r="96" spans="1:5" x14ac:dyDescent="0.45">
      <c r="A96" t="s">
        <v>229</v>
      </c>
      <c r="B96">
        <f>house_price_growth!B96</f>
        <v>-3.2724000000000002</v>
      </c>
      <c r="C96">
        <v>247303</v>
      </c>
      <c r="D96">
        <f>C96</f>
        <v>247303</v>
      </c>
    </row>
    <row r="97" spans="1:4" x14ac:dyDescent="0.45">
      <c r="A97" t="s">
        <v>230</v>
      </c>
      <c r="B97">
        <f>house_price_growth!B97</f>
        <v>-0.88629999999999998</v>
      </c>
      <c r="C97">
        <v>243875</v>
      </c>
      <c r="D97">
        <f t="shared" ref="D97:D160" si="3">C97</f>
        <v>243875</v>
      </c>
    </row>
    <row r="98" spans="1:4" x14ac:dyDescent="0.45">
      <c r="A98" t="s">
        <v>231</v>
      </c>
      <c r="B98">
        <f>house_price_growth!B98</f>
        <v>-0.38979999999999998</v>
      </c>
      <c r="C98">
        <v>266887</v>
      </c>
      <c r="D98">
        <f t="shared" si="3"/>
        <v>266887</v>
      </c>
    </row>
    <row r="99" spans="1:4" x14ac:dyDescent="0.45">
      <c r="A99" t="s">
        <v>232</v>
      </c>
      <c r="B99">
        <f>house_price_growth!B99</f>
        <v>0.64800000000000002</v>
      </c>
      <c r="C99">
        <v>258505</v>
      </c>
      <c r="D99">
        <f t="shared" si="3"/>
        <v>258505</v>
      </c>
    </row>
    <row r="100" spans="1:4" x14ac:dyDescent="0.45">
      <c r="A100" t="s">
        <v>233</v>
      </c>
      <c r="B100">
        <f>house_price_growth!B100</f>
        <v>0.62170000000000003</v>
      </c>
      <c r="C100">
        <v>241860</v>
      </c>
      <c r="D100">
        <f t="shared" si="3"/>
        <v>241860</v>
      </c>
    </row>
    <row r="101" spans="1:4" x14ac:dyDescent="0.45">
      <c r="A101" t="s">
        <v>234</v>
      </c>
      <c r="B101">
        <f>house_price_growth!B101</f>
        <v>1.7744</v>
      </c>
      <c r="C101">
        <v>249580</v>
      </c>
      <c r="D101">
        <f t="shared" si="3"/>
        <v>249580</v>
      </c>
    </row>
    <row r="102" spans="1:4" x14ac:dyDescent="0.45">
      <c r="A102" t="s">
        <v>235</v>
      </c>
      <c r="B102">
        <f>house_price_growth!B102</f>
        <v>-0.9153</v>
      </c>
      <c r="C102">
        <v>234373</v>
      </c>
      <c r="D102">
        <f t="shared" si="3"/>
        <v>234373</v>
      </c>
    </row>
    <row r="103" spans="1:4" x14ac:dyDescent="0.45">
      <c r="A103" t="s">
        <v>236</v>
      </c>
      <c r="B103">
        <f>house_price_growth!B103</f>
        <v>-1.0790999999999999</v>
      </c>
      <c r="C103">
        <v>214744</v>
      </c>
      <c r="D103">
        <f t="shared" si="3"/>
        <v>214744</v>
      </c>
    </row>
    <row r="104" spans="1:4" x14ac:dyDescent="0.45">
      <c r="A104" t="s">
        <v>237</v>
      </c>
      <c r="B104">
        <f>house_price_growth!B104</f>
        <v>-2.2715000000000001</v>
      </c>
      <c r="C104">
        <v>222949</v>
      </c>
      <c r="D104">
        <f t="shared" si="3"/>
        <v>222949</v>
      </c>
    </row>
    <row r="105" spans="1:4" x14ac:dyDescent="0.45">
      <c r="A105" t="s">
        <v>238</v>
      </c>
      <c r="B105">
        <f>house_price_growth!B105</f>
        <v>-3.2057000000000002</v>
      </c>
      <c r="C105">
        <v>244735</v>
      </c>
      <c r="D105">
        <f t="shared" si="3"/>
        <v>244735</v>
      </c>
    </row>
    <row r="106" spans="1:4" x14ac:dyDescent="0.45">
      <c r="A106" t="s">
        <v>239</v>
      </c>
      <c r="B106">
        <f>house_price_growth!B106</f>
        <v>-0.63900000000000001</v>
      </c>
      <c r="C106">
        <v>247838</v>
      </c>
      <c r="D106">
        <f t="shared" si="3"/>
        <v>247838</v>
      </c>
    </row>
    <row r="107" spans="1:4" x14ac:dyDescent="0.45">
      <c r="A107" t="s">
        <v>240</v>
      </c>
      <c r="B107">
        <f>house_price_growth!B107</f>
        <v>-1.2655000000000001</v>
      </c>
      <c r="C107">
        <v>254905</v>
      </c>
      <c r="D107">
        <f t="shared" si="3"/>
        <v>254905</v>
      </c>
    </row>
    <row r="108" spans="1:4" x14ac:dyDescent="0.45">
      <c r="A108" t="s">
        <v>241</v>
      </c>
      <c r="B108">
        <f>house_price_growth!B108</f>
        <v>1.7986</v>
      </c>
      <c r="C108">
        <v>278021</v>
      </c>
      <c r="D108">
        <f t="shared" si="3"/>
        <v>278021</v>
      </c>
    </row>
    <row r="109" spans="1:4" x14ac:dyDescent="0.45">
      <c r="A109" t="s">
        <v>242</v>
      </c>
      <c r="B109">
        <f>house_price_growth!B109</f>
        <v>4.9112</v>
      </c>
      <c r="C109">
        <v>303190</v>
      </c>
      <c r="D109">
        <f t="shared" si="3"/>
        <v>303190</v>
      </c>
    </row>
    <row r="110" spans="1:4" x14ac:dyDescent="0.45">
      <c r="A110" t="s">
        <v>243</v>
      </c>
      <c r="B110">
        <f>house_price_growth!B110</f>
        <v>5.3745000000000003</v>
      </c>
      <c r="C110">
        <v>300066</v>
      </c>
      <c r="D110">
        <f t="shared" si="3"/>
        <v>300066</v>
      </c>
    </row>
    <row r="111" spans="1:4" x14ac:dyDescent="0.45">
      <c r="A111" t="s">
        <v>244</v>
      </c>
      <c r="B111">
        <f>house_price_growth!B111</f>
        <v>7.5163000000000002</v>
      </c>
      <c r="C111">
        <v>310212</v>
      </c>
      <c r="D111">
        <f t="shared" si="3"/>
        <v>310212</v>
      </c>
    </row>
    <row r="112" spans="1:4" x14ac:dyDescent="0.45">
      <c r="A112" t="s">
        <v>245</v>
      </c>
      <c r="B112">
        <f>house_price_growth!B112</f>
        <v>8.3847000000000005</v>
      </c>
      <c r="C112">
        <v>297125</v>
      </c>
      <c r="D112">
        <f t="shared" si="3"/>
        <v>297125</v>
      </c>
    </row>
    <row r="113" spans="1:4" x14ac:dyDescent="0.45">
      <c r="A113" t="s">
        <v>246</v>
      </c>
      <c r="B113">
        <f>house_price_growth!B113</f>
        <v>6.0034999999999998</v>
      </c>
      <c r="C113">
        <v>256522</v>
      </c>
      <c r="D113">
        <f t="shared" si="3"/>
        <v>256522</v>
      </c>
    </row>
    <row r="114" spans="1:4" x14ac:dyDescent="0.45">
      <c r="A114" t="s">
        <v>247</v>
      </c>
      <c r="B114">
        <f>house_price_growth!B114</f>
        <v>7.4116999999999997</v>
      </c>
      <c r="C114">
        <v>264204</v>
      </c>
      <c r="D114">
        <f t="shared" si="3"/>
        <v>264204</v>
      </c>
    </row>
    <row r="115" spans="1:4" x14ac:dyDescent="0.45">
      <c r="A115" t="s">
        <v>248</v>
      </c>
      <c r="B115">
        <f>house_price_growth!B115</f>
        <v>10.741199999999999</v>
      </c>
      <c r="C115">
        <v>261130</v>
      </c>
      <c r="D115">
        <f t="shared" si="3"/>
        <v>261130</v>
      </c>
    </row>
    <row r="116" spans="1:4" x14ac:dyDescent="0.45">
      <c r="A116" t="s">
        <v>249</v>
      </c>
      <c r="B116">
        <f>house_price_growth!B116</f>
        <v>10.4556</v>
      </c>
      <c r="C116">
        <v>259321</v>
      </c>
      <c r="D116">
        <f t="shared" si="3"/>
        <v>259321</v>
      </c>
    </row>
    <row r="117" spans="1:4" x14ac:dyDescent="0.45">
      <c r="A117" t="s">
        <v>250</v>
      </c>
      <c r="B117">
        <f>house_price_growth!B117</f>
        <v>10.485900000000001</v>
      </c>
      <c r="C117">
        <v>250328</v>
      </c>
      <c r="D117">
        <f t="shared" si="3"/>
        <v>250328</v>
      </c>
    </row>
    <row r="118" spans="1:4" x14ac:dyDescent="0.45">
      <c r="A118" t="s">
        <v>251</v>
      </c>
      <c r="B118">
        <f>house_price_growth!B118</f>
        <v>8.3851999999999993</v>
      </c>
      <c r="C118">
        <v>263131</v>
      </c>
      <c r="D118">
        <f t="shared" si="3"/>
        <v>263131</v>
      </c>
    </row>
    <row r="119" spans="1:4" x14ac:dyDescent="0.45">
      <c r="A119" t="s">
        <v>252</v>
      </c>
      <c r="B119">
        <f>house_price_growth!B119</f>
        <v>7.2850000000000001</v>
      </c>
      <c r="C119">
        <v>291456</v>
      </c>
      <c r="D119">
        <f t="shared" si="3"/>
        <v>291456</v>
      </c>
    </row>
    <row r="120" spans="1:4" x14ac:dyDescent="0.45">
      <c r="A120" t="s">
        <v>253</v>
      </c>
      <c r="B120">
        <f>house_price_growth!B120</f>
        <v>9.0389999999999997</v>
      </c>
      <c r="C120">
        <v>294619</v>
      </c>
      <c r="D120">
        <f t="shared" si="3"/>
        <v>294619</v>
      </c>
    </row>
    <row r="121" spans="1:4" x14ac:dyDescent="0.45">
      <c r="A121" t="s">
        <v>254</v>
      </c>
      <c r="B121">
        <f>house_price_growth!B121</f>
        <v>12.707800000000001</v>
      </c>
      <c r="C121">
        <v>286158</v>
      </c>
      <c r="D121">
        <f t="shared" si="3"/>
        <v>286158</v>
      </c>
    </row>
    <row r="122" spans="1:4" x14ac:dyDescent="0.45">
      <c r="A122" t="s">
        <v>255</v>
      </c>
      <c r="B122">
        <f>house_price_growth!B122</f>
        <v>15.0928</v>
      </c>
      <c r="C122">
        <v>275007</v>
      </c>
      <c r="D122">
        <f t="shared" si="3"/>
        <v>275007</v>
      </c>
    </row>
    <row r="123" spans="1:4" x14ac:dyDescent="0.45">
      <c r="A123" t="s">
        <v>256</v>
      </c>
      <c r="B123">
        <f>house_price_growth!B123</f>
        <v>16.690200000000001</v>
      </c>
      <c r="C123">
        <v>284380</v>
      </c>
      <c r="D123">
        <f t="shared" si="3"/>
        <v>284380</v>
      </c>
    </row>
    <row r="124" spans="1:4" x14ac:dyDescent="0.45">
      <c r="A124" t="s">
        <v>257</v>
      </c>
      <c r="B124">
        <f>house_price_growth!B124</f>
        <v>12.2003</v>
      </c>
      <c r="C124">
        <v>272094</v>
      </c>
      <c r="D124">
        <f t="shared" si="3"/>
        <v>272094</v>
      </c>
    </row>
    <row r="125" spans="1:4" x14ac:dyDescent="0.45">
      <c r="A125" t="s">
        <v>258</v>
      </c>
      <c r="B125">
        <f>house_price_growth!B125</f>
        <v>12.2217</v>
      </c>
      <c r="C125">
        <v>290612</v>
      </c>
      <c r="D125">
        <f t="shared" si="3"/>
        <v>290612</v>
      </c>
    </row>
    <row r="126" spans="1:4" x14ac:dyDescent="0.45">
      <c r="A126" t="s">
        <v>259</v>
      </c>
      <c r="B126">
        <f>house_price_growth!B126</f>
        <v>9.2086000000000006</v>
      </c>
      <c r="C126">
        <v>298518</v>
      </c>
      <c r="D126">
        <f t="shared" si="3"/>
        <v>298518</v>
      </c>
    </row>
    <row r="127" spans="1:4" x14ac:dyDescent="0.45">
      <c r="A127" t="s">
        <v>260</v>
      </c>
      <c r="B127">
        <f>house_price_growth!B127</f>
        <v>6.6006</v>
      </c>
      <c r="C127">
        <v>320280</v>
      </c>
      <c r="D127">
        <f t="shared" si="3"/>
        <v>320280</v>
      </c>
    </row>
    <row r="128" spans="1:4" x14ac:dyDescent="0.45">
      <c r="A128" t="s">
        <v>261</v>
      </c>
      <c r="B128">
        <f>house_price_growth!B128</f>
        <v>8.1640999999999995</v>
      </c>
      <c r="C128">
        <v>328540</v>
      </c>
      <c r="D128">
        <f t="shared" si="3"/>
        <v>328540</v>
      </c>
    </row>
    <row r="129" spans="1:4" x14ac:dyDescent="0.45">
      <c r="A129" t="s">
        <v>262</v>
      </c>
      <c r="B129">
        <f>house_price_growth!B129</f>
        <v>3.6101999999999999</v>
      </c>
      <c r="C129">
        <v>309080</v>
      </c>
      <c r="D129">
        <f t="shared" si="3"/>
        <v>309080</v>
      </c>
    </row>
    <row r="130" spans="1:4" x14ac:dyDescent="0.45">
      <c r="A130" t="s">
        <v>263</v>
      </c>
      <c r="B130">
        <f>house_price_growth!B130</f>
        <v>6.9607000000000001</v>
      </c>
      <c r="C130">
        <v>369166</v>
      </c>
      <c r="D130">
        <f t="shared" si="3"/>
        <v>369166</v>
      </c>
    </row>
    <row r="131" spans="1:4" x14ac:dyDescent="0.45">
      <c r="A131" t="s">
        <v>264</v>
      </c>
      <c r="B131">
        <f>house_price_growth!B131</f>
        <v>12.352</v>
      </c>
      <c r="C131">
        <v>357119</v>
      </c>
      <c r="D131">
        <f t="shared" si="3"/>
        <v>357119</v>
      </c>
    </row>
    <row r="132" spans="1:4" x14ac:dyDescent="0.45">
      <c r="A132" t="s">
        <v>265</v>
      </c>
      <c r="B132">
        <f>house_price_growth!B132</f>
        <v>15.7537</v>
      </c>
      <c r="C132">
        <v>343150</v>
      </c>
      <c r="D132">
        <f t="shared" si="3"/>
        <v>343150</v>
      </c>
    </row>
    <row r="133" spans="1:4" x14ac:dyDescent="0.45">
      <c r="A133" t="s">
        <v>266</v>
      </c>
      <c r="B133">
        <f>house_price_growth!B133</f>
        <v>23.370200000000001</v>
      </c>
      <c r="C133">
        <v>352389</v>
      </c>
      <c r="D133">
        <f t="shared" si="3"/>
        <v>352389</v>
      </c>
    </row>
    <row r="134" spans="1:4" x14ac:dyDescent="0.45">
      <c r="A134" t="s">
        <v>267</v>
      </c>
      <c r="B134">
        <f>house_price_growth!B134</f>
        <v>21.535299999999999</v>
      </c>
      <c r="C134">
        <v>304369</v>
      </c>
      <c r="D134">
        <f t="shared" si="3"/>
        <v>304369</v>
      </c>
    </row>
    <row r="135" spans="1:4" x14ac:dyDescent="0.45">
      <c r="A135" t="s">
        <v>268</v>
      </c>
      <c r="B135">
        <f>house_price_growth!B135</f>
        <v>16.106200000000001</v>
      </c>
      <c r="C135">
        <v>307106</v>
      </c>
      <c r="D135">
        <f t="shared" si="3"/>
        <v>307106</v>
      </c>
    </row>
    <row r="136" spans="1:4" x14ac:dyDescent="0.45">
      <c r="A136" t="s">
        <v>269</v>
      </c>
      <c r="B136">
        <f>house_price_growth!B136</f>
        <v>11.6633</v>
      </c>
      <c r="C136">
        <v>366273</v>
      </c>
      <c r="D136">
        <f t="shared" si="3"/>
        <v>366273</v>
      </c>
    </row>
    <row r="137" spans="1:4" x14ac:dyDescent="0.45">
      <c r="A137" t="s">
        <v>270</v>
      </c>
      <c r="B137">
        <f>house_price_growth!B137</f>
        <v>8.5701999999999998</v>
      </c>
      <c r="C137">
        <v>393279</v>
      </c>
      <c r="D137">
        <f t="shared" si="3"/>
        <v>393279</v>
      </c>
    </row>
    <row r="138" spans="1:4" x14ac:dyDescent="0.45">
      <c r="A138" t="s">
        <v>271</v>
      </c>
      <c r="B138">
        <f>house_price_growth!B138</f>
        <v>7.6882000000000001</v>
      </c>
      <c r="C138">
        <v>377534</v>
      </c>
      <c r="D138">
        <f t="shared" si="3"/>
        <v>377534</v>
      </c>
    </row>
    <row r="139" spans="1:4" x14ac:dyDescent="0.45">
      <c r="A139" t="s">
        <v>272</v>
      </c>
      <c r="B139">
        <f>house_price_growth!B139</f>
        <v>10.466900000000001</v>
      </c>
      <c r="C139">
        <v>352679</v>
      </c>
      <c r="D139">
        <f t="shared" si="3"/>
        <v>352679</v>
      </c>
    </row>
    <row r="140" spans="1:4" x14ac:dyDescent="0.45">
      <c r="A140" t="s">
        <v>273</v>
      </c>
      <c r="B140">
        <f>house_price_growth!B140</f>
        <v>12.411199999999999</v>
      </c>
      <c r="C140">
        <v>278713</v>
      </c>
      <c r="D140">
        <f t="shared" si="3"/>
        <v>278713</v>
      </c>
    </row>
    <row r="141" spans="1:4" x14ac:dyDescent="0.45">
      <c r="A141" t="s">
        <v>274</v>
      </c>
      <c r="B141">
        <f>house_price_growth!B141</f>
        <v>10.7403</v>
      </c>
      <c r="C141">
        <v>243286</v>
      </c>
      <c r="D141">
        <f t="shared" si="3"/>
        <v>243286</v>
      </c>
    </row>
    <row r="142" spans="1:4" x14ac:dyDescent="0.45">
      <c r="A142" t="s">
        <v>275</v>
      </c>
      <c r="B142">
        <f>house_price_growth!B142</f>
        <v>7.2157999999999998</v>
      </c>
      <c r="C142">
        <v>259619</v>
      </c>
      <c r="D142">
        <f t="shared" si="3"/>
        <v>259619</v>
      </c>
    </row>
    <row r="143" spans="1:4" x14ac:dyDescent="0.45">
      <c r="A143" t="s">
        <v>276</v>
      </c>
      <c r="B143">
        <f>house_price_growth!B143</f>
        <v>3.8675999999999999</v>
      </c>
      <c r="C143">
        <v>287600</v>
      </c>
      <c r="D143">
        <f t="shared" si="3"/>
        <v>287600</v>
      </c>
    </row>
    <row r="144" spans="1:4" x14ac:dyDescent="0.45">
      <c r="A144" t="s">
        <v>277</v>
      </c>
      <c r="B144">
        <f>house_price_growth!B144</f>
        <v>1.5348999999999999</v>
      </c>
      <c r="C144">
        <v>305394</v>
      </c>
      <c r="D144">
        <f t="shared" si="3"/>
        <v>305394</v>
      </c>
    </row>
    <row r="145" spans="1:4" x14ac:dyDescent="0.45">
      <c r="A145" t="s">
        <v>278</v>
      </c>
      <c r="B145">
        <f>house_price_growth!B145</f>
        <v>1.2666999999999999</v>
      </c>
      <c r="C145">
        <v>344730</v>
      </c>
      <c r="D145">
        <f t="shared" si="3"/>
        <v>344730</v>
      </c>
    </row>
    <row r="146" spans="1:4" x14ac:dyDescent="0.45">
      <c r="A146" t="s">
        <v>279</v>
      </c>
      <c r="B146">
        <f>house_price_growth!B146</f>
        <v>4.3522999999999996</v>
      </c>
      <c r="C146">
        <v>351308</v>
      </c>
      <c r="D146">
        <f t="shared" si="3"/>
        <v>351308</v>
      </c>
    </row>
    <row r="147" spans="1:4" x14ac:dyDescent="0.45">
      <c r="A147" t="s">
        <v>280</v>
      </c>
      <c r="B147">
        <f>house_price_growth!B147</f>
        <v>4.8789999999999996</v>
      </c>
      <c r="C147">
        <v>344660</v>
      </c>
      <c r="D147">
        <f t="shared" si="3"/>
        <v>344660</v>
      </c>
    </row>
    <row r="148" spans="1:4" x14ac:dyDescent="0.45">
      <c r="A148" t="s">
        <v>281</v>
      </c>
      <c r="B148">
        <f>house_price_growth!B148</f>
        <v>5.2778</v>
      </c>
      <c r="C148">
        <v>359382</v>
      </c>
      <c r="D148">
        <f t="shared" si="3"/>
        <v>359382</v>
      </c>
    </row>
    <row r="149" spans="1:4" x14ac:dyDescent="0.45">
      <c r="A149" t="s">
        <v>282</v>
      </c>
      <c r="B149">
        <f>house_price_growth!B149</f>
        <v>6.8745000000000003</v>
      </c>
      <c r="C149">
        <v>373429</v>
      </c>
      <c r="D149">
        <f t="shared" si="3"/>
        <v>373429</v>
      </c>
    </row>
    <row r="150" spans="1:4" x14ac:dyDescent="0.45">
      <c r="A150" t="s">
        <v>283</v>
      </c>
      <c r="B150">
        <f>house_price_growth!B150</f>
        <v>7.4874999999999998</v>
      </c>
      <c r="C150">
        <v>352178</v>
      </c>
      <c r="D150">
        <f t="shared" si="3"/>
        <v>352178</v>
      </c>
    </row>
    <row r="151" spans="1:4" x14ac:dyDescent="0.45">
      <c r="A151" t="s">
        <v>284</v>
      </c>
      <c r="B151">
        <f>house_price_growth!B151</f>
        <v>8.0073000000000008</v>
      </c>
      <c r="C151">
        <v>337827</v>
      </c>
      <c r="D151">
        <f t="shared" si="3"/>
        <v>337827</v>
      </c>
    </row>
    <row r="152" spans="1:4" x14ac:dyDescent="0.45">
      <c r="A152" t="s">
        <v>285</v>
      </c>
      <c r="B152">
        <f>house_price_growth!B152</f>
        <v>8.4601000000000006</v>
      </c>
      <c r="C152">
        <v>319826</v>
      </c>
      <c r="D152">
        <f t="shared" si="3"/>
        <v>319826</v>
      </c>
    </row>
    <row r="153" spans="1:4" x14ac:dyDescent="0.45">
      <c r="A153" t="s">
        <v>286</v>
      </c>
      <c r="B153">
        <f>house_price_growth!B153</f>
        <v>6.0244999999999997</v>
      </c>
      <c r="C153">
        <v>239997</v>
      </c>
      <c r="D153">
        <f t="shared" si="3"/>
        <v>239997</v>
      </c>
    </row>
    <row r="154" spans="1:4" x14ac:dyDescent="0.45">
      <c r="A154" t="s">
        <v>287</v>
      </c>
      <c r="B154">
        <f>house_price_growth!B154</f>
        <v>1.2516</v>
      </c>
      <c r="C154">
        <v>202894</v>
      </c>
      <c r="D154">
        <f t="shared" si="3"/>
        <v>202894</v>
      </c>
    </row>
    <row r="155" spans="1:4" x14ac:dyDescent="0.45">
      <c r="A155" t="s">
        <v>288</v>
      </c>
      <c r="B155">
        <f>house_price_growth!B155</f>
        <v>-4.0522999999999998</v>
      </c>
      <c r="C155">
        <v>133012</v>
      </c>
      <c r="D155">
        <f t="shared" si="3"/>
        <v>133012</v>
      </c>
    </row>
    <row r="156" spans="1:4" x14ac:dyDescent="0.45">
      <c r="A156" t="s">
        <v>289</v>
      </c>
      <c r="B156">
        <f>house_price_growth!B156</f>
        <v>-11.4024</v>
      </c>
      <c r="C156">
        <v>97965</v>
      </c>
      <c r="D156">
        <f t="shared" si="3"/>
        <v>97965</v>
      </c>
    </row>
    <row r="157" spans="1:4" x14ac:dyDescent="0.45">
      <c r="A157" t="s">
        <v>290</v>
      </c>
      <c r="B157">
        <f>house_price_growth!B157</f>
        <v>-16.472000000000001</v>
      </c>
      <c r="C157">
        <v>89593</v>
      </c>
      <c r="D157">
        <f t="shared" si="3"/>
        <v>89593</v>
      </c>
    </row>
    <row r="158" spans="1:4" x14ac:dyDescent="0.45">
      <c r="A158" t="s">
        <v>291</v>
      </c>
      <c r="B158">
        <f>house_price_growth!B158</f>
        <v>-17.860700000000001</v>
      </c>
      <c r="C158">
        <v>115313</v>
      </c>
      <c r="D158">
        <f t="shared" si="3"/>
        <v>115313</v>
      </c>
    </row>
    <row r="159" spans="1:4" x14ac:dyDescent="0.45">
      <c r="A159" t="s">
        <v>292</v>
      </c>
      <c r="B159">
        <f>house_price_growth!B159</f>
        <v>-15.540800000000001</v>
      </c>
      <c r="C159">
        <v>143532</v>
      </c>
      <c r="D159">
        <f t="shared" si="3"/>
        <v>143532</v>
      </c>
    </row>
    <row r="160" spans="1:4" x14ac:dyDescent="0.45">
      <c r="A160" t="s">
        <v>293</v>
      </c>
      <c r="B160">
        <f>house_price_growth!B160</f>
        <v>-8.1575000000000006</v>
      </c>
      <c r="C160">
        <v>161606</v>
      </c>
      <c r="D160">
        <f t="shared" si="3"/>
        <v>161606</v>
      </c>
    </row>
    <row r="161" spans="1:4" x14ac:dyDescent="0.45">
      <c r="A161" t="s">
        <v>294</v>
      </c>
      <c r="B161">
        <f>house_price_growth!B161</f>
        <v>-0.40560000000000002</v>
      </c>
      <c r="C161">
        <v>171216</v>
      </c>
      <c r="D161">
        <f t="shared" ref="D161:D223" si="4">C161</f>
        <v>171216</v>
      </c>
    </row>
    <row r="162" spans="1:4" x14ac:dyDescent="0.45">
      <c r="A162" t="s">
        <v>295</v>
      </c>
      <c r="B162">
        <f>house_price_growth!B162</f>
        <v>4.2206000000000001</v>
      </c>
      <c r="C162">
        <v>143571</v>
      </c>
      <c r="D162">
        <f t="shared" si="4"/>
        <v>143571</v>
      </c>
    </row>
    <row r="163" spans="1:4" x14ac:dyDescent="0.45">
      <c r="A163" t="s">
        <v>296</v>
      </c>
      <c r="B163">
        <f>house_price_growth!B163</f>
        <v>4.6242999999999999</v>
      </c>
      <c r="C163">
        <v>149727</v>
      </c>
      <c r="D163">
        <f t="shared" si="4"/>
        <v>149727</v>
      </c>
    </row>
    <row r="164" spans="1:4" x14ac:dyDescent="0.45">
      <c r="A164" t="s">
        <v>297</v>
      </c>
      <c r="B164">
        <f>house_price_growth!B164</f>
        <v>2.5154999999999998</v>
      </c>
      <c r="C164">
        <v>142785</v>
      </c>
      <c r="D164">
        <f t="shared" si="4"/>
        <v>142785</v>
      </c>
    </row>
    <row r="165" spans="1:4" x14ac:dyDescent="0.45">
      <c r="A165" t="s">
        <v>298</v>
      </c>
      <c r="B165">
        <f>house_price_growth!B165</f>
        <v>-1.7653000000000001</v>
      </c>
      <c r="C165">
        <v>134738</v>
      </c>
      <c r="D165">
        <f t="shared" si="4"/>
        <v>134738</v>
      </c>
    </row>
    <row r="166" spans="1:4" x14ac:dyDescent="0.45">
      <c r="A166" t="s">
        <v>299</v>
      </c>
      <c r="B166">
        <f>house_price_growth!B166</f>
        <v>-4.5693000000000001</v>
      </c>
      <c r="C166">
        <v>138742</v>
      </c>
      <c r="D166">
        <f t="shared" si="4"/>
        <v>138742</v>
      </c>
    </row>
    <row r="167" spans="1:4" x14ac:dyDescent="0.45">
      <c r="A167" t="s">
        <v>300</v>
      </c>
      <c r="B167">
        <f>house_price_growth!B167</f>
        <v>-5.9630999999999998</v>
      </c>
      <c r="C167">
        <v>142514</v>
      </c>
      <c r="D167">
        <f t="shared" si="4"/>
        <v>142514</v>
      </c>
    </row>
    <row r="168" spans="1:4" x14ac:dyDescent="0.45">
      <c r="A168" t="s">
        <v>301</v>
      </c>
      <c r="B168">
        <f>house_price_growth!B168</f>
        <v>-6.3490000000000002</v>
      </c>
      <c r="C168">
        <v>154697</v>
      </c>
      <c r="D168">
        <f t="shared" si="4"/>
        <v>154697</v>
      </c>
    </row>
    <row r="169" spans="1:4" x14ac:dyDescent="0.45">
      <c r="A169" t="s">
        <v>302</v>
      </c>
      <c r="B169">
        <f>house_price_growth!B169</f>
        <v>-5.7446000000000002</v>
      </c>
      <c r="C169">
        <v>155488</v>
      </c>
      <c r="D169">
        <f t="shared" si="4"/>
        <v>155488</v>
      </c>
    </row>
    <row r="170" spans="1:4" x14ac:dyDescent="0.45">
      <c r="A170" t="s">
        <v>303</v>
      </c>
      <c r="B170">
        <f>house_price_growth!B170</f>
        <v>-3.8603000000000001</v>
      </c>
      <c r="C170">
        <v>157217</v>
      </c>
      <c r="D170">
        <f t="shared" si="4"/>
        <v>157217</v>
      </c>
    </row>
    <row r="171" spans="1:4" x14ac:dyDescent="0.45">
      <c r="A171" t="s">
        <v>304</v>
      </c>
      <c r="B171">
        <f>house_price_growth!B171</f>
        <v>-1.9516</v>
      </c>
      <c r="C171">
        <v>149089</v>
      </c>
      <c r="D171">
        <f t="shared" si="4"/>
        <v>149089</v>
      </c>
    </row>
    <row r="172" spans="1:4" x14ac:dyDescent="0.45">
      <c r="A172" t="s">
        <v>305</v>
      </c>
      <c r="B172">
        <f>house_price_growth!B172</f>
        <v>-1.9992000000000001</v>
      </c>
      <c r="C172">
        <v>145693</v>
      </c>
      <c r="D172">
        <f t="shared" si="4"/>
        <v>145693</v>
      </c>
    </row>
    <row r="173" spans="1:4" x14ac:dyDescent="0.45">
      <c r="A173" t="s">
        <v>306</v>
      </c>
      <c r="B173">
        <f>house_price_growth!B173</f>
        <v>-1.6156999999999999</v>
      </c>
      <c r="C173">
        <v>159932</v>
      </c>
      <c r="D173">
        <f t="shared" si="4"/>
        <v>159932</v>
      </c>
    </row>
    <row r="174" spans="1:4" x14ac:dyDescent="0.45">
      <c r="A174" t="s">
        <v>307</v>
      </c>
      <c r="B174">
        <f>house_price_growth!B174</f>
        <v>-1.3655999999999999</v>
      </c>
      <c r="C174">
        <v>159340</v>
      </c>
      <c r="D174">
        <f t="shared" si="4"/>
        <v>159340</v>
      </c>
    </row>
    <row r="175" spans="1:4" x14ac:dyDescent="0.45">
      <c r="A175" t="s">
        <v>308</v>
      </c>
      <c r="B175">
        <f>house_price_growth!B175</f>
        <v>-1.1386000000000001</v>
      </c>
      <c r="C175">
        <v>174022</v>
      </c>
      <c r="D175">
        <f t="shared" si="4"/>
        <v>174022</v>
      </c>
    </row>
    <row r="176" spans="1:4" x14ac:dyDescent="0.45">
      <c r="A176" t="s">
        <v>309</v>
      </c>
      <c r="B176">
        <f>house_price_growth!B176</f>
        <v>0.2422</v>
      </c>
      <c r="C176">
        <v>190774</v>
      </c>
      <c r="D176">
        <f t="shared" si="4"/>
        <v>190774</v>
      </c>
    </row>
    <row r="177" spans="1:4" x14ac:dyDescent="0.45">
      <c r="A177" t="s">
        <v>310</v>
      </c>
      <c r="B177">
        <f>house_price_growth!B177</f>
        <v>2.2183000000000002</v>
      </c>
      <c r="C177">
        <v>210891</v>
      </c>
      <c r="D177">
        <f t="shared" si="4"/>
        <v>210891</v>
      </c>
    </row>
    <row r="178" spans="1:4" x14ac:dyDescent="0.45">
      <c r="A178" t="s">
        <v>311</v>
      </c>
      <c r="B178">
        <f>house_price_growth!B178</f>
        <v>4.7182000000000004</v>
      </c>
      <c r="C178">
        <v>212330</v>
      </c>
      <c r="D178">
        <f t="shared" si="4"/>
        <v>212330</v>
      </c>
    </row>
    <row r="179" spans="1:4" x14ac:dyDescent="0.45">
      <c r="A179" t="s">
        <v>312</v>
      </c>
      <c r="B179">
        <f>house_price_growth!B179</f>
        <v>6.2272999999999996</v>
      </c>
      <c r="C179">
        <v>195150</v>
      </c>
      <c r="D179">
        <f t="shared" si="4"/>
        <v>195150</v>
      </c>
    </row>
    <row r="180" spans="1:4" x14ac:dyDescent="0.45">
      <c r="A180" t="s">
        <v>313</v>
      </c>
      <c r="B180">
        <f>house_price_growth!B180</f>
        <v>7.3125999999999998</v>
      </c>
      <c r="C180">
        <v>194316</v>
      </c>
      <c r="D180">
        <f t="shared" si="4"/>
        <v>194316</v>
      </c>
    </row>
    <row r="181" spans="1:4" x14ac:dyDescent="0.45">
      <c r="A181" t="s">
        <v>314</v>
      </c>
      <c r="B181">
        <f>house_price_growth!B181</f>
        <v>7.5326000000000004</v>
      </c>
      <c r="C181">
        <v>180159</v>
      </c>
      <c r="D181">
        <f t="shared" si="4"/>
        <v>180159</v>
      </c>
    </row>
    <row r="182" spans="1:4" x14ac:dyDescent="0.45">
      <c r="A182" t="s">
        <v>315</v>
      </c>
      <c r="B182">
        <f>house_price_growth!B182</f>
        <v>6.5384000000000002</v>
      </c>
      <c r="C182">
        <v>183169</v>
      </c>
      <c r="D182">
        <f t="shared" si="4"/>
        <v>183169</v>
      </c>
    </row>
    <row r="183" spans="1:4" x14ac:dyDescent="0.45">
      <c r="A183" t="s">
        <v>316</v>
      </c>
      <c r="B183">
        <f>house_price_growth!B183</f>
        <v>5.3868</v>
      </c>
      <c r="C183">
        <v>202516</v>
      </c>
      <c r="D183">
        <f t="shared" si="4"/>
        <v>202516</v>
      </c>
    </row>
    <row r="184" spans="1:4" x14ac:dyDescent="0.45">
      <c r="A184" t="s">
        <v>317</v>
      </c>
      <c r="B184">
        <f>house_price_growth!B184</f>
        <v>5.2983000000000002</v>
      </c>
      <c r="C184">
        <v>214218</v>
      </c>
      <c r="D184">
        <f t="shared" si="4"/>
        <v>214218</v>
      </c>
    </row>
    <row r="185" spans="1:4" x14ac:dyDescent="0.45">
      <c r="A185" t="s">
        <v>318</v>
      </c>
      <c r="B185">
        <f>house_price_growth!B185</f>
        <v>6.4027000000000003</v>
      </c>
      <c r="C185">
        <v>211838</v>
      </c>
      <c r="D185">
        <f t="shared" si="4"/>
        <v>211838</v>
      </c>
    </row>
    <row r="186" spans="1:4" x14ac:dyDescent="0.45">
      <c r="A186" t="s">
        <v>319</v>
      </c>
      <c r="B186">
        <f>house_price_growth!B186</f>
        <v>7.6512000000000002</v>
      </c>
      <c r="C186">
        <v>215040</v>
      </c>
      <c r="D186">
        <f t="shared" si="4"/>
        <v>215040</v>
      </c>
    </row>
    <row r="187" spans="1:4" x14ac:dyDescent="0.45">
      <c r="A187" t="s">
        <v>320</v>
      </c>
      <c r="B187">
        <f>house_price_growth!B187</f>
        <v>7.6241000000000003</v>
      </c>
      <c r="C187">
        <v>202174</v>
      </c>
      <c r="D187">
        <f t="shared" si="4"/>
        <v>202174</v>
      </c>
    </row>
    <row r="188" spans="1:4" x14ac:dyDescent="0.45">
      <c r="A188" t="s">
        <v>321</v>
      </c>
      <c r="B188">
        <f>house_price_growth!B188</f>
        <v>6.0102000000000002</v>
      </c>
      <c r="C188">
        <v>188296</v>
      </c>
      <c r="D188">
        <f t="shared" si="4"/>
        <v>188296</v>
      </c>
    </row>
    <row r="189" spans="1:4" x14ac:dyDescent="0.45">
      <c r="A189" t="s">
        <v>322</v>
      </c>
      <c r="B189">
        <f>house_price_growth!B189</f>
        <v>4.1703999999999999</v>
      </c>
      <c r="C189">
        <v>204647</v>
      </c>
      <c r="D189">
        <f t="shared" si="4"/>
        <v>204647</v>
      </c>
    </row>
    <row r="190" spans="1:4" x14ac:dyDescent="0.45">
      <c r="A190" t="s">
        <v>323</v>
      </c>
      <c r="B190">
        <f>house_price_growth!B190</f>
        <v>2.1781000000000001</v>
      </c>
      <c r="C190">
        <v>204113</v>
      </c>
      <c r="D190">
        <f t="shared" si="4"/>
        <v>204113</v>
      </c>
    </row>
    <row r="191" spans="1:4" x14ac:dyDescent="0.45">
      <c r="A191" t="s">
        <v>324</v>
      </c>
      <c r="B191">
        <f>house_price_growth!B191</f>
        <v>1.6348</v>
      </c>
      <c r="C191">
        <v>198540</v>
      </c>
      <c r="D191">
        <f t="shared" si="4"/>
        <v>198540</v>
      </c>
    </row>
    <row r="192" spans="1:4" x14ac:dyDescent="0.45">
      <c r="A192" t="s">
        <v>325</v>
      </c>
      <c r="B192">
        <f>house_price_growth!B192</f>
        <v>1.8813</v>
      </c>
      <c r="C192">
        <v>201799</v>
      </c>
      <c r="D192">
        <f t="shared" si="4"/>
        <v>201799</v>
      </c>
    </row>
    <row r="193" spans="1:4" x14ac:dyDescent="0.45">
      <c r="A193" t="s">
        <v>326</v>
      </c>
      <c r="B193">
        <f>house_price_growth!B193</f>
        <v>1.5434000000000001</v>
      </c>
      <c r="C193">
        <v>193149</v>
      </c>
      <c r="D193">
        <f t="shared" si="4"/>
        <v>193149</v>
      </c>
    </row>
    <row r="194" spans="1:4" x14ac:dyDescent="0.45">
      <c r="A194" t="s">
        <v>327</v>
      </c>
      <c r="B194">
        <f>house_price_growth!B194</f>
        <v>1.5867</v>
      </c>
      <c r="C194">
        <v>191862</v>
      </c>
      <c r="D194">
        <f t="shared" si="4"/>
        <v>191862</v>
      </c>
    </row>
    <row r="195" spans="1:4" x14ac:dyDescent="0.45">
      <c r="A195" t="s">
        <v>328</v>
      </c>
      <c r="B195">
        <f>house_price_growth!B195</f>
        <v>0.77539999999999998</v>
      </c>
      <c r="C195">
        <v>194353</v>
      </c>
      <c r="D195">
        <f t="shared" si="4"/>
        <v>194353</v>
      </c>
    </row>
    <row r="196" spans="1:4" x14ac:dyDescent="0.45">
      <c r="A196" t="s">
        <v>329</v>
      </c>
      <c r="B196">
        <f>house_price_growth!B196</f>
        <v>0.25369999999999998</v>
      </c>
      <c r="C196">
        <v>197621</v>
      </c>
      <c r="D196">
        <f t="shared" si="4"/>
        <v>197621</v>
      </c>
    </row>
    <row r="197" spans="1:4" x14ac:dyDescent="0.45">
      <c r="A197" t="s">
        <v>330</v>
      </c>
      <c r="B197">
        <f>house_price_growth!B197</f>
        <v>0.1268</v>
      </c>
      <c r="C197">
        <v>197484</v>
      </c>
      <c r="D197">
        <f t="shared" si="4"/>
        <v>197484</v>
      </c>
    </row>
    <row r="198" spans="1:4" x14ac:dyDescent="0.45">
      <c r="A198" t="s">
        <v>331</v>
      </c>
      <c r="B198">
        <f>house_price_growth!B198</f>
        <v>-0.44990000000000002</v>
      </c>
      <c r="C198">
        <v>191381</v>
      </c>
      <c r="D198">
        <f t="shared" si="4"/>
        <v>191381</v>
      </c>
    </row>
    <row r="199" spans="1:4" x14ac:dyDescent="0.45">
      <c r="A199" t="s">
        <v>332</v>
      </c>
      <c r="B199">
        <f>house_price_growth!B199</f>
        <v>-1.0012000000000001</v>
      </c>
      <c r="C199">
        <v>198096</v>
      </c>
      <c r="D199">
        <f t="shared" si="4"/>
        <v>198096</v>
      </c>
    </row>
    <row r="200" spans="1:4" x14ac:dyDescent="0.45">
      <c r="A200" t="s">
        <v>333</v>
      </c>
      <c r="B200">
        <f>house_price_growth!B200</f>
        <v>-1.0953999999999999</v>
      </c>
      <c r="C200">
        <v>199581</v>
      </c>
      <c r="D200">
        <f t="shared" si="4"/>
        <v>199581</v>
      </c>
    </row>
    <row r="201" spans="1:4" x14ac:dyDescent="0.45">
      <c r="A201" t="s">
        <v>334</v>
      </c>
      <c r="B201">
        <f>house_price_growth!B201</f>
        <v>-0.53420000000000001</v>
      </c>
      <c r="C201">
        <v>200346</v>
      </c>
      <c r="D201">
        <f t="shared" si="4"/>
        <v>200346</v>
      </c>
    </row>
    <row r="202" spans="1:4" x14ac:dyDescent="0.45">
      <c r="A202" t="s">
        <v>335</v>
      </c>
      <c r="B202">
        <f>house_price_growth!B202</f>
        <v>8.4199999999999997E-2</v>
      </c>
      <c r="C202">
        <v>197168</v>
      </c>
      <c r="D202">
        <f t="shared" si="4"/>
        <v>197168</v>
      </c>
    </row>
    <row r="203" spans="1:4" x14ac:dyDescent="0.45">
      <c r="A203" t="s">
        <v>336</v>
      </c>
      <c r="B203">
        <f>house_price_growth!B203</f>
        <v>0.55059999999999998</v>
      </c>
      <c r="C203">
        <v>65644</v>
      </c>
      <c r="D203">
        <f t="shared" si="4"/>
        <v>65644</v>
      </c>
    </row>
    <row r="204" spans="1:4" x14ac:dyDescent="0.45">
      <c r="A204" t="s">
        <v>337</v>
      </c>
      <c r="B204">
        <f>house_price_growth!B204</f>
        <v>1.9239999999999999</v>
      </c>
      <c r="C204">
        <v>244595</v>
      </c>
      <c r="D204">
        <f t="shared" si="4"/>
        <v>244595</v>
      </c>
    </row>
    <row r="205" spans="1:4" x14ac:dyDescent="0.45">
      <c r="A205" t="s">
        <v>338</v>
      </c>
      <c r="B205">
        <f>house_price_growth!B205</f>
        <v>5.2389999999999999</v>
      </c>
      <c r="C205">
        <v>311511</v>
      </c>
      <c r="D205">
        <f t="shared" si="4"/>
        <v>311511</v>
      </c>
    </row>
    <row r="206" spans="1:4" x14ac:dyDescent="0.45">
      <c r="A206" t="s">
        <v>339</v>
      </c>
      <c r="B206">
        <f>house_price_growth!B206</f>
        <v>7.0110999999999999</v>
      </c>
      <c r="C206">
        <v>262330</v>
      </c>
      <c r="D206">
        <f t="shared" si="4"/>
        <v>262330</v>
      </c>
    </row>
    <row r="207" spans="1:4" x14ac:dyDescent="0.45">
      <c r="A207" t="s">
        <v>340</v>
      </c>
      <c r="B207">
        <f>house_price_growth!B207</f>
        <v>7.2168999999999999</v>
      </c>
      <c r="C207">
        <v>250925</v>
      </c>
      <c r="D207">
        <f t="shared" si="4"/>
        <v>250925</v>
      </c>
    </row>
    <row r="208" spans="1:4" x14ac:dyDescent="0.45">
      <c r="A208" t="s">
        <v>341</v>
      </c>
      <c r="B208">
        <f>house_price_growth!B208</f>
        <v>5.3914</v>
      </c>
      <c r="C208">
        <v>214135</v>
      </c>
      <c r="D208">
        <f t="shared" si="4"/>
        <v>214135</v>
      </c>
    </row>
    <row r="209" spans="1:4" x14ac:dyDescent="0.45">
      <c r="A209" t="s">
        <v>342</v>
      </c>
      <c r="B209">
        <f>house_price_growth!B209</f>
        <v>2.2576999999999998</v>
      </c>
      <c r="C209">
        <v>209970</v>
      </c>
      <c r="D209">
        <f t="shared" si="4"/>
        <v>209970</v>
      </c>
    </row>
    <row r="210" spans="1:4" x14ac:dyDescent="0.45">
      <c r="A210" t="s">
        <v>343</v>
      </c>
      <c r="B210">
        <f>house_price_growth!B210</f>
        <v>1.8588</v>
      </c>
      <c r="C210">
        <v>210732</v>
      </c>
      <c r="D210">
        <f t="shared" si="4"/>
        <v>210732</v>
      </c>
    </row>
    <row r="211" spans="1:4" x14ac:dyDescent="0.45">
      <c r="A211" t="s">
        <v>344</v>
      </c>
      <c r="B211">
        <f>house_price_growth!B211</f>
        <v>-0.21299999999999999</v>
      </c>
      <c r="C211">
        <v>195586</v>
      </c>
      <c r="D211">
        <f t="shared" si="4"/>
        <v>195586</v>
      </c>
    </row>
    <row r="212" spans="1:4" x14ac:dyDescent="0.45">
      <c r="A212" t="s">
        <v>345</v>
      </c>
      <c r="B212">
        <f>house_price_growth!B212</f>
        <v>0.84989999999999999</v>
      </c>
      <c r="C212">
        <v>199694</v>
      </c>
      <c r="D212">
        <f t="shared" si="4"/>
        <v>199694</v>
      </c>
    </row>
    <row r="213" spans="1:4" x14ac:dyDescent="0.45">
      <c r="A213" t="s">
        <v>346</v>
      </c>
      <c r="B213">
        <f>house_price_growth!B213</f>
        <v>-1.5612999999999999</v>
      </c>
      <c r="C213">
        <v>145594</v>
      </c>
      <c r="D213">
        <f t="shared" si="4"/>
        <v>145594</v>
      </c>
    </row>
    <row r="214" spans="1:4" x14ac:dyDescent="0.45">
      <c r="A214" t="s">
        <v>347</v>
      </c>
      <c r="B214">
        <f>house_price_growth!B214</f>
        <v>-5.6189</v>
      </c>
      <c r="C214">
        <v>133600</v>
      </c>
      <c r="D214">
        <f t="shared" si="4"/>
        <v>133600</v>
      </c>
    </row>
    <row r="215" spans="1:4" x14ac:dyDescent="0.45">
      <c r="A215" t="s">
        <v>348</v>
      </c>
      <c r="B215">
        <f>house_price_growth!B215</f>
        <v>-6.9328000000000003</v>
      </c>
      <c r="C215">
        <v>154812</v>
      </c>
      <c r="D215">
        <f t="shared" si="4"/>
        <v>154812</v>
      </c>
    </row>
    <row r="216" spans="1:4" x14ac:dyDescent="0.45">
      <c r="A216" t="s">
        <v>349</v>
      </c>
      <c r="B216">
        <f>house_price_growth!B216</f>
        <v>-7.3078000000000003</v>
      </c>
      <c r="C216">
        <v>138423</v>
      </c>
      <c r="D216">
        <f t="shared" si="4"/>
        <v>138423</v>
      </c>
    </row>
    <row r="217" spans="1:4" x14ac:dyDescent="0.45">
      <c r="A217" t="s">
        <v>350</v>
      </c>
      <c r="B217">
        <f>house_price_growth!B217</f>
        <v>-6.3556999999999997</v>
      </c>
      <c r="C217">
        <v>150164</v>
      </c>
      <c r="D217">
        <f t="shared" si="4"/>
        <v>150164</v>
      </c>
    </row>
    <row r="218" spans="1:4" x14ac:dyDescent="0.45">
      <c r="A218" t="s">
        <v>351</v>
      </c>
      <c r="B218">
        <f>house_price_growth!B218</f>
        <v>-4.6943000000000001</v>
      </c>
      <c r="C218">
        <v>177092</v>
      </c>
      <c r="D218">
        <f t="shared" si="4"/>
        <v>177092</v>
      </c>
    </row>
    <row r="219" spans="1:4" x14ac:dyDescent="0.45">
      <c r="A219" t="s">
        <v>352</v>
      </c>
      <c r="B219">
        <f>house_price_growth!B219</f>
        <v>-1.67</v>
      </c>
      <c r="C219">
        <v>184227</v>
      </c>
      <c r="D219">
        <f t="shared" si="4"/>
        <v>184227</v>
      </c>
    </row>
    <row r="220" spans="1:4" x14ac:dyDescent="0.45">
      <c r="A220" t="s">
        <v>353</v>
      </c>
      <c r="B220">
        <f>house_price_growth!B220</f>
        <v>-1.0369999999999999</v>
      </c>
      <c r="C220">
        <v>193107</v>
      </c>
      <c r="D220">
        <f t="shared" si="4"/>
        <v>193107</v>
      </c>
    </row>
    <row r="221" spans="1:4" x14ac:dyDescent="0.45">
      <c r="A221" s="29" t="s">
        <v>354</v>
      </c>
      <c r="B221" s="29">
        <f>house_price_growth!B221</f>
        <v>0.443</v>
      </c>
      <c r="C221">
        <v>200056</v>
      </c>
      <c r="D221">
        <f t="shared" si="4"/>
        <v>200056</v>
      </c>
    </row>
    <row r="222" spans="1:4" x14ac:dyDescent="0.45">
      <c r="A222" t="s">
        <v>355</v>
      </c>
      <c r="B222">
        <f>house_price_growth!B222</f>
        <v>1.8540000000000001</v>
      </c>
      <c r="C222">
        <v>194998</v>
      </c>
      <c r="D222">
        <f t="shared" si="4"/>
        <v>194998</v>
      </c>
    </row>
    <row r="223" spans="1:4" x14ac:dyDescent="0.45">
      <c r="A223" t="s">
        <v>356</v>
      </c>
      <c r="B223">
        <f>house_price_growth!B223</f>
        <v>-0.63600000000000001</v>
      </c>
      <c r="C223">
        <v>188787</v>
      </c>
      <c r="D223">
        <f t="shared" si="4"/>
        <v>188787</v>
      </c>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FC59-63DD-42AD-AFF2-98ADBF460208}">
  <dimension ref="A1:B225"/>
  <sheetViews>
    <sheetView topLeftCell="A209" workbookViewId="0">
      <selection activeCell="M17" sqref="M17"/>
    </sheetView>
  </sheetViews>
  <sheetFormatPr defaultRowHeight="14.25" x14ac:dyDescent="0.45"/>
  <sheetData>
    <row r="1" spans="1:2" x14ac:dyDescent="0.45">
      <c r="B1" t="s">
        <v>6</v>
      </c>
    </row>
    <row r="2" spans="1:2" x14ac:dyDescent="0.45">
      <c r="A2" t="s">
        <v>135</v>
      </c>
      <c r="B2" s="2">
        <v>123456789</v>
      </c>
    </row>
    <row r="3" spans="1:2" x14ac:dyDescent="0.45">
      <c r="A3" t="s">
        <v>136</v>
      </c>
      <c r="B3" s="2">
        <v>123456789</v>
      </c>
    </row>
    <row r="4" spans="1:2" x14ac:dyDescent="0.45">
      <c r="A4" t="s">
        <v>137</v>
      </c>
      <c r="B4" s="2">
        <v>123456789</v>
      </c>
    </row>
    <row r="5" spans="1:2" x14ac:dyDescent="0.45">
      <c r="A5" t="s">
        <v>138</v>
      </c>
      <c r="B5" s="2">
        <v>123456789</v>
      </c>
    </row>
    <row r="6" spans="1:2" x14ac:dyDescent="0.45">
      <c r="A6" t="s">
        <v>139</v>
      </c>
      <c r="B6" s="2">
        <v>123456789</v>
      </c>
    </row>
    <row r="7" spans="1:2" x14ac:dyDescent="0.45">
      <c r="A7" t="s">
        <v>140</v>
      </c>
      <c r="B7" s="2">
        <v>123456789</v>
      </c>
    </row>
    <row r="8" spans="1:2" x14ac:dyDescent="0.45">
      <c r="A8" t="s">
        <v>141</v>
      </c>
      <c r="B8" s="2">
        <v>123456789</v>
      </c>
    </row>
    <row r="9" spans="1:2" x14ac:dyDescent="0.45">
      <c r="A9" t="s">
        <v>142</v>
      </c>
      <c r="B9" s="2">
        <v>123456789</v>
      </c>
    </row>
    <row r="10" spans="1:2" x14ac:dyDescent="0.45">
      <c r="A10" t="s">
        <v>143</v>
      </c>
      <c r="B10" s="2">
        <v>123456789</v>
      </c>
    </row>
    <row r="11" spans="1:2" x14ac:dyDescent="0.45">
      <c r="A11" t="s">
        <v>144</v>
      </c>
      <c r="B11" s="2">
        <v>123456789</v>
      </c>
    </row>
    <row r="12" spans="1:2" x14ac:dyDescent="0.45">
      <c r="A12" t="s">
        <v>145</v>
      </c>
      <c r="B12" s="2">
        <v>123456789</v>
      </c>
    </row>
    <row r="13" spans="1:2" x14ac:dyDescent="0.45">
      <c r="A13" t="s">
        <v>146</v>
      </c>
      <c r="B13" s="2">
        <v>123456789</v>
      </c>
    </row>
    <row r="14" spans="1:2" x14ac:dyDescent="0.45">
      <c r="A14" t="s">
        <v>147</v>
      </c>
      <c r="B14" s="2">
        <v>123456789</v>
      </c>
    </row>
    <row r="15" spans="1:2" x14ac:dyDescent="0.45">
      <c r="A15" t="s">
        <v>148</v>
      </c>
      <c r="B15" s="2">
        <v>123456789</v>
      </c>
    </row>
    <row r="16" spans="1:2" x14ac:dyDescent="0.45">
      <c r="A16" t="s">
        <v>149</v>
      </c>
      <c r="B16" s="2">
        <v>123456789</v>
      </c>
    </row>
    <row r="17" spans="1:2" x14ac:dyDescent="0.45">
      <c r="A17" t="s">
        <v>150</v>
      </c>
      <c r="B17" s="2">
        <v>123456789</v>
      </c>
    </row>
    <row r="18" spans="1:2" x14ac:dyDescent="0.45">
      <c r="A18" t="s">
        <v>151</v>
      </c>
      <c r="B18" s="2">
        <v>123456789</v>
      </c>
    </row>
    <row r="19" spans="1:2" x14ac:dyDescent="0.45">
      <c r="A19" t="s">
        <v>152</v>
      </c>
      <c r="B19" s="2">
        <v>123456789</v>
      </c>
    </row>
    <row r="20" spans="1:2" x14ac:dyDescent="0.45">
      <c r="A20" t="s">
        <v>153</v>
      </c>
      <c r="B20" s="2">
        <v>123456789</v>
      </c>
    </row>
    <row r="21" spans="1:2" x14ac:dyDescent="0.45">
      <c r="A21" t="s">
        <v>154</v>
      </c>
      <c r="B21" s="2">
        <v>123456789</v>
      </c>
    </row>
    <row r="22" spans="1:2" x14ac:dyDescent="0.45">
      <c r="A22" t="s">
        <v>155</v>
      </c>
      <c r="B22" s="2">
        <v>123456789</v>
      </c>
    </row>
    <row r="23" spans="1:2" x14ac:dyDescent="0.45">
      <c r="A23" t="s">
        <v>156</v>
      </c>
      <c r="B23" s="2">
        <v>123456789</v>
      </c>
    </row>
    <row r="24" spans="1:2" x14ac:dyDescent="0.45">
      <c r="A24" t="s">
        <v>157</v>
      </c>
      <c r="B24" s="2">
        <v>123456789</v>
      </c>
    </row>
    <row r="25" spans="1:2" x14ac:dyDescent="0.45">
      <c r="A25" t="s">
        <v>158</v>
      </c>
      <c r="B25" s="2">
        <v>123456789</v>
      </c>
    </row>
    <row r="26" spans="1:2" x14ac:dyDescent="0.45">
      <c r="A26" t="s">
        <v>159</v>
      </c>
      <c r="B26" s="2">
        <v>123456789</v>
      </c>
    </row>
    <row r="27" spans="1:2" x14ac:dyDescent="0.45">
      <c r="A27" t="s">
        <v>160</v>
      </c>
      <c r="B27" s="2">
        <v>123456789</v>
      </c>
    </row>
    <row r="28" spans="1:2" x14ac:dyDescent="0.45">
      <c r="A28" t="s">
        <v>161</v>
      </c>
      <c r="B28" s="2">
        <v>123456789</v>
      </c>
    </row>
    <row r="29" spans="1:2" x14ac:dyDescent="0.45">
      <c r="A29" t="s">
        <v>162</v>
      </c>
      <c r="B29" s="2">
        <v>123456789</v>
      </c>
    </row>
    <row r="30" spans="1:2" x14ac:dyDescent="0.45">
      <c r="A30" t="s">
        <v>163</v>
      </c>
      <c r="B30" s="2">
        <v>123456789</v>
      </c>
    </row>
    <row r="31" spans="1:2" x14ac:dyDescent="0.45">
      <c r="A31" t="s">
        <v>164</v>
      </c>
      <c r="B31" s="2">
        <v>123456789</v>
      </c>
    </row>
    <row r="32" spans="1:2" x14ac:dyDescent="0.45">
      <c r="A32" t="s">
        <v>165</v>
      </c>
      <c r="B32" s="2">
        <v>123456789</v>
      </c>
    </row>
    <row r="33" spans="1:2" x14ac:dyDescent="0.45">
      <c r="A33" t="s">
        <v>166</v>
      </c>
      <c r="B33" s="2">
        <v>123456789</v>
      </c>
    </row>
    <row r="34" spans="1:2" x14ac:dyDescent="0.45">
      <c r="A34" t="s">
        <v>167</v>
      </c>
      <c r="B34" s="2">
        <v>123456789</v>
      </c>
    </row>
    <row r="35" spans="1:2" x14ac:dyDescent="0.45">
      <c r="A35" t="s">
        <v>168</v>
      </c>
      <c r="B35" s="2">
        <v>123456789</v>
      </c>
    </row>
    <row r="36" spans="1:2" x14ac:dyDescent="0.45">
      <c r="A36" t="s">
        <v>169</v>
      </c>
      <c r="B36" s="2">
        <v>123456789</v>
      </c>
    </row>
    <row r="37" spans="1:2" x14ac:dyDescent="0.45">
      <c r="A37" t="s">
        <v>170</v>
      </c>
      <c r="B37" s="2">
        <v>123456789</v>
      </c>
    </row>
    <row r="38" spans="1:2" x14ac:dyDescent="0.45">
      <c r="A38" t="s">
        <v>171</v>
      </c>
      <c r="B38" s="2">
        <v>123456789</v>
      </c>
    </row>
    <row r="39" spans="1:2" x14ac:dyDescent="0.45">
      <c r="A39" t="s">
        <v>172</v>
      </c>
      <c r="B39" s="2">
        <v>123456789</v>
      </c>
    </row>
    <row r="40" spans="1:2" x14ac:dyDescent="0.45">
      <c r="A40" t="s">
        <v>173</v>
      </c>
      <c r="B40" s="2">
        <v>123456789</v>
      </c>
    </row>
    <row r="41" spans="1:2" x14ac:dyDescent="0.45">
      <c r="A41" t="s">
        <v>174</v>
      </c>
      <c r="B41" s="2">
        <v>123456789</v>
      </c>
    </row>
    <row r="42" spans="1:2" x14ac:dyDescent="0.45">
      <c r="A42" t="s">
        <v>175</v>
      </c>
      <c r="B42" s="2">
        <v>123456789</v>
      </c>
    </row>
    <row r="43" spans="1:2" x14ac:dyDescent="0.45">
      <c r="A43" t="s">
        <v>176</v>
      </c>
      <c r="B43" s="2">
        <v>123456789</v>
      </c>
    </row>
    <row r="44" spans="1:2" x14ac:dyDescent="0.45">
      <c r="A44" t="s">
        <v>177</v>
      </c>
      <c r="B44" s="2">
        <v>123456789</v>
      </c>
    </row>
    <row r="45" spans="1:2" x14ac:dyDescent="0.45">
      <c r="A45" t="s">
        <v>178</v>
      </c>
      <c r="B45" s="2">
        <v>123456789</v>
      </c>
    </row>
    <row r="46" spans="1:2" x14ac:dyDescent="0.45">
      <c r="A46" t="s">
        <v>179</v>
      </c>
      <c r="B46" s="2">
        <v>123456789</v>
      </c>
    </row>
    <row r="47" spans="1:2" x14ac:dyDescent="0.45">
      <c r="A47" t="s">
        <v>180</v>
      </c>
      <c r="B47" s="2">
        <v>123456789</v>
      </c>
    </row>
    <row r="48" spans="1:2" x14ac:dyDescent="0.45">
      <c r="A48" t="s">
        <v>181</v>
      </c>
      <c r="B48" s="2">
        <v>123456789</v>
      </c>
    </row>
    <row r="49" spans="1:2" x14ac:dyDescent="0.45">
      <c r="A49" t="s">
        <v>182</v>
      </c>
      <c r="B49" s="2">
        <v>123456789</v>
      </c>
    </row>
    <row r="50" spans="1:2" x14ac:dyDescent="0.45">
      <c r="A50" t="s">
        <v>183</v>
      </c>
      <c r="B50" s="2">
        <v>123456789</v>
      </c>
    </row>
    <row r="51" spans="1:2" x14ac:dyDescent="0.45">
      <c r="A51" t="s">
        <v>184</v>
      </c>
      <c r="B51" s="2">
        <v>123456789</v>
      </c>
    </row>
    <row r="52" spans="1:2" x14ac:dyDescent="0.45">
      <c r="A52" t="s">
        <v>185</v>
      </c>
      <c r="B52" s="2">
        <v>123456789</v>
      </c>
    </row>
    <row r="53" spans="1:2" x14ac:dyDescent="0.45">
      <c r="A53" t="s">
        <v>186</v>
      </c>
      <c r="B53" s="2">
        <v>123456789</v>
      </c>
    </row>
    <row r="54" spans="1:2" x14ac:dyDescent="0.45">
      <c r="A54" t="s">
        <v>187</v>
      </c>
      <c r="B54" s="2">
        <v>123456789</v>
      </c>
    </row>
    <row r="55" spans="1:2" x14ac:dyDescent="0.45">
      <c r="A55" t="s">
        <v>188</v>
      </c>
      <c r="B55" s="2">
        <v>123456789</v>
      </c>
    </row>
    <row r="56" spans="1:2" x14ac:dyDescent="0.45">
      <c r="A56" t="s">
        <v>189</v>
      </c>
      <c r="B56" s="2">
        <v>123456789</v>
      </c>
    </row>
    <row r="57" spans="1:2" x14ac:dyDescent="0.45">
      <c r="A57" t="s">
        <v>190</v>
      </c>
      <c r="B57" s="2">
        <v>123456789</v>
      </c>
    </row>
    <row r="58" spans="1:2" x14ac:dyDescent="0.45">
      <c r="A58" t="s">
        <v>191</v>
      </c>
      <c r="B58" s="2">
        <v>123456789</v>
      </c>
    </row>
    <row r="59" spans="1:2" x14ac:dyDescent="0.45">
      <c r="A59" t="s">
        <v>192</v>
      </c>
      <c r="B59" s="2">
        <v>123456789</v>
      </c>
    </row>
    <row r="60" spans="1:2" x14ac:dyDescent="0.45">
      <c r="A60" t="s">
        <v>193</v>
      </c>
      <c r="B60" s="2">
        <v>123456789</v>
      </c>
    </row>
    <row r="61" spans="1:2" x14ac:dyDescent="0.45">
      <c r="A61" t="s">
        <v>194</v>
      </c>
      <c r="B61" s="2">
        <v>123456789</v>
      </c>
    </row>
    <row r="62" spans="1:2" x14ac:dyDescent="0.45">
      <c r="A62" t="s">
        <v>195</v>
      </c>
      <c r="B62" s="2">
        <v>123456789</v>
      </c>
    </row>
    <row r="63" spans="1:2" x14ac:dyDescent="0.45">
      <c r="A63" t="s">
        <v>196</v>
      </c>
      <c r="B63" s="2">
        <v>123456789</v>
      </c>
    </row>
    <row r="64" spans="1:2" x14ac:dyDescent="0.45">
      <c r="A64" t="s">
        <v>197</v>
      </c>
      <c r="B64" s="2">
        <v>123456789</v>
      </c>
    </row>
    <row r="65" spans="1:2" x14ac:dyDescent="0.45">
      <c r="A65" t="s">
        <v>198</v>
      </c>
      <c r="B65" s="2">
        <v>123456789</v>
      </c>
    </row>
    <row r="66" spans="1:2" x14ac:dyDescent="0.45">
      <c r="A66" t="s">
        <v>199</v>
      </c>
      <c r="B66" s="2">
        <v>123456789</v>
      </c>
    </row>
    <row r="67" spans="1:2" x14ac:dyDescent="0.45">
      <c r="A67" t="s">
        <v>200</v>
      </c>
      <c r="B67" s="2">
        <v>123456789</v>
      </c>
    </row>
    <row r="68" spans="1:2" x14ac:dyDescent="0.45">
      <c r="A68" t="s">
        <v>201</v>
      </c>
      <c r="B68" s="2">
        <v>123456789</v>
      </c>
    </row>
    <row r="69" spans="1:2" x14ac:dyDescent="0.45">
      <c r="A69" t="s">
        <v>202</v>
      </c>
      <c r="B69" s="2">
        <v>123456789</v>
      </c>
    </row>
    <row r="70" spans="1:2" x14ac:dyDescent="0.45">
      <c r="A70" t="s">
        <v>203</v>
      </c>
      <c r="B70" s="2">
        <v>123456789</v>
      </c>
    </row>
    <row r="71" spans="1:2" x14ac:dyDescent="0.45">
      <c r="A71" t="s">
        <v>204</v>
      </c>
      <c r="B71" s="2">
        <v>123456789</v>
      </c>
    </row>
    <row r="72" spans="1:2" x14ac:dyDescent="0.45">
      <c r="A72" t="s">
        <v>205</v>
      </c>
      <c r="B72" s="2">
        <v>123456789</v>
      </c>
    </row>
    <row r="73" spans="1:2" x14ac:dyDescent="0.45">
      <c r="A73" t="s">
        <v>206</v>
      </c>
      <c r="B73" s="2">
        <v>123456789</v>
      </c>
    </row>
    <row r="74" spans="1:2" x14ac:dyDescent="0.45">
      <c r="A74" t="s">
        <v>207</v>
      </c>
      <c r="B74" s="2">
        <v>123456789</v>
      </c>
    </row>
    <row r="75" spans="1:2" x14ac:dyDescent="0.45">
      <c r="A75" t="s">
        <v>208</v>
      </c>
      <c r="B75" s="2">
        <v>123456789</v>
      </c>
    </row>
    <row r="76" spans="1:2" x14ac:dyDescent="0.45">
      <c r="A76" t="s">
        <v>209</v>
      </c>
      <c r="B76" s="2">
        <v>123456789</v>
      </c>
    </row>
    <row r="77" spans="1:2" x14ac:dyDescent="0.45">
      <c r="A77" t="s">
        <v>210</v>
      </c>
      <c r="B77" s="2">
        <v>123456789</v>
      </c>
    </row>
    <row r="78" spans="1:2" x14ac:dyDescent="0.45">
      <c r="A78" t="s">
        <v>211</v>
      </c>
      <c r="B78" s="2">
        <v>123456789</v>
      </c>
    </row>
    <row r="79" spans="1:2" x14ac:dyDescent="0.45">
      <c r="A79" t="s">
        <v>212</v>
      </c>
      <c r="B79" s="2">
        <v>123456789</v>
      </c>
    </row>
    <row r="80" spans="1:2" x14ac:dyDescent="0.45">
      <c r="A80" t="s">
        <v>213</v>
      </c>
      <c r="B80" s="2">
        <v>123456789</v>
      </c>
    </row>
    <row r="81" spans="1:2" x14ac:dyDescent="0.45">
      <c r="A81" t="s">
        <v>214</v>
      </c>
      <c r="B81" s="2">
        <v>123456789</v>
      </c>
    </row>
    <row r="82" spans="1:2" x14ac:dyDescent="0.45">
      <c r="A82" t="s">
        <v>215</v>
      </c>
      <c r="B82" s="2">
        <v>123456789</v>
      </c>
    </row>
    <row r="83" spans="1:2" x14ac:dyDescent="0.45">
      <c r="A83" t="s">
        <v>216</v>
      </c>
      <c r="B83" s="45">
        <v>3.7435381900003599</v>
      </c>
    </row>
    <row r="84" spans="1:2" x14ac:dyDescent="0.45">
      <c r="A84" t="s">
        <v>217</v>
      </c>
      <c r="B84" s="45">
        <v>1.68608861999976</v>
      </c>
    </row>
    <row r="85" spans="1:2" x14ac:dyDescent="0.45">
      <c r="A85" t="s">
        <v>218</v>
      </c>
      <c r="B85" s="45">
        <v>0.56887295999959897</v>
      </c>
    </row>
    <row r="86" spans="1:2" x14ac:dyDescent="0.45">
      <c r="A86" t="s">
        <v>219</v>
      </c>
      <c r="B86" s="45">
        <v>-0.39351126999957198</v>
      </c>
    </row>
    <row r="87" spans="1:2" x14ac:dyDescent="0.45">
      <c r="A87" t="s">
        <v>220</v>
      </c>
      <c r="B87" s="45">
        <v>-1.22681311000043</v>
      </c>
    </row>
    <row r="88" spans="1:2" x14ac:dyDescent="0.45">
      <c r="A88" t="s">
        <v>221</v>
      </c>
      <c r="B88" s="45">
        <v>-2.0254702899997201</v>
      </c>
    </row>
    <row r="89" spans="1:2" x14ac:dyDescent="0.45">
      <c r="A89" t="s">
        <v>222</v>
      </c>
      <c r="B89" s="45">
        <v>-2.4343195500003501</v>
      </c>
    </row>
    <row r="90" spans="1:2" x14ac:dyDescent="0.45">
      <c r="A90" t="s">
        <v>223</v>
      </c>
      <c r="B90" s="45">
        <v>-2.9127843099995401</v>
      </c>
    </row>
    <row r="91" spans="1:2" x14ac:dyDescent="0.45">
      <c r="A91" t="s">
        <v>224</v>
      </c>
      <c r="B91" s="45">
        <v>-3.5110326700000201</v>
      </c>
    </row>
    <row r="92" spans="1:2" x14ac:dyDescent="0.45">
      <c r="A92" t="s">
        <v>225</v>
      </c>
      <c r="B92" s="45">
        <v>-3.1112345800000298</v>
      </c>
    </row>
    <row r="93" spans="1:2" x14ac:dyDescent="0.45">
      <c r="A93" t="s">
        <v>226</v>
      </c>
      <c r="B93" s="45">
        <v>-3.0419743999998201</v>
      </c>
    </row>
    <row r="94" spans="1:2" x14ac:dyDescent="0.45">
      <c r="A94" t="s">
        <v>227</v>
      </c>
      <c r="B94" s="45">
        <v>-3.2919440299996201</v>
      </c>
    </row>
    <row r="95" spans="1:2" x14ac:dyDescent="0.45">
      <c r="A95" t="s">
        <v>228</v>
      </c>
      <c r="B95" s="45">
        <v>-3.26220053999982</v>
      </c>
    </row>
    <row r="96" spans="1:2" x14ac:dyDescent="0.45">
      <c r="A96" t="s">
        <v>229</v>
      </c>
      <c r="B96" s="45">
        <v>-2.7049982699999302</v>
      </c>
    </row>
    <row r="97" spans="1:2" x14ac:dyDescent="0.45">
      <c r="A97" t="s">
        <v>230</v>
      </c>
      <c r="B97" s="45">
        <v>-2.57618180000014</v>
      </c>
    </row>
    <row r="98" spans="1:2" x14ac:dyDescent="0.45">
      <c r="A98" t="s">
        <v>231</v>
      </c>
      <c r="B98" s="45">
        <v>-1.8865343799999299</v>
      </c>
    </row>
    <row r="99" spans="1:2" x14ac:dyDescent="0.45">
      <c r="A99" t="s">
        <v>232</v>
      </c>
      <c r="B99" s="45">
        <v>-0.89236653999953497</v>
      </c>
    </row>
    <row r="100" spans="1:2" x14ac:dyDescent="0.45">
      <c r="A100" t="s">
        <v>233</v>
      </c>
      <c r="B100" s="45">
        <v>-0.23008970000023099</v>
      </c>
    </row>
    <row r="101" spans="1:2" x14ac:dyDescent="0.45">
      <c r="A101" t="s">
        <v>234</v>
      </c>
      <c r="B101" s="45">
        <v>4.0156300000443998E-2</v>
      </c>
    </row>
    <row r="102" spans="1:2" x14ac:dyDescent="0.45">
      <c r="A102" t="s">
        <v>235</v>
      </c>
      <c r="B102" s="45">
        <v>-0.74362037000023795</v>
      </c>
    </row>
    <row r="103" spans="1:2" x14ac:dyDescent="0.45">
      <c r="A103" t="s">
        <v>236</v>
      </c>
      <c r="B103" s="45">
        <v>-1.08117441000005</v>
      </c>
    </row>
    <row r="104" spans="1:2" x14ac:dyDescent="0.45">
      <c r="A104" t="s">
        <v>237</v>
      </c>
      <c r="B104" s="45">
        <v>-0.590772149999921</v>
      </c>
    </row>
    <row r="105" spans="1:2" x14ac:dyDescent="0.45">
      <c r="A105" t="s">
        <v>238</v>
      </c>
      <c r="B105" s="45">
        <v>-1.0016573600002801</v>
      </c>
    </row>
    <row r="106" spans="1:2" x14ac:dyDescent="0.45">
      <c r="A106" t="s">
        <v>239</v>
      </c>
      <c r="B106" s="45">
        <v>-0.67179062000018097</v>
      </c>
    </row>
    <row r="107" spans="1:2" x14ac:dyDescent="0.45">
      <c r="A107" t="s">
        <v>240</v>
      </c>
      <c r="B107" s="45">
        <v>-0.90951431999948096</v>
      </c>
    </row>
    <row r="108" spans="1:2" x14ac:dyDescent="0.45">
      <c r="A108" t="s">
        <v>241</v>
      </c>
      <c r="B108" s="45">
        <v>-0.98499010000016896</v>
      </c>
    </row>
    <row r="109" spans="1:2" x14ac:dyDescent="0.45">
      <c r="A109" t="s">
        <v>242</v>
      </c>
      <c r="B109" s="45">
        <v>-0.94538048999989799</v>
      </c>
    </row>
    <row r="110" spans="1:2" x14ac:dyDescent="0.45">
      <c r="A110" t="s">
        <v>243</v>
      </c>
      <c r="B110" s="45">
        <v>-8.1624399997278201E-3</v>
      </c>
    </row>
    <row r="111" spans="1:2" x14ac:dyDescent="0.45">
      <c r="A111" t="s">
        <v>244</v>
      </c>
      <c r="B111" s="45">
        <v>7.83533299999771E-2</v>
      </c>
    </row>
    <row r="112" spans="1:2" x14ac:dyDescent="0.45">
      <c r="A112" t="s">
        <v>245</v>
      </c>
      <c r="B112" s="45">
        <v>5.2405800004195497E-3</v>
      </c>
    </row>
    <row r="113" spans="1:2" x14ac:dyDescent="0.45">
      <c r="A113" t="s">
        <v>246</v>
      </c>
      <c r="B113" s="45">
        <v>-0.113323839999526</v>
      </c>
    </row>
    <row r="114" spans="1:2" x14ac:dyDescent="0.45">
      <c r="A114" s="10" t="s">
        <v>247</v>
      </c>
      <c r="B114" s="45">
        <v>0.35224228000025998</v>
      </c>
    </row>
    <row r="115" spans="1:2" x14ac:dyDescent="0.45">
      <c r="A115" t="s">
        <v>248</v>
      </c>
      <c r="B115" s="45">
        <v>0.18539484000045001</v>
      </c>
    </row>
    <row r="116" spans="1:2" x14ac:dyDescent="0.45">
      <c r="A116" t="s">
        <v>249</v>
      </c>
      <c r="B116" s="45">
        <v>0.157820159999876</v>
      </c>
    </row>
    <row r="117" spans="1:2" x14ac:dyDescent="0.45">
      <c r="A117" t="s">
        <v>250</v>
      </c>
      <c r="B117" s="45">
        <v>-0.51318826999976597</v>
      </c>
    </row>
    <row r="118" spans="1:2" x14ac:dyDescent="0.45">
      <c r="A118" t="s">
        <v>251</v>
      </c>
      <c r="B118" s="45">
        <v>-0.37213479000032401</v>
      </c>
    </row>
    <row r="119" spans="1:2" x14ac:dyDescent="0.45">
      <c r="A119" t="s">
        <v>252</v>
      </c>
      <c r="B119" s="45">
        <v>4.5377830000379198E-2</v>
      </c>
    </row>
    <row r="120" spans="1:2" x14ac:dyDescent="0.45">
      <c r="A120" t="s">
        <v>253</v>
      </c>
      <c r="B120" s="45">
        <v>0.16253140999992199</v>
      </c>
    </row>
    <row r="121" spans="1:2" x14ac:dyDescent="0.45">
      <c r="A121" t="s">
        <v>254</v>
      </c>
      <c r="B121" s="45">
        <v>0.81449639999964296</v>
      </c>
    </row>
    <row r="122" spans="1:2" x14ac:dyDescent="0.45">
      <c r="A122" t="s">
        <v>255</v>
      </c>
      <c r="B122" s="45">
        <v>-0.80713768000018604</v>
      </c>
    </row>
    <row r="123" spans="1:2" x14ac:dyDescent="0.45">
      <c r="A123" t="s">
        <v>256</v>
      </c>
      <c r="B123" s="45">
        <v>0.53258052999994498</v>
      </c>
    </row>
    <row r="124" spans="1:2" x14ac:dyDescent="0.45">
      <c r="A124" t="s">
        <v>257</v>
      </c>
      <c r="B124" s="45">
        <v>0.27187322999959301</v>
      </c>
    </row>
    <row r="125" spans="1:2" x14ac:dyDescent="0.45">
      <c r="A125" t="s">
        <v>258</v>
      </c>
      <c r="B125" s="45">
        <v>0.70676578999984596</v>
      </c>
    </row>
    <row r="126" spans="1:2" x14ac:dyDescent="0.45">
      <c r="A126" t="s">
        <v>259</v>
      </c>
      <c r="B126" s="45">
        <v>0.41767657000032898</v>
      </c>
    </row>
    <row r="127" spans="1:2" x14ac:dyDescent="0.45">
      <c r="A127" t="s">
        <v>260</v>
      </c>
      <c r="B127" s="45">
        <v>0.27177293000019898</v>
      </c>
    </row>
    <row r="128" spans="1:2" x14ac:dyDescent="0.45">
      <c r="A128" t="s">
        <v>261</v>
      </c>
      <c r="B128" s="45">
        <v>2.9689800000429499E-2</v>
      </c>
    </row>
    <row r="129" spans="1:2" x14ac:dyDescent="0.45">
      <c r="A129" t="s">
        <v>262</v>
      </c>
      <c r="B129" s="45">
        <v>-0.63991584999992301</v>
      </c>
    </row>
    <row r="130" spans="1:2" x14ac:dyDescent="0.45">
      <c r="A130" t="s">
        <v>263</v>
      </c>
      <c r="B130" s="45">
        <v>-0.63541897999959396</v>
      </c>
    </row>
    <row r="131" spans="1:2" x14ac:dyDescent="0.45">
      <c r="A131" t="s">
        <v>264</v>
      </c>
      <c r="B131" s="45">
        <v>-0.844244290000153</v>
      </c>
    </row>
    <row r="132" spans="1:2" x14ac:dyDescent="0.45">
      <c r="A132" t="s">
        <v>265</v>
      </c>
      <c r="B132" s="45">
        <v>-0.47312000999981302</v>
      </c>
    </row>
    <row r="133" spans="1:2" x14ac:dyDescent="0.45">
      <c r="A133" t="s">
        <v>266</v>
      </c>
      <c r="B133" s="45">
        <v>-0.23494014999958099</v>
      </c>
    </row>
    <row r="134" spans="1:2" x14ac:dyDescent="0.45">
      <c r="A134" t="s">
        <v>267</v>
      </c>
      <c r="B134" s="45">
        <v>-0.412484320000154</v>
      </c>
    </row>
    <row r="135" spans="1:2" x14ac:dyDescent="0.45">
      <c r="A135" t="s">
        <v>268</v>
      </c>
      <c r="B135" s="45">
        <v>-0.53373754000033002</v>
      </c>
    </row>
    <row r="136" spans="1:2" x14ac:dyDescent="0.45">
      <c r="A136" t="s">
        <v>269</v>
      </c>
      <c r="B136" s="45">
        <v>-0.27588602999982398</v>
      </c>
    </row>
    <row r="137" spans="1:2" x14ac:dyDescent="0.45">
      <c r="A137" t="s">
        <v>270</v>
      </c>
      <c r="B137" s="45">
        <v>-0.53395230000040395</v>
      </c>
    </row>
    <row r="138" spans="1:2" x14ac:dyDescent="0.45">
      <c r="A138" t="s">
        <v>271</v>
      </c>
      <c r="B138" s="45">
        <v>0.26648293999980199</v>
      </c>
    </row>
    <row r="139" spans="1:2" x14ac:dyDescent="0.45">
      <c r="A139" t="s">
        <v>272</v>
      </c>
      <c r="B139" s="45">
        <v>0.17862779000014201</v>
      </c>
    </row>
    <row r="140" spans="1:2" x14ac:dyDescent="0.45">
      <c r="A140" t="s">
        <v>273</v>
      </c>
      <c r="B140" s="45">
        <v>-2.59919399995341E-2</v>
      </c>
    </row>
    <row r="141" spans="1:2" x14ac:dyDescent="0.45">
      <c r="A141" t="s">
        <v>274</v>
      </c>
      <c r="B141" s="45">
        <v>0.92815783999970602</v>
      </c>
    </row>
    <row r="142" spans="1:2" x14ac:dyDescent="0.45">
      <c r="A142" t="s">
        <v>275</v>
      </c>
      <c r="B142" s="45">
        <v>0.47823727999973997</v>
      </c>
    </row>
    <row r="143" spans="1:2" x14ac:dyDescent="0.45">
      <c r="A143" t="s">
        <v>276</v>
      </c>
      <c r="B143" s="45">
        <v>-0.14649886000040899</v>
      </c>
    </row>
    <row r="144" spans="1:2" x14ac:dyDescent="0.45">
      <c r="A144" t="s">
        <v>277</v>
      </c>
      <c r="B144" s="45">
        <v>9.7494219999806203E-2</v>
      </c>
    </row>
    <row r="145" spans="1:2" x14ac:dyDescent="0.45">
      <c r="A145" t="s">
        <v>278</v>
      </c>
      <c r="B145" s="45">
        <v>-2.1327579999978599E-2</v>
      </c>
    </row>
    <row r="146" spans="1:2" x14ac:dyDescent="0.45">
      <c r="A146" t="s">
        <v>279</v>
      </c>
      <c r="B146" s="45">
        <v>-2.3869130000224802E-2</v>
      </c>
    </row>
    <row r="147" spans="1:2" x14ac:dyDescent="0.45">
      <c r="A147" t="s">
        <v>280</v>
      </c>
      <c r="B147" s="45">
        <v>2.60660000000533E-2</v>
      </c>
    </row>
    <row r="148" spans="1:2" x14ac:dyDescent="0.45">
      <c r="A148" t="s">
        <v>281</v>
      </c>
      <c r="B148" s="45">
        <v>4.9794569999638702E-2</v>
      </c>
    </row>
    <row r="149" spans="1:2" x14ac:dyDescent="0.45">
      <c r="A149" t="s">
        <v>282</v>
      </c>
      <c r="B149" s="45">
        <v>0.185573520000233</v>
      </c>
    </row>
    <row r="150" spans="1:2" x14ac:dyDescent="0.45">
      <c r="A150" t="s">
        <v>283</v>
      </c>
      <c r="B150" s="45">
        <v>0.40345245000034902</v>
      </c>
    </row>
    <row r="151" spans="1:2" x14ac:dyDescent="0.45">
      <c r="A151" t="s">
        <v>284</v>
      </c>
      <c r="B151" s="45">
        <v>0.53149722000028499</v>
      </c>
    </row>
    <row r="152" spans="1:2" x14ac:dyDescent="0.45">
      <c r="A152" t="s">
        <v>285</v>
      </c>
      <c r="B152" s="45">
        <v>0.48016314000027399</v>
      </c>
    </row>
    <row r="153" spans="1:2" x14ac:dyDescent="0.45">
      <c r="A153" t="s">
        <v>286</v>
      </c>
      <c r="B153" s="45">
        <v>0.38278913000034598</v>
      </c>
    </row>
    <row r="154" spans="1:2" x14ac:dyDescent="0.45">
      <c r="A154" t="s">
        <v>287</v>
      </c>
      <c r="B154" s="45">
        <v>0.55036509999983996</v>
      </c>
    </row>
    <row r="155" spans="1:2" x14ac:dyDescent="0.45">
      <c r="A155" t="s">
        <v>288</v>
      </c>
      <c r="B155" s="45">
        <v>-0.77297461999967598</v>
      </c>
    </row>
    <row r="156" spans="1:2" x14ac:dyDescent="0.45">
      <c r="A156" t="s">
        <v>289</v>
      </c>
      <c r="B156" s="45">
        <v>-1.12977768999955</v>
      </c>
    </row>
    <row r="157" spans="1:2" x14ac:dyDescent="0.45">
      <c r="A157" t="s">
        <v>290</v>
      </c>
      <c r="B157" s="45">
        <v>-2.2975232500002498</v>
      </c>
    </row>
    <row r="158" spans="1:2" x14ac:dyDescent="0.45">
      <c r="A158" t="s">
        <v>291</v>
      </c>
      <c r="B158" s="45">
        <v>-3.8884712599996099</v>
      </c>
    </row>
    <row r="159" spans="1:2" x14ac:dyDescent="0.45">
      <c r="A159" t="s">
        <v>292</v>
      </c>
      <c r="B159" s="45">
        <v>-4.00545135999994</v>
      </c>
    </row>
    <row r="160" spans="1:2" x14ac:dyDescent="0.45">
      <c r="A160" t="s">
        <v>293</v>
      </c>
      <c r="B160" s="45">
        <v>-4.0528010000001196</v>
      </c>
    </row>
    <row r="161" spans="1:2" x14ac:dyDescent="0.45">
      <c r="A161" t="s">
        <v>294</v>
      </c>
      <c r="B161" s="45">
        <v>-4.2009004299999901</v>
      </c>
    </row>
    <row r="162" spans="1:2" x14ac:dyDescent="0.45">
      <c r="A162" t="s">
        <v>295</v>
      </c>
      <c r="B162" s="45">
        <v>-3.91803285429474</v>
      </c>
    </row>
    <row r="163" spans="1:2" x14ac:dyDescent="0.45">
      <c r="A163" t="s">
        <v>296</v>
      </c>
      <c r="B163" s="45">
        <v>-3.1729462029534301</v>
      </c>
    </row>
    <row r="164" spans="1:2" x14ac:dyDescent="0.45">
      <c r="A164" t="s">
        <v>297</v>
      </c>
      <c r="B164" s="45">
        <v>-2.7313100162213</v>
      </c>
    </row>
    <row r="165" spans="1:2" x14ac:dyDescent="0.45">
      <c r="A165" t="s">
        <v>298</v>
      </c>
      <c r="B165" s="45">
        <v>-2.6327041433767802</v>
      </c>
    </row>
    <row r="166" spans="1:2" x14ac:dyDescent="0.45">
      <c r="A166" t="s">
        <v>299</v>
      </c>
      <c r="B166" s="45">
        <v>-2.6640610417010699</v>
      </c>
    </row>
    <row r="167" spans="1:2" x14ac:dyDescent="0.45">
      <c r="A167" t="s">
        <v>300</v>
      </c>
      <c r="B167" s="45">
        <v>-3.6923297145002301</v>
      </c>
    </row>
    <row r="168" spans="1:2" x14ac:dyDescent="0.45">
      <c r="A168" t="s">
        <v>301</v>
      </c>
      <c r="B168" s="45">
        <v>-3.81142395832528</v>
      </c>
    </row>
    <row r="169" spans="1:2" x14ac:dyDescent="0.45">
      <c r="A169" t="s">
        <v>302</v>
      </c>
      <c r="B169" s="45">
        <v>-3.7266611446887898</v>
      </c>
    </row>
    <row r="170" spans="1:2" x14ac:dyDescent="0.45">
      <c r="A170" t="s">
        <v>303</v>
      </c>
      <c r="B170" s="45">
        <v>-3.43604987786764</v>
      </c>
    </row>
    <row r="171" spans="1:2" x14ac:dyDescent="0.45">
      <c r="A171" t="s">
        <v>304</v>
      </c>
      <c r="B171" s="45">
        <v>-2.9944306599945998</v>
      </c>
    </row>
    <row r="172" spans="1:2" x14ac:dyDescent="0.45">
      <c r="A172" t="s">
        <v>305</v>
      </c>
      <c r="B172" s="45">
        <v>-2.5407859870409402</v>
      </c>
    </row>
    <row r="173" spans="1:2" x14ac:dyDescent="0.45">
      <c r="A173" t="s">
        <v>306</v>
      </c>
      <c r="B173" s="45">
        <v>-2.5761558467830801</v>
      </c>
    </row>
    <row r="174" spans="1:2" x14ac:dyDescent="0.45">
      <c r="A174" t="s">
        <v>307</v>
      </c>
      <c r="B174" s="45">
        <v>-2.84268403872677</v>
      </c>
    </row>
    <row r="175" spans="1:2" x14ac:dyDescent="0.45">
      <c r="A175" t="s">
        <v>308</v>
      </c>
      <c r="B175" s="45">
        <v>-2.8338661798490601</v>
      </c>
    </row>
    <row r="176" spans="1:2" x14ac:dyDescent="0.45">
      <c r="A176" t="s">
        <v>309</v>
      </c>
      <c r="B176" s="45">
        <v>-1.97346611858113</v>
      </c>
    </row>
    <row r="177" spans="1:2" x14ac:dyDescent="0.45">
      <c r="A177" t="s">
        <v>310</v>
      </c>
      <c r="B177" s="45">
        <v>-2.1940236505857098</v>
      </c>
    </row>
    <row r="178" spans="1:2" x14ac:dyDescent="0.45">
      <c r="A178" t="s">
        <v>311</v>
      </c>
      <c r="B178" s="45">
        <v>-1.8830944115350801</v>
      </c>
    </row>
    <row r="179" spans="1:2" x14ac:dyDescent="0.45">
      <c r="A179" t="s">
        <v>312</v>
      </c>
      <c r="B179" s="45">
        <v>-1.38025236592544</v>
      </c>
    </row>
    <row r="180" spans="1:2" x14ac:dyDescent="0.45">
      <c r="A180" t="s">
        <v>313</v>
      </c>
      <c r="B180" s="45">
        <v>-1.33717344783272</v>
      </c>
    </row>
    <row r="181" spans="1:2" x14ac:dyDescent="0.45">
      <c r="A181" t="s">
        <v>314</v>
      </c>
      <c r="B181" s="45">
        <v>-1.2503114353106499</v>
      </c>
    </row>
    <row r="182" spans="1:2" x14ac:dyDescent="0.45">
      <c r="A182" t="s">
        <v>315</v>
      </c>
      <c r="B182" s="45">
        <v>-1.3044302728727</v>
      </c>
    </row>
    <row r="183" spans="1:2" x14ac:dyDescent="0.45">
      <c r="A183" t="s">
        <v>316</v>
      </c>
      <c r="B183" s="45">
        <v>-1.4665684435573401</v>
      </c>
    </row>
    <row r="184" spans="1:2" x14ac:dyDescent="0.45">
      <c r="A184" t="s">
        <v>317</v>
      </c>
      <c r="B184" s="45">
        <v>-1.27441760495495</v>
      </c>
    </row>
    <row r="185" spans="1:2" x14ac:dyDescent="0.45">
      <c r="A185" t="s">
        <v>318</v>
      </c>
      <c r="B185" s="45">
        <v>-0.81553028370272795</v>
      </c>
    </row>
    <row r="186" spans="1:2" x14ac:dyDescent="0.45">
      <c r="A186" t="s">
        <v>319</v>
      </c>
      <c r="B186" s="45">
        <v>-0.67035725776747501</v>
      </c>
    </row>
    <row r="187" spans="1:2" x14ac:dyDescent="0.45">
      <c r="A187" t="s">
        <v>320</v>
      </c>
      <c r="B187" s="45">
        <v>-0.95073799251133695</v>
      </c>
    </row>
    <row r="188" spans="1:2" x14ac:dyDescent="0.45">
      <c r="A188" t="s">
        <v>321</v>
      </c>
      <c r="B188" s="45">
        <v>-0.74051985533749398</v>
      </c>
    </row>
    <row r="189" spans="1:2" x14ac:dyDescent="0.45">
      <c r="A189" t="s">
        <v>322</v>
      </c>
      <c r="B189" s="45">
        <v>-0.676689377482381</v>
      </c>
    </row>
    <row r="190" spans="1:2" x14ac:dyDescent="0.45">
      <c r="A190" t="s">
        <v>323</v>
      </c>
      <c r="B190" s="45">
        <v>-0.56408585572950698</v>
      </c>
    </row>
    <row r="191" spans="1:2" x14ac:dyDescent="0.45">
      <c r="A191" t="s">
        <v>324</v>
      </c>
      <c r="B191" s="45">
        <v>-0.63670267301125405</v>
      </c>
    </row>
    <row r="192" spans="1:2" x14ac:dyDescent="0.45">
      <c r="A192" t="s">
        <v>325</v>
      </c>
      <c r="B192" s="45">
        <v>-0.80477611329582199</v>
      </c>
    </row>
    <row r="193" spans="1:2" x14ac:dyDescent="0.45">
      <c r="A193" t="s">
        <v>326</v>
      </c>
      <c r="B193" s="45">
        <v>-0.829640822117796</v>
      </c>
    </row>
    <row r="194" spans="1:2" x14ac:dyDescent="0.45">
      <c r="A194" t="s">
        <v>327</v>
      </c>
      <c r="B194" s="45">
        <v>-0.90415499522504195</v>
      </c>
    </row>
    <row r="195" spans="1:2" x14ac:dyDescent="0.45">
      <c r="A195" t="s">
        <v>328</v>
      </c>
      <c r="B195" s="45">
        <v>-0.74815136343608601</v>
      </c>
    </row>
    <row r="196" spans="1:2" x14ac:dyDescent="0.45">
      <c r="A196" t="s">
        <v>329</v>
      </c>
      <c r="B196" s="45">
        <v>-0.56415083161494595</v>
      </c>
    </row>
    <row r="197" spans="1:2" x14ac:dyDescent="0.45">
      <c r="A197" t="s">
        <v>330</v>
      </c>
      <c r="B197" s="45">
        <v>-0.54654012964452603</v>
      </c>
    </row>
    <row r="198" spans="1:2" x14ac:dyDescent="0.45">
      <c r="A198" t="s">
        <v>331</v>
      </c>
      <c r="B198" s="45">
        <v>-0.12867681351254501</v>
      </c>
    </row>
    <row r="199" spans="1:2" x14ac:dyDescent="0.45">
      <c r="A199" t="s">
        <v>332</v>
      </c>
      <c r="B199" s="45">
        <v>-0.56622414682537503</v>
      </c>
    </row>
    <row r="200" spans="1:2" x14ac:dyDescent="0.45">
      <c r="A200" t="s">
        <v>333</v>
      </c>
      <c r="B200" s="45">
        <v>-0.44810462336694201</v>
      </c>
    </row>
    <row r="201" spans="1:2" x14ac:dyDescent="0.45">
      <c r="A201" t="s">
        <v>334</v>
      </c>
      <c r="B201" s="45">
        <v>-0.54907363549229404</v>
      </c>
    </row>
    <row r="202" spans="1:2" x14ac:dyDescent="0.45">
      <c r="A202" t="s">
        <v>335</v>
      </c>
      <c r="B202" s="45">
        <v>-0.62569185220107304</v>
      </c>
    </row>
    <row r="203" spans="1:2" x14ac:dyDescent="0.45">
      <c r="A203" t="s">
        <v>336</v>
      </c>
      <c r="B203" s="45">
        <v>-2.7964202478446398</v>
      </c>
    </row>
    <row r="204" spans="1:2" x14ac:dyDescent="0.45">
      <c r="A204" t="s">
        <v>337</v>
      </c>
      <c r="B204" s="45">
        <v>-1.96778451829028</v>
      </c>
    </row>
    <row r="205" spans="1:2" x14ac:dyDescent="0.45">
      <c r="A205" t="s">
        <v>338</v>
      </c>
      <c r="B205" s="45">
        <v>-1.6894379899480401</v>
      </c>
    </row>
    <row r="206" spans="1:2" x14ac:dyDescent="0.45">
      <c r="A206" t="s">
        <v>339</v>
      </c>
      <c r="B206" s="45">
        <v>-0.91179431812897105</v>
      </c>
    </row>
    <row r="207" spans="1:2" x14ac:dyDescent="0.45">
      <c r="A207" t="s">
        <v>340</v>
      </c>
      <c r="B207" s="45">
        <v>0.12673076908549399</v>
      </c>
    </row>
    <row r="208" spans="1:2" x14ac:dyDescent="0.45">
      <c r="A208" t="s">
        <v>341</v>
      </c>
      <c r="B208" s="45">
        <v>0.25723020119906398</v>
      </c>
    </row>
    <row r="209" spans="1:2" x14ac:dyDescent="0.45">
      <c r="A209" t="s">
        <v>342</v>
      </c>
      <c r="B209" s="45">
        <v>0.77392107329598503</v>
      </c>
    </row>
    <row r="210" spans="1:2" x14ac:dyDescent="0.45">
      <c r="A210" t="s">
        <v>343</v>
      </c>
      <c r="B210" s="45">
        <v>1.8408776337000201</v>
      </c>
    </row>
    <row r="211" spans="1:2" x14ac:dyDescent="0.45">
      <c r="A211" t="s">
        <v>344</v>
      </c>
      <c r="B211" s="45">
        <v>1.88338934084884</v>
      </c>
    </row>
    <row r="212" spans="1:2" x14ac:dyDescent="0.45">
      <c r="A212" t="s">
        <v>345</v>
      </c>
      <c r="B212" s="45">
        <v>1.65702853123937</v>
      </c>
    </row>
    <row r="213" spans="1:2" x14ac:dyDescent="0.45">
      <c r="A213" t="s">
        <v>346</v>
      </c>
      <c r="B213" s="45">
        <v>1.46171545167883</v>
      </c>
    </row>
    <row r="214" spans="1:2" x14ac:dyDescent="0.45">
      <c r="A214" t="s">
        <v>347</v>
      </c>
      <c r="B214" s="45">
        <v>1.1848768309236899</v>
      </c>
    </row>
    <row r="215" spans="1:2" x14ac:dyDescent="0.45">
      <c r="A215" t="s">
        <v>348</v>
      </c>
      <c r="B215" s="45">
        <v>0.93764254780892398</v>
      </c>
    </row>
    <row r="216" spans="1:2" x14ac:dyDescent="0.45">
      <c r="A216" t="s">
        <v>349</v>
      </c>
      <c r="B216" s="45">
        <v>0.59613828405875902</v>
      </c>
    </row>
    <row r="217" spans="1:2" x14ac:dyDescent="0.45">
      <c r="A217" t="s">
        <v>350</v>
      </c>
      <c r="B217" s="45">
        <v>4.5885119654568297E-2</v>
      </c>
    </row>
    <row r="218" spans="1:2" x14ac:dyDescent="0.45">
      <c r="A218" t="s">
        <v>351</v>
      </c>
      <c r="B218" s="45">
        <v>-0.13701539838695001</v>
      </c>
    </row>
    <row r="219" spans="1:2" x14ac:dyDescent="0.45">
      <c r="A219" t="s">
        <v>352</v>
      </c>
      <c r="B219" s="45">
        <v>-0.25796223911910199</v>
      </c>
    </row>
    <row r="220" spans="1:2" x14ac:dyDescent="0.45">
      <c r="A220" t="s">
        <v>353</v>
      </c>
      <c r="B220" s="45">
        <v>-0.26910611907885101</v>
      </c>
    </row>
    <row r="221" spans="1:2" x14ac:dyDescent="0.45">
      <c r="A221" s="10" t="s">
        <v>354</v>
      </c>
      <c r="B221" s="45">
        <v>-0.36079458490055299</v>
      </c>
    </row>
    <row r="222" spans="1:2" x14ac:dyDescent="0.45">
      <c r="A222" t="s">
        <v>355</v>
      </c>
      <c r="B222" s="45">
        <v>-0.45079148933110302</v>
      </c>
    </row>
    <row r="223" spans="1:2" x14ac:dyDescent="0.45">
      <c r="A223" t="s">
        <v>356</v>
      </c>
      <c r="B223" s="45">
        <v>-0.48822007326455202</v>
      </c>
    </row>
    <row r="224" spans="1:2" x14ac:dyDescent="0.45">
      <c r="A224" t="s">
        <v>357</v>
      </c>
      <c r="B224" s="45">
        <v>-0.507636873453717</v>
      </c>
    </row>
    <row r="225" spans="2:2" x14ac:dyDescent="0.45">
      <c r="B225" s="46"/>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0D9B-8A37-4954-ABE6-F8067B9B057E}">
  <dimension ref="A1:D226"/>
  <sheetViews>
    <sheetView topLeftCell="A75" workbookViewId="0">
      <selection activeCell="B214" sqref="B214"/>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s="2">
        <v>123456789</v>
      </c>
      <c r="C76" s="2">
        <v>123456789</v>
      </c>
      <c r="D76" s="2">
        <v>123456789</v>
      </c>
    </row>
    <row r="77" spans="1:4" x14ac:dyDescent="0.45">
      <c r="A77" t="s">
        <v>210</v>
      </c>
      <c r="B77" s="2">
        <v>123456789</v>
      </c>
      <c r="C77" s="2">
        <v>123456789</v>
      </c>
      <c r="D77" s="2">
        <v>123456789</v>
      </c>
    </row>
    <row r="78" spans="1:4" x14ac:dyDescent="0.45">
      <c r="A78" t="s">
        <v>211</v>
      </c>
      <c r="B78" s="2">
        <v>123456789</v>
      </c>
      <c r="C78" s="2">
        <v>123456789</v>
      </c>
      <c r="D78" s="2">
        <v>123456789</v>
      </c>
    </row>
    <row r="79" spans="1:4" x14ac:dyDescent="0.45">
      <c r="A79" t="s">
        <v>212</v>
      </c>
      <c r="B79" s="2">
        <v>123456789</v>
      </c>
      <c r="C79" s="2">
        <v>123456789</v>
      </c>
      <c r="D79" s="2">
        <v>123456789</v>
      </c>
    </row>
    <row r="80" spans="1:4" x14ac:dyDescent="0.45">
      <c r="A80" t="s">
        <v>213</v>
      </c>
      <c r="B80" s="2">
        <v>123456789</v>
      </c>
      <c r="C80" s="2">
        <v>123456789</v>
      </c>
      <c r="D80" s="2">
        <v>123456789</v>
      </c>
    </row>
    <row r="81" spans="1:4" x14ac:dyDescent="0.45">
      <c r="A81" t="s">
        <v>214</v>
      </c>
      <c r="B81">
        <v>66.096731682022366</v>
      </c>
      <c r="C81" s="2">
        <v>123456789</v>
      </c>
      <c r="D81" s="2">
        <v>123456789</v>
      </c>
    </row>
    <row r="82" spans="1:4" x14ac:dyDescent="0.45">
      <c r="A82" t="s">
        <v>215</v>
      </c>
      <c r="B82">
        <v>67.359873157561211</v>
      </c>
      <c r="C82" s="2">
        <v>123456789</v>
      </c>
      <c r="D82" s="2">
        <v>123456789</v>
      </c>
    </row>
    <row r="83" spans="1:4" x14ac:dyDescent="0.45">
      <c r="A83" t="s">
        <v>216</v>
      </c>
      <c r="B83">
        <v>68.087433539947412</v>
      </c>
      <c r="C83" s="2">
        <v>123456789</v>
      </c>
      <c r="D83" s="2">
        <v>123456789</v>
      </c>
    </row>
    <row r="84" spans="1:4" x14ac:dyDescent="0.45">
      <c r="A84" t="s">
        <v>217</v>
      </c>
      <c r="B84">
        <v>67.460349280548883</v>
      </c>
      <c r="C84" s="2">
        <v>123456789</v>
      </c>
      <c r="D84" s="2">
        <v>123456789</v>
      </c>
    </row>
    <row r="85" spans="1:4" x14ac:dyDescent="0.45">
      <c r="A85" t="s">
        <v>218</v>
      </c>
      <c r="B85">
        <v>64.306985568826022</v>
      </c>
      <c r="C85" s="2">
        <v>123456789</v>
      </c>
      <c r="D85" s="2">
        <v>123456789</v>
      </c>
    </row>
    <row r="86" spans="1:4" x14ac:dyDescent="0.45">
      <c r="A86" t="s">
        <v>219</v>
      </c>
      <c r="B86">
        <v>67.667583134513194</v>
      </c>
      <c r="C86" s="2">
        <v>123456789</v>
      </c>
      <c r="D86" s="2">
        <v>123456789</v>
      </c>
    </row>
    <row r="87" spans="1:4" x14ac:dyDescent="0.45">
      <c r="A87" t="s">
        <v>220</v>
      </c>
      <c r="B87">
        <v>67.646052344490926</v>
      </c>
      <c r="C87" s="2">
        <v>123456789</v>
      </c>
      <c r="D87" s="2">
        <v>123456789</v>
      </c>
    </row>
    <row r="88" spans="1:4" x14ac:dyDescent="0.45">
      <c r="A88" t="s">
        <v>221</v>
      </c>
      <c r="B88">
        <v>66.713949456893189</v>
      </c>
      <c r="C88" s="2">
        <v>123456789</v>
      </c>
      <c r="D88" s="2">
        <v>123456789</v>
      </c>
    </row>
    <row r="89" spans="1:4" x14ac:dyDescent="0.45">
      <c r="A89" t="s">
        <v>222</v>
      </c>
      <c r="B89">
        <v>66.729198638926462</v>
      </c>
      <c r="C89" s="2">
        <v>123456789</v>
      </c>
      <c r="D89" s="2">
        <v>123456789</v>
      </c>
    </row>
    <row r="90" spans="1:4" x14ac:dyDescent="0.45">
      <c r="A90" t="s">
        <v>223</v>
      </c>
      <c r="B90">
        <v>68.356568415225752</v>
      </c>
      <c r="C90" s="2">
        <v>123456789</v>
      </c>
      <c r="D90" s="2">
        <v>123456789</v>
      </c>
    </row>
    <row r="91" spans="1:4" x14ac:dyDescent="0.45">
      <c r="A91" t="s">
        <v>224</v>
      </c>
      <c r="B91">
        <v>68.191499922171289</v>
      </c>
      <c r="C91" s="2">
        <v>123456789</v>
      </c>
      <c r="D91" s="2">
        <v>123456789</v>
      </c>
    </row>
    <row r="92" spans="1:4" x14ac:dyDescent="0.45">
      <c r="A92" t="s">
        <v>225</v>
      </c>
      <c r="B92">
        <v>66.481594553670391</v>
      </c>
      <c r="C92" s="2">
        <v>123456789</v>
      </c>
      <c r="D92" s="2">
        <v>123456789</v>
      </c>
    </row>
    <row r="93" spans="1:4" x14ac:dyDescent="0.45">
      <c r="A93" t="s">
        <v>226</v>
      </c>
      <c r="B93">
        <v>65.143098004402361</v>
      </c>
      <c r="C93" s="2">
        <v>123456789</v>
      </c>
      <c r="D93" s="2">
        <v>123456789</v>
      </c>
    </row>
    <row r="94" spans="1:4" x14ac:dyDescent="0.45">
      <c r="A94" t="s">
        <v>227</v>
      </c>
      <c r="B94">
        <v>68.41577808778699</v>
      </c>
      <c r="C94" s="2">
        <v>123456789</v>
      </c>
      <c r="D94" s="2">
        <v>123456789</v>
      </c>
    </row>
    <row r="95" spans="1:4" x14ac:dyDescent="0.45">
      <c r="A95" t="s">
        <v>228</v>
      </c>
      <c r="B95">
        <v>68.678634046425088</v>
      </c>
      <c r="C95" s="2">
        <v>123456789</v>
      </c>
      <c r="D95" s="2">
        <v>123456789</v>
      </c>
    </row>
    <row r="96" spans="1:4" x14ac:dyDescent="0.45">
      <c r="A96" t="s">
        <v>229</v>
      </c>
      <c r="B96">
        <v>68.899324644153324</v>
      </c>
      <c r="C96" s="2">
        <v>123456789</v>
      </c>
      <c r="D96" s="2">
        <v>123456789</v>
      </c>
    </row>
    <row r="97" spans="1:4" x14ac:dyDescent="0.45">
      <c r="A97" t="s">
        <v>230</v>
      </c>
      <c r="B97">
        <v>68.862541980749029</v>
      </c>
      <c r="C97" s="2">
        <v>123456789</v>
      </c>
      <c r="D97" s="2">
        <v>123456789</v>
      </c>
    </row>
    <row r="98" spans="1:4" x14ac:dyDescent="0.45">
      <c r="A98" t="s">
        <v>231</v>
      </c>
      <c r="B98">
        <v>68.882277641153195</v>
      </c>
      <c r="C98" s="2">
        <v>123456789</v>
      </c>
      <c r="D98" s="2">
        <v>123456789</v>
      </c>
    </row>
    <row r="99" spans="1:4" x14ac:dyDescent="0.45">
      <c r="A99" t="s">
        <v>232</v>
      </c>
      <c r="B99">
        <v>69.231256759880367</v>
      </c>
      <c r="C99" s="2">
        <v>123456789</v>
      </c>
      <c r="D99" s="2">
        <v>123456789</v>
      </c>
    </row>
    <row r="100" spans="1:4" x14ac:dyDescent="0.45">
      <c r="A100" t="s">
        <v>233</v>
      </c>
      <c r="B100">
        <v>69.610736934022825</v>
      </c>
      <c r="C100" s="2">
        <v>123456789</v>
      </c>
      <c r="D100" s="2">
        <v>123456789</v>
      </c>
    </row>
    <row r="101" spans="1:4" x14ac:dyDescent="0.45">
      <c r="A101" t="s">
        <v>234</v>
      </c>
      <c r="B101">
        <v>70.063779743625119</v>
      </c>
      <c r="C101" s="2">
        <v>123456789</v>
      </c>
      <c r="D101" s="2">
        <v>123456789</v>
      </c>
    </row>
    <row r="102" spans="1:4" x14ac:dyDescent="0.45">
      <c r="A102" t="s">
        <v>235</v>
      </c>
      <c r="B102">
        <v>69.355058802508395</v>
      </c>
      <c r="C102" s="2">
        <v>123456789</v>
      </c>
      <c r="D102" s="2">
        <v>123456789</v>
      </c>
    </row>
    <row r="103" spans="1:4" x14ac:dyDescent="0.45">
      <c r="A103" t="s">
        <v>236</v>
      </c>
      <c r="B103">
        <v>69.490522459282246</v>
      </c>
      <c r="C103" s="2">
        <v>123456789</v>
      </c>
      <c r="D103" s="2">
        <v>123456789</v>
      </c>
    </row>
    <row r="104" spans="1:4" x14ac:dyDescent="0.45">
      <c r="A104" t="s">
        <v>237</v>
      </c>
      <c r="B104">
        <v>69.347880975384726</v>
      </c>
      <c r="C104" s="2">
        <v>123456789</v>
      </c>
      <c r="D104" s="2">
        <v>123456789</v>
      </c>
    </row>
    <row r="105" spans="1:4" x14ac:dyDescent="0.45">
      <c r="A105" t="s">
        <v>238</v>
      </c>
      <c r="B105">
        <v>68.88855924914219</v>
      </c>
      <c r="C105" s="2">
        <v>123456789</v>
      </c>
      <c r="D105" s="2">
        <v>123456789</v>
      </c>
    </row>
    <row r="106" spans="1:4" x14ac:dyDescent="0.45">
      <c r="A106" t="s">
        <v>239</v>
      </c>
      <c r="B106">
        <v>69.872693982177495</v>
      </c>
      <c r="C106" s="2">
        <v>123456789</v>
      </c>
      <c r="D106" s="2">
        <v>123456789</v>
      </c>
    </row>
    <row r="107" spans="1:4" x14ac:dyDescent="0.45">
      <c r="A107" t="s">
        <v>240</v>
      </c>
      <c r="B107">
        <v>70.195655832511505</v>
      </c>
      <c r="C107" s="2">
        <v>123456789</v>
      </c>
      <c r="D107" s="2">
        <v>123456789</v>
      </c>
    </row>
    <row r="108" spans="1:4" x14ac:dyDescent="0.45">
      <c r="A108" t="s">
        <v>241</v>
      </c>
      <c r="B108">
        <v>70.636140808833304</v>
      </c>
      <c r="C108" s="2">
        <v>123456789</v>
      </c>
      <c r="D108" s="2">
        <v>123456789</v>
      </c>
    </row>
    <row r="109" spans="1:4" x14ac:dyDescent="0.45">
      <c r="A109" t="s">
        <v>242</v>
      </c>
      <c r="B109">
        <v>70.980633449189583</v>
      </c>
      <c r="C109" s="2">
        <v>123456789</v>
      </c>
      <c r="D109" s="2">
        <v>123456789</v>
      </c>
    </row>
    <row r="110" spans="1:4" x14ac:dyDescent="0.45">
      <c r="A110" t="s">
        <v>243</v>
      </c>
      <c r="B110">
        <v>69.027610473803506</v>
      </c>
      <c r="C110" s="2">
        <v>123456789</v>
      </c>
      <c r="D110" s="2">
        <v>123456789</v>
      </c>
    </row>
    <row r="111" spans="1:4" x14ac:dyDescent="0.45">
      <c r="A111" t="s">
        <v>244</v>
      </c>
      <c r="B111">
        <v>75.8658642149679</v>
      </c>
      <c r="C111" s="2">
        <v>123456789</v>
      </c>
      <c r="D111" s="2">
        <v>123456789</v>
      </c>
    </row>
    <row r="112" spans="1:4" x14ac:dyDescent="0.45">
      <c r="A112" t="s">
        <v>245</v>
      </c>
      <c r="B112">
        <v>71.283198991556503</v>
      </c>
      <c r="C112" s="2">
        <v>123456789</v>
      </c>
      <c r="D112" s="2">
        <v>123456789</v>
      </c>
    </row>
    <row r="113" spans="1:4" x14ac:dyDescent="0.45">
      <c r="A113" t="s">
        <v>246</v>
      </c>
      <c r="B113">
        <v>72.694269975474597</v>
      </c>
      <c r="C113" s="2">
        <v>123456789</v>
      </c>
      <c r="D113" s="2">
        <v>123456789</v>
      </c>
    </row>
    <row r="114" spans="1:4" x14ac:dyDescent="0.45">
      <c r="A114" t="s">
        <v>247</v>
      </c>
      <c r="B114">
        <v>68.894444028634695</v>
      </c>
      <c r="C114" s="2">
        <v>123456789</v>
      </c>
      <c r="D114" s="2">
        <v>123456789</v>
      </c>
    </row>
    <row r="115" spans="1:4" x14ac:dyDescent="0.45">
      <c r="A115" t="s">
        <v>248</v>
      </c>
      <c r="B115">
        <v>65.417065756519406</v>
      </c>
      <c r="C115" s="2">
        <v>123456789</v>
      </c>
      <c r="D115" s="2">
        <v>123456789</v>
      </c>
    </row>
    <row r="116" spans="1:4" x14ac:dyDescent="0.45">
      <c r="A116" t="s">
        <v>249</v>
      </c>
      <c r="B116">
        <v>59.1143288905471</v>
      </c>
      <c r="C116" s="2">
        <v>123456789</v>
      </c>
      <c r="D116" s="2">
        <v>123456789</v>
      </c>
    </row>
    <row r="117" spans="1:4" x14ac:dyDescent="0.45">
      <c r="A117" t="s">
        <v>250</v>
      </c>
      <c r="B117">
        <v>60.483332524787201</v>
      </c>
      <c r="C117" s="2">
        <v>123456789</v>
      </c>
      <c r="D117" s="2">
        <v>123456789</v>
      </c>
    </row>
    <row r="118" spans="1:4" x14ac:dyDescent="0.45">
      <c r="A118" t="s">
        <v>251</v>
      </c>
      <c r="B118">
        <v>69.661732267243806</v>
      </c>
      <c r="C118" s="2">
        <v>123456789</v>
      </c>
      <c r="D118" s="2">
        <v>123456789</v>
      </c>
    </row>
    <row r="119" spans="1:4" x14ac:dyDescent="0.45">
      <c r="A119" t="s">
        <v>252</v>
      </c>
      <c r="B119">
        <v>73.905738079641793</v>
      </c>
      <c r="C119" s="2">
        <v>123456789</v>
      </c>
      <c r="D119" s="2">
        <v>123456789</v>
      </c>
    </row>
    <row r="120" spans="1:4" x14ac:dyDescent="0.45">
      <c r="A120" t="s">
        <v>253</v>
      </c>
      <c r="B120">
        <v>74.708817566944305</v>
      </c>
      <c r="C120" s="2">
        <v>123456789</v>
      </c>
      <c r="D120" s="2">
        <v>123456789</v>
      </c>
    </row>
    <row r="121" spans="1:4" x14ac:dyDescent="0.45">
      <c r="A121" t="s">
        <v>254</v>
      </c>
      <c r="B121">
        <v>73.744632773309704</v>
      </c>
      <c r="C121" s="2">
        <v>123456789</v>
      </c>
      <c r="D121" s="2">
        <v>123456789</v>
      </c>
    </row>
    <row r="122" spans="1:4" x14ac:dyDescent="0.45">
      <c r="A122" t="s">
        <v>255</v>
      </c>
      <c r="B122">
        <v>71.891593045984493</v>
      </c>
      <c r="C122" s="2">
        <v>123456789</v>
      </c>
      <c r="D122" s="2">
        <v>123456789</v>
      </c>
    </row>
    <row r="123" spans="1:4" x14ac:dyDescent="0.45">
      <c r="A123" t="s">
        <v>256</v>
      </c>
      <c r="B123">
        <v>69.439818435665202</v>
      </c>
      <c r="C123" s="2">
        <v>123456789</v>
      </c>
      <c r="D123" s="2">
        <v>123456789</v>
      </c>
    </row>
    <row r="124" spans="1:4" x14ac:dyDescent="0.45">
      <c r="A124" t="s">
        <v>257</v>
      </c>
      <c r="B124">
        <v>68.848568722294402</v>
      </c>
      <c r="C124" s="2">
        <v>123456789</v>
      </c>
      <c r="D124" s="2">
        <v>123456789</v>
      </c>
    </row>
    <row r="125" spans="1:4" x14ac:dyDescent="0.45">
      <c r="A125" t="s">
        <v>258</v>
      </c>
      <c r="B125">
        <v>70.067806793595196</v>
      </c>
      <c r="C125" s="2">
        <v>123456789</v>
      </c>
      <c r="D125" s="2">
        <v>123456789</v>
      </c>
    </row>
    <row r="126" spans="1:4" x14ac:dyDescent="0.45">
      <c r="A126" t="s">
        <v>259</v>
      </c>
      <c r="B126">
        <v>69.5885099510229</v>
      </c>
      <c r="C126" s="2">
        <v>123456789</v>
      </c>
      <c r="D126" s="2">
        <v>123456789</v>
      </c>
    </row>
    <row r="127" spans="1:4" x14ac:dyDescent="0.45">
      <c r="A127" t="s">
        <v>260</v>
      </c>
      <c r="B127">
        <v>67.831995275876906</v>
      </c>
      <c r="C127" s="2">
        <v>123456789</v>
      </c>
      <c r="D127" s="2">
        <v>123456789</v>
      </c>
    </row>
    <row r="128" spans="1:4" x14ac:dyDescent="0.45">
      <c r="A128" t="s">
        <v>261</v>
      </c>
      <c r="B128">
        <v>59.385780169406701</v>
      </c>
      <c r="C128" s="2">
        <v>123456789</v>
      </c>
      <c r="D128" s="2">
        <v>123456789</v>
      </c>
    </row>
    <row r="129" spans="1:4" x14ac:dyDescent="0.45">
      <c r="A129" t="s">
        <v>262</v>
      </c>
      <c r="B129">
        <v>63.941011759004603</v>
      </c>
      <c r="C129" s="2">
        <v>123456789</v>
      </c>
      <c r="D129" s="2">
        <v>123456789</v>
      </c>
    </row>
    <row r="130" spans="1:4" x14ac:dyDescent="0.45">
      <c r="A130" t="s">
        <v>263</v>
      </c>
      <c r="B130">
        <v>71.007632782220298</v>
      </c>
      <c r="C130" s="2">
        <v>123456789</v>
      </c>
      <c r="D130" s="2">
        <v>123456789</v>
      </c>
    </row>
    <row r="131" spans="1:4" x14ac:dyDescent="0.45">
      <c r="A131" t="s">
        <v>264</v>
      </c>
      <c r="B131">
        <v>68.6159607070649</v>
      </c>
      <c r="C131" s="2">
        <v>123456789</v>
      </c>
      <c r="D131" s="2">
        <v>123456789</v>
      </c>
    </row>
    <row r="132" spans="1:4" x14ac:dyDescent="0.45">
      <c r="A132" t="s">
        <v>265</v>
      </c>
      <c r="B132">
        <v>68.478863653569505</v>
      </c>
      <c r="C132" s="2">
        <v>123456789</v>
      </c>
      <c r="D132" s="2">
        <v>123456789</v>
      </c>
    </row>
    <row r="133" spans="1:4" x14ac:dyDescent="0.45">
      <c r="A133" t="s">
        <v>266</v>
      </c>
      <c r="B133">
        <v>66.923093716421803</v>
      </c>
      <c r="C133" s="2">
        <v>123456789</v>
      </c>
      <c r="D133" s="2">
        <v>123456789</v>
      </c>
    </row>
    <row r="134" spans="1:4" x14ac:dyDescent="0.45">
      <c r="A134" t="s">
        <v>267</v>
      </c>
      <c r="B134">
        <v>63.731907371271703</v>
      </c>
      <c r="C134" s="2">
        <v>123456789</v>
      </c>
      <c r="D134" s="2">
        <v>123456789</v>
      </c>
    </row>
    <row r="135" spans="1:4" x14ac:dyDescent="0.45">
      <c r="A135" t="s">
        <v>268</v>
      </c>
      <c r="B135">
        <v>68.406386984072896</v>
      </c>
      <c r="C135" s="2">
        <v>123456789</v>
      </c>
      <c r="D135" s="2">
        <v>123456789</v>
      </c>
    </row>
    <row r="136" spans="1:4" x14ac:dyDescent="0.45">
      <c r="A136" t="s">
        <v>269</v>
      </c>
      <c r="B136">
        <v>71.844538266961905</v>
      </c>
      <c r="C136" s="2">
        <v>123456789</v>
      </c>
      <c r="D136" s="2">
        <v>123456789</v>
      </c>
    </row>
    <row r="137" spans="1:4" x14ac:dyDescent="0.45">
      <c r="A137" t="s">
        <v>270</v>
      </c>
      <c r="B137">
        <v>75.003468988224498</v>
      </c>
      <c r="C137" s="2">
        <v>123456789</v>
      </c>
      <c r="D137" s="2">
        <v>123456789</v>
      </c>
    </row>
    <row r="138" spans="1:4" x14ac:dyDescent="0.45">
      <c r="A138" t="s">
        <v>271</v>
      </c>
      <c r="B138">
        <v>73.267565238896196</v>
      </c>
      <c r="C138" s="2">
        <v>123456789</v>
      </c>
      <c r="D138" s="2">
        <v>123456789</v>
      </c>
    </row>
    <row r="139" spans="1:4" x14ac:dyDescent="0.45">
      <c r="A139" t="s">
        <v>272</v>
      </c>
      <c r="B139">
        <v>72.6025588463297</v>
      </c>
      <c r="C139" s="2">
        <v>123456789</v>
      </c>
      <c r="D139" s="2">
        <v>123456789</v>
      </c>
    </row>
    <row r="140" spans="1:4" x14ac:dyDescent="0.45">
      <c r="A140" t="s">
        <v>273</v>
      </c>
      <c r="B140">
        <v>69.469093207909907</v>
      </c>
      <c r="C140" s="2">
        <v>123456789</v>
      </c>
      <c r="D140" s="2">
        <v>123456789</v>
      </c>
    </row>
    <row r="141" spans="1:4" x14ac:dyDescent="0.45">
      <c r="A141" t="s">
        <v>274</v>
      </c>
      <c r="B141">
        <v>69.88500392588</v>
      </c>
      <c r="C141" s="2">
        <v>123456789</v>
      </c>
      <c r="D141" s="2">
        <v>123456789</v>
      </c>
    </row>
    <row r="142" spans="1:4" x14ac:dyDescent="0.45">
      <c r="A142" t="s">
        <v>275</v>
      </c>
      <c r="B142">
        <v>70.920100924693998</v>
      </c>
      <c r="C142" s="2">
        <v>123456789</v>
      </c>
      <c r="D142" s="2">
        <v>123456789</v>
      </c>
    </row>
    <row r="143" spans="1:4" x14ac:dyDescent="0.45">
      <c r="A143" t="s">
        <v>276</v>
      </c>
      <c r="B143">
        <v>68.445534172184196</v>
      </c>
      <c r="C143" s="2">
        <v>123456789</v>
      </c>
      <c r="D143" s="2">
        <v>123456789</v>
      </c>
    </row>
    <row r="144" spans="1:4" x14ac:dyDescent="0.45">
      <c r="A144" t="s">
        <v>277</v>
      </c>
      <c r="B144">
        <v>70.5246079504184</v>
      </c>
      <c r="C144" s="2">
        <v>123456789</v>
      </c>
      <c r="D144" s="2">
        <v>123456789</v>
      </c>
    </row>
    <row r="145" spans="1:4" x14ac:dyDescent="0.45">
      <c r="A145" t="s">
        <v>278</v>
      </c>
      <c r="B145">
        <v>69.566130578051499</v>
      </c>
      <c r="C145" s="2">
        <v>123456789</v>
      </c>
      <c r="D145" s="2">
        <v>123456789</v>
      </c>
    </row>
    <row r="146" spans="1:4" x14ac:dyDescent="0.45">
      <c r="A146" t="s">
        <v>279</v>
      </c>
      <c r="B146">
        <v>68.771436038376294</v>
      </c>
      <c r="C146" s="2">
        <v>123456789</v>
      </c>
      <c r="D146" s="2">
        <v>123456789</v>
      </c>
    </row>
    <row r="147" spans="1:4" x14ac:dyDescent="0.45">
      <c r="A147" t="s">
        <v>280</v>
      </c>
      <c r="B147">
        <v>70.025414640360694</v>
      </c>
      <c r="C147" s="2">
        <v>123456789</v>
      </c>
      <c r="D147" s="2">
        <v>123456789</v>
      </c>
    </row>
    <row r="148" spans="1:4" x14ac:dyDescent="0.45">
      <c r="A148" t="s">
        <v>281</v>
      </c>
      <c r="B148">
        <v>69.681977696349193</v>
      </c>
      <c r="C148" s="2">
        <v>123456789</v>
      </c>
      <c r="D148" s="2">
        <v>123456789</v>
      </c>
    </row>
    <row r="149" spans="1:4" x14ac:dyDescent="0.45">
      <c r="A149" t="s">
        <v>282</v>
      </c>
      <c r="B149">
        <v>74.491606904533796</v>
      </c>
      <c r="C149" s="2">
        <v>123456789</v>
      </c>
      <c r="D149" s="2">
        <v>123456789</v>
      </c>
    </row>
    <row r="150" spans="1:4" x14ac:dyDescent="0.45">
      <c r="A150" t="s">
        <v>283</v>
      </c>
      <c r="B150">
        <v>71.459243495289897</v>
      </c>
      <c r="C150" s="2">
        <v>123456789</v>
      </c>
      <c r="D150" s="2">
        <v>123456789</v>
      </c>
    </row>
    <row r="151" spans="1:4" x14ac:dyDescent="0.45">
      <c r="A151" t="s">
        <v>284</v>
      </c>
      <c r="B151">
        <v>70.138246610696697</v>
      </c>
      <c r="C151" s="2">
        <v>123456789</v>
      </c>
      <c r="D151" s="2">
        <v>123456789</v>
      </c>
    </row>
    <row r="152" spans="1:4" x14ac:dyDescent="0.45">
      <c r="A152" t="s">
        <v>285</v>
      </c>
      <c r="B152">
        <v>69.073285291814898</v>
      </c>
      <c r="C152" s="2">
        <v>123456789</v>
      </c>
      <c r="D152" s="2">
        <v>123456789</v>
      </c>
    </row>
    <row r="153" spans="1:4" x14ac:dyDescent="0.45">
      <c r="A153" t="s">
        <v>286</v>
      </c>
      <c r="B153">
        <v>64.909797524918304</v>
      </c>
      <c r="C153" s="2">
        <v>123456789</v>
      </c>
      <c r="D153" s="2">
        <v>123456789</v>
      </c>
    </row>
    <row r="154" spans="1:4" x14ac:dyDescent="0.45">
      <c r="A154" t="s">
        <v>287</v>
      </c>
      <c r="B154">
        <v>62.942182772533897</v>
      </c>
      <c r="C154" s="2">
        <v>123456789</v>
      </c>
      <c r="D154" s="2">
        <v>123456789</v>
      </c>
    </row>
    <row r="155" spans="1:4" x14ac:dyDescent="0.45">
      <c r="A155" t="s">
        <v>288</v>
      </c>
      <c r="B155">
        <v>56.252982260381899</v>
      </c>
      <c r="C155" s="2">
        <v>123456789</v>
      </c>
      <c r="D155" s="2">
        <v>123456789</v>
      </c>
    </row>
    <row r="156" spans="1:4" x14ac:dyDescent="0.45">
      <c r="A156" t="s">
        <v>289</v>
      </c>
      <c r="B156">
        <v>54.346187474616301</v>
      </c>
      <c r="C156" s="2">
        <v>123456789</v>
      </c>
      <c r="D156" s="2">
        <v>123456789</v>
      </c>
    </row>
    <row r="157" spans="1:4" x14ac:dyDescent="0.45">
      <c r="A157" t="s">
        <v>290</v>
      </c>
      <c r="B157">
        <v>46.5972001213377</v>
      </c>
      <c r="C157" s="2">
        <v>123456789</v>
      </c>
      <c r="D157" s="2">
        <v>123456789</v>
      </c>
    </row>
    <row r="158" spans="1:4" x14ac:dyDescent="0.45">
      <c r="A158" t="s">
        <v>291</v>
      </c>
      <c r="B158">
        <v>55.315296790416802</v>
      </c>
      <c r="C158" s="2">
        <v>123456789</v>
      </c>
      <c r="D158" s="2">
        <v>123456789</v>
      </c>
    </row>
    <row r="159" spans="1:4" x14ac:dyDescent="0.45">
      <c r="A159" t="s">
        <v>292</v>
      </c>
      <c r="B159">
        <v>66.5713716858872</v>
      </c>
      <c r="C159" s="2">
        <v>123456789</v>
      </c>
      <c r="D159" s="2">
        <v>123456789</v>
      </c>
    </row>
    <row r="160" spans="1:4" x14ac:dyDescent="0.45">
      <c r="A160" t="s">
        <v>293</v>
      </c>
      <c r="B160">
        <v>71.2222488662578</v>
      </c>
      <c r="C160" s="2">
        <v>123456789</v>
      </c>
      <c r="D160" s="2">
        <v>123456789</v>
      </c>
    </row>
    <row r="161" spans="1:4" x14ac:dyDescent="0.45">
      <c r="A161" t="s">
        <v>294</v>
      </c>
      <c r="B161">
        <v>69.796568581753306</v>
      </c>
      <c r="C161" s="2">
        <v>123456789</v>
      </c>
      <c r="D161" s="2">
        <v>123456789</v>
      </c>
    </row>
    <row r="162" spans="1:4" x14ac:dyDescent="0.45">
      <c r="A162" t="s">
        <v>295</v>
      </c>
      <c r="B162">
        <v>71.936483701090097</v>
      </c>
      <c r="C162" s="2">
        <v>123456789</v>
      </c>
      <c r="D162" s="2">
        <v>123456789</v>
      </c>
    </row>
    <row r="163" spans="1:4" x14ac:dyDescent="0.45">
      <c r="A163" t="s">
        <v>296</v>
      </c>
      <c r="B163">
        <v>62.903993446414603</v>
      </c>
      <c r="C163" s="2">
        <v>123456789</v>
      </c>
      <c r="D163" s="2">
        <v>123456789</v>
      </c>
    </row>
    <row r="164" spans="1:4" x14ac:dyDescent="0.45">
      <c r="A164" t="s">
        <v>297</v>
      </c>
      <c r="B164">
        <v>63.690702974192199</v>
      </c>
      <c r="C164" s="2">
        <v>123456789</v>
      </c>
      <c r="D164" s="2">
        <v>123456789</v>
      </c>
    </row>
    <row r="165" spans="1:4" x14ac:dyDescent="0.45">
      <c r="A165" t="s">
        <v>298</v>
      </c>
      <c r="B165">
        <v>64.789688136197896</v>
      </c>
      <c r="C165" s="2">
        <v>123456789</v>
      </c>
      <c r="D165" s="2">
        <v>123456789</v>
      </c>
    </row>
    <row r="166" spans="1:4" x14ac:dyDescent="0.45">
      <c r="A166" t="s">
        <v>299</v>
      </c>
      <c r="B166">
        <v>67.016706205045494</v>
      </c>
      <c r="C166" s="2">
        <v>123456789</v>
      </c>
      <c r="D166" s="2">
        <v>123456789</v>
      </c>
    </row>
    <row r="167" spans="1:4" x14ac:dyDescent="0.45">
      <c r="A167" t="s">
        <v>300</v>
      </c>
      <c r="B167">
        <v>62.990331081664699</v>
      </c>
      <c r="C167" s="2">
        <v>123456789</v>
      </c>
      <c r="D167" s="2">
        <v>123456789</v>
      </c>
    </row>
    <row r="168" spans="1:4" x14ac:dyDescent="0.45">
      <c r="A168" t="s">
        <v>301</v>
      </c>
      <c r="B168">
        <v>60.981271895979802</v>
      </c>
      <c r="C168" s="2">
        <v>123456789</v>
      </c>
      <c r="D168" s="2">
        <v>123456789</v>
      </c>
    </row>
    <row r="169" spans="1:4" x14ac:dyDescent="0.45">
      <c r="A169" t="s">
        <v>302</v>
      </c>
      <c r="B169">
        <v>60.7407717547229</v>
      </c>
      <c r="C169" s="2">
        <v>123456789</v>
      </c>
      <c r="D169" s="2">
        <v>123456789</v>
      </c>
    </row>
    <row r="170" spans="1:4" x14ac:dyDescent="0.45">
      <c r="A170" t="s">
        <v>303</v>
      </c>
      <c r="B170">
        <v>68.092390146578595</v>
      </c>
      <c r="C170" s="2">
        <v>123456789</v>
      </c>
      <c r="D170" s="2">
        <v>123456789</v>
      </c>
    </row>
    <row r="171" spans="1:4" x14ac:dyDescent="0.45">
      <c r="A171" t="s">
        <v>304</v>
      </c>
      <c r="B171">
        <v>61.353219301867298</v>
      </c>
      <c r="C171" s="2">
        <v>123456789</v>
      </c>
      <c r="D171" s="2">
        <v>123456789</v>
      </c>
    </row>
    <row r="172" spans="1:4" x14ac:dyDescent="0.45">
      <c r="A172" t="s">
        <v>305</v>
      </c>
      <c r="B172">
        <v>67.31423839</v>
      </c>
      <c r="C172" s="2">
        <v>123456789</v>
      </c>
      <c r="D172" s="2">
        <v>123456789</v>
      </c>
    </row>
    <row r="173" spans="1:4" x14ac:dyDescent="0.45">
      <c r="A173" t="s">
        <v>306</v>
      </c>
      <c r="B173">
        <v>65.008085120000004</v>
      </c>
      <c r="C173" s="2">
        <v>123456789</v>
      </c>
      <c r="D173" s="2">
        <v>123456789</v>
      </c>
    </row>
    <row r="174" spans="1:4" x14ac:dyDescent="0.45">
      <c r="A174" t="s">
        <v>307</v>
      </c>
      <c r="B174">
        <v>68.514701810000005</v>
      </c>
      <c r="C174" s="2">
        <v>123456789</v>
      </c>
      <c r="D174" s="2">
        <v>123456789</v>
      </c>
    </row>
    <row r="175" spans="1:4" x14ac:dyDescent="0.45">
      <c r="A175" t="s">
        <v>308</v>
      </c>
      <c r="B175">
        <v>70.147365449999995</v>
      </c>
      <c r="C175" s="2">
        <v>123456789</v>
      </c>
      <c r="D175" s="2">
        <v>123456789</v>
      </c>
    </row>
    <row r="176" spans="1:4" x14ac:dyDescent="0.45">
      <c r="A176" t="s">
        <v>309</v>
      </c>
      <c r="B176">
        <v>72.630565669999996</v>
      </c>
      <c r="C176" s="2">
        <v>123456789</v>
      </c>
      <c r="D176" s="2">
        <v>123456789</v>
      </c>
    </row>
    <row r="177" spans="1:4" x14ac:dyDescent="0.45">
      <c r="A177" t="s">
        <v>310</v>
      </c>
      <c r="B177">
        <v>74.194221870000007</v>
      </c>
      <c r="C177" s="2">
        <v>123456789</v>
      </c>
      <c r="D177" s="2">
        <v>123456789</v>
      </c>
    </row>
    <row r="178" spans="1:4" x14ac:dyDescent="0.45">
      <c r="A178" t="s">
        <v>311</v>
      </c>
      <c r="B178">
        <v>73.793796650000004</v>
      </c>
      <c r="C178" s="2">
        <v>123456789</v>
      </c>
      <c r="D178" s="2">
        <v>123456789</v>
      </c>
    </row>
    <row r="179" spans="1:4" x14ac:dyDescent="0.45">
      <c r="A179" t="s">
        <v>312</v>
      </c>
      <c r="B179">
        <v>73.036761530000007</v>
      </c>
      <c r="C179" s="2">
        <v>123456789</v>
      </c>
      <c r="D179" s="2">
        <v>123456789</v>
      </c>
    </row>
    <row r="180" spans="1:4" x14ac:dyDescent="0.45">
      <c r="A180" t="s">
        <v>313</v>
      </c>
      <c r="B180">
        <v>72.783773089999997</v>
      </c>
      <c r="C180" s="2">
        <v>123456789</v>
      </c>
      <c r="D180" s="2">
        <v>123456789</v>
      </c>
    </row>
    <row r="181" spans="1:4" x14ac:dyDescent="0.45">
      <c r="A181" t="s">
        <v>314</v>
      </c>
      <c r="B181">
        <v>71.009065500000005</v>
      </c>
      <c r="C181" s="2">
        <v>123456789</v>
      </c>
      <c r="D181" s="2">
        <v>123456789</v>
      </c>
    </row>
    <row r="182" spans="1:4" x14ac:dyDescent="0.45">
      <c r="A182" t="s">
        <v>315</v>
      </c>
      <c r="B182">
        <v>73.387750249999996</v>
      </c>
      <c r="C182" s="2">
        <v>123456789</v>
      </c>
      <c r="D182" s="2">
        <v>123456789</v>
      </c>
    </row>
    <row r="183" spans="1:4" x14ac:dyDescent="0.45">
      <c r="A183" t="s">
        <v>316</v>
      </c>
      <c r="B183">
        <v>71.821114469999998</v>
      </c>
      <c r="C183" s="2">
        <v>123456789</v>
      </c>
      <c r="D183" s="2">
        <v>123456789</v>
      </c>
    </row>
    <row r="184" spans="1:4" x14ac:dyDescent="0.45">
      <c r="A184" t="s">
        <v>317</v>
      </c>
      <c r="B184">
        <v>69.922567880000003</v>
      </c>
      <c r="C184" s="2">
        <v>123456789</v>
      </c>
      <c r="D184" s="2">
        <v>123456789</v>
      </c>
    </row>
    <row r="185" spans="1:4" x14ac:dyDescent="0.45">
      <c r="A185" t="s">
        <v>318</v>
      </c>
      <c r="B185">
        <v>68.684235729999997</v>
      </c>
      <c r="C185" s="2">
        <v>123456789</v>
      </c>
      <c r="D185" s="2">
        <v>123456789</v>
      </c>
    </row>
    <row r="186" spans="1:4" x14ac:dyDescent="0.45">
      <c r="A186" t="s">
        <v>319</v>
      </c>
      <c r="B186">
        <v>68.647029709999998</v>
      </c>
      <c r="C186" s="2">
        <v>123456789</v>
      </c>
      <c r="D186" s="2">
        <v>123456789</v>
      </c>
    </row>
    <row r="187" spans="1:4" x14ac:dyDescent="0.45">
      <c r="A187" t="s">
        <v>320</v>
      </c>
      <c r="B187">
        <v>67.276574010000004</v>
      </c>
      <c r="C187" s="2">
        <v>123456789</v>
      </c>
      <c r="D187" s="2">
        <v>123456789</v>
      </c>
    </row>
    <row r="188" spans="1:4" x14ac:dyDescent="0.45">
      <c r="A188" t="s">
        <v>321</v>
      </c>
      <c r="B188">
        <v>67.380123549999993</v>
      </c>
      <c r="C188" s="2">
        <v>123456789</v>
      </c>
      <c r="D188" s="2">
        <v>123456789</v>
      </c>
    </row>
    <row r="189" spans="1:4" x14ac:dyDescent="0.45">
      <c r="A189" t="s">
        <v>322</v>
      </c>
      <c r="B189">
        <v>69.049151640000005</v>
      </c>
      <c r="C189" s="2">
        <v>123456789</v>
      </c>
      <c r="D189" s="2">
        <v>123456789</v>
      </c>
    </row>
    <row r="190" spans="1:4" x14ac:dyDescent="0.45">
      <c r="A190" t="s">
        <v>323</v>
      </c>
      <c r="B190">
        <v>70.567953220000007</v>
      </c>
      <c r="C190" s="2">
        <v>123456789</v>
      </c>
      <c r="D190" s="2">
        <v>123456789</v>
      </c>
    </row>
    <row r="191" spans="1:4" x14ac:dyDescent="0.45">
      <c r="A191" t="s">
        <v>324</v>
      </c>
      <c r="B191">
        <v>64.804684539999997</v>
      </c>
      <c r="C191" s="2">
        <v>123456789</v>
      </c>
      <c r="D191" s="2">
        <v>123456789</v>
      </c>
    </row>
    <row r="192" spans="1:4" x14ac:dyDescent="0.45">
      <c r="A192" t="s">
        <v>325</v>
      </c>
      <c r="B192">
        <v>65.418867750000004</v>
      </c>
      <c r="C192" s="2">
        <v>123456789</v>
      </c>
      <c r="D192" s="2">
        <v>123456789</v>
      </c>
    </row>
    <row r="193" spans="1:4" x14ac:dyDescent="0.45">
      <c r="A193" t="s">
        <v>326</v>
      </c>
      <c r="B193">
        <v>67.695975239999996</v>
      </c>
      <c r="C193" s="2">
        <v>123456789</v>
      </c>
      <c r="D193" s="2">
        <v>123456789</v>
      </c>
    </row>
    <row r="194" spans="1:4" x14ac:dyDescent="0.45">
      <c r="A194" t="s">
        <v>327</v>
      </c>
      <c r="B194">
        <v>65.468581310000005</v>
      </c>
      <c r="C194" s="2">
        <v>123456789</v>
      </c>
      <c r="D194" s="2">
        <v>123456789</v>
      </c>
    </row>
    <row r="195" spans="1:4" x14ac:dyDescent="0.45">
      <c r="A195" t="s">
        <v>328</v>
      </c>
      <c r="B195">
        <v>66.644091959999997</v>
      </c>
      <c r="C195" s="2">
        <v>123456789</v>
      </c>
      <c r="D195" s="2">
        <v>123456789</v>
      </c>
    </row>
    <row r="196" spans="1:4" x14ac:dyDescent="0.45">
      <c r="A196" t="s">
        <v>329</v>
      </c>
      <c r="B196">
        <v>67.371367820000003</v>
      </c>
      <c r="C196" s="2">
        <v>123456789</v>
      </c>
      <c r="D196" s="2">
        <v>123456789</v>
      </c>
    </row>
    <row r="197" spans="1:4" x14ac:dyDescent="0.45">
      <c r="A197" t="s">
        <v>330</v>
      </c>
      <c r="B197">
        <v>61.61748815</v>
      </c>
      <c r="C197" s="2">
        <v>123456789</v>
      </c>
      <c r="D197" s="2">
        <v>123456789</v>
      </c>
    </row>
    <row r="198" spans="1:4" x14ac:dyDescent="0.45">
      <c r="A198" t="s">
        <v>331</v>
      </c>
      <c r="B198">
        <v>62.290416989999997</v>
      </c>
      <c r="C198" s="2">
        <v>123456789</v>
      </c>
      <c r="D198" s="2">
        <v>123456789</v>
      </c>
    </row>
    <row r="199" spans="1:4" x14ac:dyDescent="0.45">
      <c r="A199" t="s">
        <v>332</v>
      </c>
      <c r="B199">
        <v>64.925845940000002</v>
      </c>
      <c r="C199" s="2">
        <v>123456789</v>
      </c>
      <c r="D199" s="2">
        <v>123456789</v>
      </c>
    </row>
    <row r="200" spans="1:4" x14ac:dyDescent="0.45">
      <c r="A200" t="s">
        <v>333</v>
      </c>
      <c r="B200">
        <v>60.472950670000003</v>
      </c>
      <c r="C200" s="2">
        <v>123456789</v>
      </c>
      <c r="D200" s="2">
        <v>123456789</v>
      </c>
    </row>
    <row r="201" spans="1:4" x14ac:dyDescent="0.45">
      <c r="A201" t="s">
        <v>334</v>
      </c>
      <c r="B201">
        <v>66.346307420000002</v>
      </c>
      <c r="C201" s="2">
        <v>123456789</v>
      </c>
      <c r="D201" s="2">
        <v>123456789</v>
      </c>
    </row>
    <row r="202" spans="1:4" x14ac:dyDescent="0.45">
      <c r="A202" t="s">
        <v>335</v>
      </c>
      <c r="B202">
        <v>49.33521408</v>
      </c>
      <c r="C202" s="2">
        <v>123456789</v>
      </c>
      <c r="D202" s="2">
        <v>123456789</v>
      </c>
    </row>
    <row r="203" spans="1:4" x14ac:dyDescent="0.45">
      <c r="A203" t="s">
        <v>336</v>
      </c>
      <c r="B203">
        <v>67.264439879999998</v>
      </c>
      <c r="C203" s="2">
        <v>123456789</v>
      </c>
      <c r="D203" s="2">
        <v>123456789</v>
      </c>
    </row>
    <row r="204" spans="1:4" x14ac:dyDescent="0.45">
      <c r="A204" t="s">
        <v>337</v>
      </c>
      <c r="B204">
        <v>67.387022470000005</v>
      </c>
      <c r="C204" s="2">
        <v>123456789</v>
      </c>
      <c r="D204" s="2">
        <v>123456789</v>
      </c>
    </row>
    <row r="205" spans="1:4" x14ac:dyDescent="0.45">
      <c r="A205" t="s">
        <v>338</v>
      </c>
      <c r="B205">
        <v>73.004778150000007</v>
      </c>
      <c r="C205" s="2">
        <v>123456789</v>
      </c>
      <c r="D205" s="2">
        <v>123456789</v>
      </c>
    </row>
    <row r="206" spans="1:4" x14ac:dyDescent="0.45">
      <c r="A206" t="s">
        <v>339</v>
      </c>
      <c r="B206">
        <v>79.151625679999995</v>
      </c>
      <c r="C206" s="2">
        <v>123456789</v>
      </c>
      <c r="D206" s="2">
        <v>123456789</v>
      </c>
    </row>
    <row r="207" spans="1:4" x14ac:dyDescent="0.45">
      <c r="A207" t="s">
        <v>340</v>
      </c>
      <c r="B207">
        <v>76.171918689999998</v>
      </c>
      <c r="C207" s="2">
        <v>123456789</v>
      </c>
      <c r="D207" s="2">
        <v>123456789</v>
      </c>
    </row>
    <row r="208" spans="1:4" x14ac:dyDescent="0.45">
      <c r="A208" t="s">
        <v>341</v>
      </c>
      <c r="B208">
        <v>75.027815059999995</v>
      </c>
      <c r="C208" s="2">
        <v>123456789</v>
      </c>
      <c r="D208" s="2">
        <v>123456789</v>
      </c>
    </row>
    <row r="209" spans="1:4" x14ac:dyDescent="0.45">
      <c r="A209" t="s">
        <v>342</v>
      </c>
      <c r="B209">
        <v>73.690779120000002</v>
      </c>
      <c r="C209" s="2">
        <v>123456789</v>
      </c>
      <c r="D209" s="2">
        <v>123456789</v>
      </c>
    </row>
    <row r="210" spans="1:4" x14ac:dyDescent="0.45">
      <c r="A210" t="s">
        <v>343</v>
      </c>
      <c r="B210">
        <v>72.223243400000001</v>
      </c>
      <c r="C210" s="2">
        <v>123456789</v>
      </c>
      <c r="D210" s="2">
        <v>123456789</v>
      </c>
    </row>
    <row r="211" spans="1:4" x14ac:dyDescent="0.45">
      <c r="A211" t="s">
        <v>344</v>
      </c>
      <c r="B211">
        <v>63.947397469999999</v>
      </c>
      <c r="C211" s="2">
        <v>123456789</v>
      </c>
      <c r="D211" s="2">
        <v>123456789</v>
      </c>
    </row>
    <row r="212" spans="1:4" x14ac:dyDescent="0.45">
      <c r="A212" t="s">
        <v>345</v>
      </c>
      <c r="B212">
        <v>61.447905650000003</v>
      </c>
      <c r="C212" s="2">
        <v>123456789</v>
      </c>
      <c r="D212" s="2">
        <v>123456789</v>
      </c>
    </row>
    <row r="213" spans="1:4" x14ac:dyDescent="0.45">
      <c r="A213" t="s">
        <v>346</v>
      </c>
      <c r="B213">
        <v>62.874899509999999</v>
      </c>
      <c r="C213" s="2">
        <v>123456789</v>
      </c>
      <c r="D213" s="2">
        <v>123456789</v>
      </c>
    </row>
    <row r="214" spans="1:4" x14ac:dyDescent="0.45">
      <c r="A214" t="s">
        <v>347</v>
      </c>
      <c r="B214">
        <v>71.136204820000003</v>
      </c>
      <c r="C214" s="2">
        <v>123456789</v>
      </c>
      <c r="D214" s="2">
        <v>123456789</v>
      </c>
    </row>
    <row r="215" spans="1:4" x14ac:dyDescent="0.45">
      <c r="A215" t="s">
        <v>348</v>
      </c>
      <c r="B215">
        <v>69.367670259999997</v>
      </c>
      <c r="C215" s="2">
        <v>123456789</v>
      </c>
      <c r="D215" s="2">
        <v>123456789</v>
      </c>
    </row>
    <row r="216" spans="1:4" x14ac:dyDescent="0.45">
      <c r="A216" t="s">
        <v>349</v>
      </c>
      <c r="B216">
        <v>68.957468329999998</v>
      </c>
      <c r="C216" s="2">
        <v>123456789</v>
      </c>
      <c r="D216" s="2">
        <v>123456789</v>
      </c>
    </row>
    <row r="217" spans="1:4" x14ac:dyDescent="0.45">
      <c r="A217" t="s">
        <v>350</v>
      </c>
      <c r="B217">
        <v>69.694713829999998</v>
      </c>
      <c r="C217" s="2">
        <v>123456789</v>
      </c>
      <c r="D217" s="2">
        <v>123456789</v>
      </c>
    </row>
    <row r="218" spans="1:4" x14ac:dyDescent="0.45">
      <c r="A218" t="s">
        <v>351</v>
      </c>
      <c r="B218">
        <v>73.38094366</v>
      </c>
      <c r="C218" s="2">
        <v>123456789</v>
      </c>
      <c r="D218" s="2">
        <v>123456789</v>
      </c>
    </row>
    <row r="219" spans="1:4" x14ac:dyDescent="0.45">
      <c r="A219" t="s">
        <v>352</v>
      </c>
      <c r="B219">
        <v>70.420611679999993</v>
      </c>
      <c r="C219" s="2">
        <v>123456789</v>
      </c>
      <c r="D219" s="2">
        <v>123456789</v>
      </c>
    </row>
    <row r="220" spans="1:4" x14ac:dyDescent="0.45">
      <c r="A220" t="s">
        <v>353</v>
      </c>
      <c r="B220">
        <v>72.121435509999998</v>
      </c>
      <c r="C220" s="2">
        <v>123456789</v>
      </c>
      <c r="D220" s="2">
        <v>123456789</v>
      </c>
    </row>
    <row r="221" spans="1:4" x14ac:dyDescent="0.45">
      <c r="A221" t="s">
        <v>354</v>
      </c>
      <c r="B221">
        <v>66.002498380000006</v>
      </c>
      <c r="C221" s="2">
        <v>123456789</v>
      </c>
      <c r="D221" s="2">
        <v>123456789</v>
      </c>
    </row>
    <row r="222" spans="1:4" x14ac:dyDescent="0.45">
      <c r="A222" t="s">
        <v>355</v>
      </c>
      <c r="B222">
        <v>65.213525239999996</v>
      </c>
      <c r="C222" s="2">
        <v>123456789</v>
      </c>
      <c r="D222" s="2">
        <v>123456789</v>
      </c>
    </row>
    <row r="223" spans="1:4" x14ac:dyDescent="0.45">
      <c r="A223" t="s">
        <v>356</v>
      </c>
      <c r="B223">
        <v>64.932512599999995</v>
      </c>
      <c r="C223" s="2">
        <v>123456789</v>
      </c>
      <c r="D223" s="2">
        <v>123456789</v>
      </c>
    </row>
    <row r="224" spans="1:4" x14ac:dyDescent="0.45">
      <c r="A224" t="s">
        <v>357</v>
      </c>
      <c r="B224">
        <v>66.360327909999995</v>
      </c>
      <c r="C224" s="2">
        <v>123456789</v>
      </c>
      <c r="D224" s="2">
        <v>123456789</v>
      </c>
    </row>
    <row r="225" spans="1:4" x14ac:dyDescent="0.45">
      <c r="A225" t="s">
        <v>438</v>
      </c>
      <c r="B225">
        <v>69.018159280000006</v>
      </c>
      <c r="C225" s="2">
        <v>123456789</v>
      </c>
      <c r="D225" s="2">
        <v>123456789</v>
      </c>
    </row>
    <row r="226" spans="1:4" x14ac:dyDescent="0.45">
      <c r="A226" t="s">
        <v>441</v>
      </c>
      <c r="B226">
        <v>65.22</v>
      </c>
      <c r="C226" s="2">
        <v>123456789</v>
      </c>
      <c r="D226" s="2">
        <v>123456789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05A72-021F-4DEA-9678-00BE0E3383A2}">
  <dimension ref="A1:D226"/>
  <sheetViews>
    <sheetView workbookViewId="0">
      <selection activeCell="N234" sqref="N234"/>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s="2">
        <v>123456789</v>
      </c>
      <c r="C76" s="2">
        <v>123456789</v>
      </c>
      <c r="D76" s="2">
        <v>123456789</v>
      </c>
    </row>
    <row r="77" spans="1:4" x14ac:dyDescent="0.45">
      <c r="A77" t="s">
        <v>210</v>
      </c>
      <c r="B77" s="2">
        <v>123456789</v>
      </c>
      <c r="C77" s="2">
        <v>123456789</v>
      </c>
      <c r="D77" s="2">
        <v>123456789</v>
      </c>
    </row>
    <row r="78" spans="1:4" x14ac:dyDescent="0.45">
      <c r="A78" t="s">
        <v>211</v>
      </c>
      <c r="B78" s="2">
        <v>123456789</v>
      </c>
      <c r="C78" s="2">
        <v>123456789</v>
      </c>
      <c r="D78" s="2">
        <v>123456789</v>
      </c>
    </row>
    <row r="79" spans="1:4" x14ac:dyDescent="0.45">
      <c r="A79" t="s">
        <v>212</v>
      </c>
      <c r="B79" s="2">
        <v>123456789</v>
      </c>
      <c r="C79" s="2">
        <v>123456789</v>
      </c>
      <c r="D79" s="2">
        <v>123456789</v>
      </c>
    </row>
    <row r="80" spans="1:4" x14ac:dyDescent="0.45">
      <c r="A80" t="s">
        <v>213</v>
      </c>
      <c r="B80" s="2">
        <v>123456789</v>
      </c>
      <c r="C80" s="2">
        <v>123456789</v>
      </c>
      <c r="D80" s="2">
        <v>123456789</v>
      </c>
    </row>
    <row r="81" spans="1:4" x14ac:dyDescent="0.45">
      <c r="A81" t="s">
        <v>214</v>
      </c>
      <c r="B81" s="2">
        <v>123456789</v>
      </c>
      <c r="C81" s="2">
        <v>123456789</v>
      </c>
      <c r="D81" s="2">
        <v>123456789</v>
      </c>
    </row>
    <row r="82" spans="1:4" x14ac:dyDescent="0.45">
      <c r="A82" t="s">
        <v>215</v>
      </c>
      <c r="B82" s="2">
        <v>123456789</v>
      </c>
      <c r="C82" s="2">
        <v>123456789</v>
      </c>
      <c r="D82" s="2">
        <v>123456789</v>
      </c>
    </row>
    <row r="83" spans="1:4" x14ac:dyDescent="0.45">
      <c r="A83" t="s">
        <v>216</v>
      </c>
      <c r="B83" s="2">
        <v>123456789</v>
      </c>
      <c r="C83" s="2">
        <v>123456789</v>
      </c>
      <c r="D83" s="2">
        <v>123456789</v>
      </c>
    </row>
    <row r="84" spans="1:4" x14ac:dyDescent="0.45">
      <c r="A84" t="s">
        <v>217</v>
      </c>
      <c r="B84" s="2">
        <v>123456789</v>
      </c>
      <c r="C84" s="2">
        <v>123456789</v>
      </c>
      <c r="D84" s="2">
        <v>123456789</v>
      </c>
    </row>
    <row r="85" spans="1:4" x14ac:dyDescent="0.45">
      <c r="A85" t="s">
        <v>218</v>
      </c>
      <c r="B85" s="2">
        <v>123456789</v>
      </c>
      <c r="C85" s="2">
        <v>123456789</v>
      </c>
      <c r="D85" s="2">
        <v>123456789</v>
      </c>
    </row>
    <row r="86" spans="1:4" x14ac:dyDescent="0.45">
      <c r="A86" t="s">
        <v>219</v>
      </c>
      <c r="B86" s="2">
        <v>123456789</v>
      </c>
      <c r="C86" s="2">
        <v>123456789</v>
      </c>
      <c r="D86" s="2">
        <v>123456789</v>
      </c>
    </row>
    <row r="87" spans="1:4" x14ac:dyDescent="0.45">
      <c r="A87" t="s">
        <v>220</v>
      </c>
      <c r="B87" s="2">
        <v>123456789</v>
      </c>
      <c r="C87" s="2">
        <v>123456789</v>
      </c>
      <c r="D87" s="2">
        <v>123456789</v>
      </c>
    </row>
    <row r="88" spans="1:4" x14ac:dyDescent="0.45">
      <c r="A88" t="s">
        <v>221</v>
      </c>
      <c r="B88" s="2">
        <v>123456789</v>
      </c>
      <c r="C88" s="2">
        <v>123456789</v>
      </c>
      <c r="D88" s="2">
        <v>123456789</v>
      </c>
    </row>
    <row r="89" spans="1:4" x14ac:dyDescent="0.45">
      <c r="A89" t="s">
        <v>222</v>
      </c>
      <c r="B89" s="2">
        <v>123456789</v>
      </c>
      <c r="C89" s="2">
        <v>123456789</v>
      </c>
      <c r="D89" s="2">
        <v>123456789</v>
      </c>
    </row>
    <row r="90" spans="1:4" x14ac:dyDescent="0.45">
      <c r="A90" t="s">
        <v>223</v>
      </c>
      <c r="B90" s="2">
        <v>123456789</v>
      </c>
      <c r="C90" s="2">
        <v>123456789</v>
      </c>
      <c r="D90" s="2">
        <v>123456789</v>
      </c>
    </row>
    <row r="91" spans="1:4" x14ac:dyDescent="0.45">
      <c r="A91" t="s">
        <v>224</v>
      </c>
      <c r="B91" s="2">
        <v>123456789</v>
      </c>
      <c r="C91" s="2">
        <v>123456789</v>
      </c>
      <c r="D91" s="2">
        <v>123456789</v>
      </c>
    </row>
    <row r="92" spans="1:4" x14ac:dyDescent="0.45">
      <c r="A92" t="s">
        <v>225</v>
      </c>
      <c r="B92" s="2">
        <v>123456789</v>
      </c>
      <c r="C92" s="2">
        <v>123456789</v>
      </c>
      <c r="D92" s="2">
        <v>123456789</v>
      </c>
    </row>
    <row r="93" spans="1:4" x14ac:dyDescent="0.45">
      <c r="A93" t="s">
        <v>226</v>
      </c>
      <c r="B93" s="2">
        <v>123456789</v>
      </c>
      <c r="C93" s="2">
        <v>123456789</v>
      </c>
      <c r="D93" s="2">
        <v>123456789</v>
      </c>
    </row>
    <row r="94" spans="1:4" x14ac:dyDescent="0.45">
      <c r="A94" t="s">
        <v>227</v>
      </c>
      <c r="B94" s="2">
        <v>123456789</v>
      </c>
      <c r="C94" s="2">
        <v>123456789</v>
      </c>
      <c r="D94" s="2">
        <v>123456789</v>
      </c>
    </row>
    <row r="95" spans="1:4" x14ac:dyDescent="0.45">
      <c r="A95" t="s">
        <v>228</v>
      </c>
      <c r="B95" s="2">
        <v>123456789</v>
      </c>
      <c r="C95" s="2">
        <v>123456789</v>
      </c>
      <c r="D95" s="2">
        <v>123456789</v>
      </c>
    </row>
    <row r="96" spans="1:4" x14ac:dyDescent="0.45">
      <c r="A96" t="s">
        <v>229</v>
      </c>
      <c r="B96" s="2">
        <v>123456789</v>
      </c>
      <c r="C96" s="2">
        <v>123456789</v>
      </c>
      <c r="D96" s="2">
        <v>123456789</v>
      </c>
    </row>
    <row r="97" spans="1:4" x14ac:dyDescent="0.45">
      <c r="A97" t="s">
        <v>230</v>
      </c>
      <c r="B97" s="2">
        <v>123456789</v>
      </c>
      <c r="C97" s="2">
        <v>123456789</v>
      </c>
      <c r="D97" s="2">
        <v>123456789</v>
      </c>
    </row>
    <row r="98" spans="1:4" x14ac:dyDescent="0.45">
      <c r="A98" t="s">
        <v>231</v>
      </c>
      <c r="B98" s="2">
        <v>123456789</v>
      </c>
      <c r="C98" s="2">
        <v>123456789</v>
      </c>
      <c r="D98" s="2">
        <v>123456789</v>
      </c>
    </row>
    <row r="99" spans="1:4" x14ac:dyDescent="0.45">
      <c r="A99" t="s">
        <v>232</v>
      </c>
      <c r="B99" s="2">
        <v>123456789</v>
      </c>
      <c r="C99" s="2">
        <v>123456789</v>
      </c>
      <c r="D99" s="2">
        <v>123456789</v>
      </c>
    </row>
    <row r="100" spans="1:4" x14ac:dyDescent="0.45">
      <c r="A100" t="s">
        <v>233</v>
      </c>
      <c r="B100" s="2">
        <v>123456789</v>
      </c>
      <c r="C100" s="2">
        <v>123456789</v>
      </c>
      <c r="D100" s="2">
        <v>123456789</v>
      </c>
    </row>
    <row r="101" spans="1:4" x14ac:dyDescent="0.45">
      <c r="A101" t="s">
        <v>234</v>
      </c>
      <c r="B101" s="2">
        <v>123456789</v>
      </c>
      <c r="C101" s="2">
        <v>123456789</v>
      </c>
      <c r="D101" s="2">
        <v>123456789</v>
      </c>
    </row>
    <row r="102" spans="1:4" x14ac:dyDescent="0.45">
      <c r="A102" t="s">
        <v>235</v>
      </c>
      <c r="B102" s="2">
        <v>123456789</v>
      </c>
      <c r="C102" s="2">
        <v>123456789</v>
      </c>
      <c r="D102" s="2">
        <v>123456789</v>
      </c>
    </row>
    <row r="103" spans="1:4" x14ac:dyDescent="0.45">
      <c r="A103" t="s">
        <v>236</v>
      </c>
      <c r="B103" s="2">
        <v>123456789</v>
      </c>
      <c r="C103" s="2">
        <v>123456789</v>
      </c>
      <c r="D103" s="2">
        <v>123456789</v>
      </c>
    </row>
    <row r="104" spans="1:4" x14ac:dyDescent="0.45">
      <c r="A104" t="s">
        <v>237</v>
      </c>
      <c r="B104" s="2">
        <v>123456789</v>
      </c>
      <c r="C104" s="2">
        <v>123456789</v>
      </c>
      <c r="D104" s="2">
        <v>123456789</v>
      </c>
    </row>
    <row r="105" spans="1:4" x14ac:dyDescent="0.45">
      <c r="A105" t="s">
        <v>238</v>
      </c>
      <c r="B105" s="2">
        <v>123456789</v>
      </c>
      <c r="C105" s="2">
        <v>123456789</v>
      </c>
      <c r="D105" s="2">
        <v>123456789</v>
      </c>
    </row>
    <row r="106" spans="1:4" x14ac:dyDescent="0.45">
      <c r="A106" t="s">
        <v>239</v>
      </c>
      <c r="B106" s="2">
        <v>123456789</v>
      </c>
      <c r="C106" s="2">
        <v>123456789</v>
      </c>
      <c r="D106" s="2">
        <v>123456789</v>
      </c>
    </row>
    <row r="107" spans="1:4" x14ac:dyDescent="0.45">
      <c r="A107" t="s">
        <v>240</v>
      </c>
      <c r="B107" s="2">
        <v>123456789</v>
      </c>
      <c r="C107" s="2">
        <v>123456789</v>
      </c>
      <c r="D107" s="2">
        <v>123456789</v>
      </c>
    </row>
    <row r="108" spans="1:4" x14ac:dyDescent="0.45">
      <c r="A108" t="s">
        <v>241</v>
      </c>
      <c r="B108" s="2">
        <v>123456789</v>
      </c>
      <c r="C108" s="2">
        <v>123456789</v>
      </c>
      <c r="D108" s="2">
        <v>123456789</v>
      </c>
    </row>
    <row r="109" spans="1:4" x14ac:dyDescent="0.45">
      <c r="A109" t="s">
        <v>242</v>
      </c>
      <c r="B109" s="2">
        <v>123456789</v>
      </c>
      <c r="C109" s="2">
        <v>123456789</v>
      </c>
      <c r="D109" s="2">
        <v>123456789</v>
      </c>
    </row>
    <row r="110" spans="1:4" x14ac:dyDescent="0.45">
      <c r="A110" t="s">
        <v>243</v>
      </c>
      <c r="B110" s="2">
        <v>123456789</v>
      </c>
      <c r="C110" s="2">
        <v>123456789</v>
      </c>
      <c r="D110" s="2">
        <v>123456789</v>
      </c>
    </row>
    <row r="111" spans="1:4" x14ac:dyDescent="0.45">
      <c r="A111" t="s">
        <v>244</v>
      </c>
      <c r="B111">
        <v>75.512895520000001</v>
      </c>
      <c r="C111" s="2">
        <v>123456789</v>
      </c>
      <c r="D111" s="2">
        <v>123456789</v>
      </c>
    </row>
    <row r="112" spans="1:4" x14ac:dyDescent="0.45">
      <c r="A112" t="s">
        <v>245</v>
      </c>
      <c r="B112">
        <v>71.99350819</v>
      </c>
      <c r="C112" s="2">
        <v>123456789</v>
      </c>
      <c r="D112" s="2">
        <v>123456789</v>
      </c>
    </row>
    <row r="113" spans="1:4" x14ac:dyDescent="0.45">
      <c r="A113" t="s">
        <v>246</v>
      </c>
      <c r="B113">
        <v>72.645493110000004</v>
      </c>
      <c r="C113" s="2">
        <v>123456789</v>
      </c>
      <c r="D113" s="2">
        <v>123456789</v>
      </c>
    </row>
    <row r="114" spans="1:4" x14ac:dyDescent="0.45">
      <c r="A114" t="s">
        <v>247</v>
      </c>
      <c r="B114">
        <v>70.328216409999996</v>
      </c>
      <c r="C114" s="2">
        <v>123456789</v>
      </c>
      <c r="D114" s="2">
        <v>123456789</v>
      </c>
    </row>
    <row r="115" spans="1:4" x14ac:dyDescent="0.45">
      <c r="A115" t="s">
        <v>248</v>
      </c>
      <c r="B115">
        <v>67.178776389999996</v>
      </c>
      <c r="C115" s="2">
        <v>123456789</v>
      </c>
      <c r="D115" s="2">
        <v>123456789</v>
      </c>
    </row>
    <row r="116" spans="1:4" x14ac:dyDescent="0.45">
      <c r="A116" t="s">
        <v>249</v>
      </c>
      <c r="B116">
        <v>61.114197779999998</v>
      </c>
      <c r="C116" s="2">
        <v>123456789</v>
      </c>
      <c r="D116" s="2">
        <v>123456789</v>
      </c>
    </row>
    <row r="117" spans="1:4" x14ac:dyDescent="0.45">
      <c r="A117" t="s">
        <v>250</v>
      </c>
      <c r="B117">
        <v>59.269703329999999</v>
      </c>
      <c r="C117" s="2">
        <v>123456789</v>
      </c>
      <c r="D117" s="2">
        <v>123456789</v>
      </c>
    </row>
    <row r="118" spans="1:4" x14ac:dyDescent="0.45">
      <c r="A118" t="s">
        <v>251</v>
      </c>
      <c r="B118">
        <v>66.675033589999998</v>
      </c>
      <c r="C118" s="2">
        <v>123456789</v>
      </c>
      <c r="D118" s="2">
        <v>123456789</v>
      </c>
    </row>
    <row r="119" spans="1:4" x14ac:dyDescent="0.45">
      <c r="A119" t="s">
        <v>252</v>
      </c>
      <c r="B119">
        <v>73.121257569999997</v>
      </c>
      <c r="C119" s="2">
        <v>123456789</v>
      </c>
      <c r="D119" s="2">
        <v>123456789</v>
      </c>
    </row>
    <row r="120" spans="1:4" x14ac:dyDescent="0.45">
      <c r="A120" t="s">
        <v>253</v>
      </c>
      <c r="B120">
        <v>73.942686969999997</v>
      </c>
      <c r="C120" s="2">
        <v>123456789</v>
      </c>
      <c r="D120" s="2">
        <v>123456789</v>
      </c>
    </row>
    <row r="121" spans="1:4" x14ac:dyDescent="0.45">
      <c r="A121" t="s">
        <v>254</v>
      </c>
      <c r="B121">
        <v>72.455113879999999</v>
      </c>
      <c r="C121" s="2">
        <v>123456789</v>
      </c>
      <c r="D121" s="2">
        <v>123456789</v>
      </c>
    </row>
    <row r="122" spans="1:4" x14ac:dyDescent="0.45">
      <c r="A122" t="s">
        <v>255</v>
      </c>
      <c r="B122">
        <v>71.214900799999995</v>
      </c>
      <c r="C122" s="2">
        <v>123456789</v>
      </c>
      <c r="D122" s="2">
        <v>123456789</v>
      </c>
    </row>
    <row r="123" spans="1:4" x14ac:dyDescent="0.45">
      <c r="A123" t="s">
        <v>256</v>
      </c>
      <c r="B123">
        <v>69.528237520000005</v>
      </c>
      <c r="C123" s="2">
        <v>123456789</v>
      </c>
      <c r="D123" s="2">
        <v>123456789</v>
      </c>
    </row>
    <row r="124" spans="1:4" x14ac:dyDescent="0.45">
      <c r="A124" t="s">
        <v>257</v>
      </c>
      <c r="B124">
        <v>69.061991419999998</v>
      </c>
      <c r="C124" s="2">
        <v>123456789</v>
      </c>
      <c r="D124" s="2">
        <v>123456789</v>
      </c>
    </row>
    <row r="125" spans="1:4" x14ac:dyDescent="0.45">
      <c r="A125" t="s">
        <v>258</v>
      </c>
      <c r="B125">
        <v>69.545429949999999</v>
      </c>
      <c r="C125" s="2">
        <v>123456789</v>
      </c>
      <c r="D125" s="2">
        <v>123456789</v>
      </c>
    </row>
    <row r="126" spans="1:4" x14ac:dyDescent="0.45">
      <c r="A126" t="s">
        <v>259</v>
      </c>
      <c r="B126">
        <v>69.690484900000001</v>
      </c>
      <c r="C126" s="2">
        <v>123456789</v>
      </c>
      <c r="D126" s="2">
        <v>123456789</v>
      </c>
    </row>
    <row r="127" spans="1:4" x14ac:dyDescent="0.45">
      <c r="A127" t="s">
        <v>260</v>
      </c>
      <c r="B127">
        <v>66.8673924</v>
      </c>
      <c r="C127" s="2">
        <v>123456789</v>
      </c>
      <c r="D127" s="2">
        <v>123456789</v>
      </c>
    </row>
    <row r="128" spans="1:4" x14ac:dyDescent="0.45">
      <c r="A128" t="s">
        <v>261</v>
      </c>
      <c r="B128">
        <v>62.861075139999997</v>
      </c>
      <c r="C128" s="2">
        <v>123456789</v>
      </c>
      <c r="D128" s="2">
        <v>123456789</v>
      </c>
    </row>
    <row r="129" spans="1:4" x14ac:dyDescent="0.45">
      <c r="A129" t="s">
        <v>262</v>
      </c>
      <c r="B129">
        <v>61.59129927</v>
      </c>
      <c r="C129" s="2">
        <v>123456789</v>
      </c>
      <c r="D129" s="2">
        <v>123456789</v>
      </c>
    </row>
    <row r="130" spans="1:4" x14ac:dyDescent="0.45">
      <c r="A130" t="s">
        <v>263</v>
      </c>
      <c r="B130">
        <v>69.256646579999995</v>
      </c>
      <c r="C130" s="2">
        <v>123456789</v>
      </c>
      <c r="D130" s="2">
        <v>123456789</v>
      </c>
    </row>
    <row r="131" spans="1:4" x14ac:dyDescent="0.45">
      <c r="A131" t="s">
        <v>264</v>
      </c>
      <c r="B131">
        <v>71.118992000000006</v>
      </c>
      <c r="C131" s="2">
        <v>123456789</v>
      </c>
      <c r="D131" s="2">
        <v>123456789</v>
      </c>
    </row>
    <row r="132" spans="1:4" x14ac:dyDescent="0.45">
      <c r="A132" t="s">
        <v>265</v>
      </c>
      <c r="B132">
        <v>68.260675359999993</v>
      </c>
      <c r="C132" s="2">
        <v>123456789</v>
      </c>
      <c r="D132" s="2">
        <v>123456789</v>
      </c>
    </row>
    <row r="133" spans="1:4" x14ac:dyDescent="0.45">
      <c r="A133" t="s">
        <v>266</v>
      </c>
      <c r="B133">
        <v>66.764508320000004</v>
      </c>
      <c r="C133" s="2">
        <v>123456789</v>
      </c>
      <c r="D133" s="2">
        <v>123456789</v>
      </c>
    </row>
    <row r="134" spans="1:4" x14ac:dyDescent="0.45">
      <c r="A134" t="s">
        <v>267</v>
      </c>
      <c r="B134">
        <v>65.406195429999997</v>
      </c>
      <c r="C134" s="2">
        <v>123456789</v>
      </c>
      <c r="D134" s="2">
        <v>123456789</v>
      </c>
    </row>
    <row r="135" spans="1:4" x14ac:dyDescent="0.45">
      <c r="A135" t="s">
        <v>268</v>
      </c>
      <c r="B135">
        <v>67.943759049999997</v>
      </c>
      <c r="C135" s="2">
        <v>123456789</v>
      </c>
      <c r="D135" s="2">
        <v>123456789</v>
      </c>
    </row>
    <row r="136" spans="1:4" x14ac:dyDescent="0.45">
      <c r="A136" t="s">
        <v>269</v>
      </c>
      <c r="B136">
        <v>70.631569740000003</v>
      </c>
      <c r="C136" s="2">
        <v>123456789</v>
      </c>
      <c r="D136" s="2">
        <v>123456789</v>
      </c>
    </row>
    <row r="137" spans="1:4" x14ac:dyDescent="0.45">
      <c r="A137" t="s">
        <v>270</v>
      </c>
      <c r="B137">
        <v>73.752754940000003</v>
      </c>
      <c r="C137" s="2">
        <v>123456789</v>
      </c>
      <c r="D137" s="2">
        <v>123456789</v>
      </c>
    </row>
    <row r="138" spans="1:4" x14ac:dyDescent="0.45">
      <c r="A138" t="s">
        <v>271</v>
      </c>
      <c r="B138">
        <v>74.29820153</v>
      </c>
      <c r="C138" s="2">
        <v>123456789</v>
      </c>
      <c r="D138" s="2">
        <v>123456789</v>
      </c>
    </row>
    <row r="139" spans="1:4" x14ac:dyDescent="0.45">
      <c r="A139" t="s">
        <v>272</v>
      </c>
      <c r="B139">
        <v>72.741031469999996</v>
      </c>
      <c r="C139" s="2">
        <v>123456789</v>
      </c>
      <c r="D139" s="2">
        <v>123456789</v>
      </c>
    </row>
    <row r="140" spans="1:4" x14ac:dyDescent="0.45">
      <c r="A140" t="s">
        <v>273</v>
      </c>
      <c r="B140">
        <v>70.569666949999998</v>
      </c>
      <c r="C140" s="2">
        <v>123456789</v>
      </c>
      <c r="D140" s="2">
        <v>123456789</v>
      </c>
    </row>
    <row r="141" spans="1:4" x14ac:dyDescent="0.45">
      <c r="A141" t="s">
        <v>274</v>
      </c>
      <c r="B141">
        <v>69.936384759999996</v>
      </c>
      <c r="C141" s="2">
        <v>123456789</v>
      </c>
      <c r="D141" s="2">
        <v>123456789</v>
      </c>
    </row>
    <row r="142" spans="1:4" x14ac:dyDescent="0.45">
      <c r="A142" t="s">
        <v>275</v>
      </c>
      <c r="B142">
        <v>70.904896390000005</v>
      </c>
      <c r="C142" s="2">
        <v>123456789</v>
      </c>
      <c r="D142" s="2">
        <v>123456789</v>
      </c>
    </row>
    <row r="143" spans="1:4" x14ac:dyDescent="0.45">
      <c r="A143" t="s">
        <v>276</v>
      </c>
      <c r="B143">
        <v>67.291221620000002</v>
      </c>
      <c r="C143" s="2">
        <v>123456789</v>
      </c>
      <c r="D143" s="2">
        <v>123456789</v>
      </c>
    </row>
    <row r="144" spans="1:4" x14ac:dyDescent="0.45">
      <c r="A144" t="s">
        <v>277</v>
      </c>
      <c r="B144">
        <v>68.835080309999995</v>
      </c>
      <c r="C144" s="2">
        <v>123456789</v>
      </c>
      <c r="D144" s="2">
        <v>123456789</v>
      </c>
    </row>
    <row r="145" spans="1:4" x14ac:dyDescent="0.45">
      <c r="A145" t="s">
        <v>278</v>
      </c>
      <c r="B145">
        <v>68.999723779999997</v>
      </c>
      <c r="C145" s="2">
        <v>123456789</v>
      </c>
      <c r="D145" s="2">
        <v>123456789</v>
      </c>
    </row>
    <row r="146" spans="1:4" x14ac:dyDescent="0.45">
      <c r="A146" t="s">
        <v>279</v>
      </c>
      <c r="B146">
        <v>70.082150420000005</v>
      </c>
      <c r="C146" s="2">
        <v>123456789</v>
      </c>
      <c r="D146" s="2">
        <v>123456789</v>
      </c>
    </row>
    <row r="147" spans="1:4" x14ac:dyDescent="0.45">
      <c r="A147" t="s">
        <v>280</v>
      </c>
      <c r="B147">
        <v>70.454032150000003</v>
      </c>
      <c r="C147" s="2">
        <v>123456789</v>
      </c>
      <c r="D147" s="2">
        <v>123456789</v>
      </c>
    </row>
    <row r="148" spans="1:4" x14ac:dyDescent="0.45">
      <c r="A148" t="s">
        <v>281</v>
      </c>
      <c r="B148">
        <v>68.515018299999994</v>
      </c>
      <c r="C148" s="2">
        <v>123456789</v>
      </c>
      <c r="D148" s="2">
        <v>123456789</v>
      </c>
    </row>
    <row r="149" spans="1:4" x14ac:dyDescent="0.45">
      <c r="A149" t="s">
        <v>282</v>
      </c>
      <c r="B149">
        <v>72.271233499999994</v>
      </c>
      <c r="C149" s="2">
        <v>123456789</v>
      </c>
      <c r="D149" s="2">
        <v>123456789</v>
      </c>
    </row>
    <row r="150" spans="1:4" x14ac:dyDescent="0.45">
      <c r="A150" t="s">
        <v>283</v>
      </c>
      <c r="B150">
        <v>71.583282499999996</v>
      </c>
      <c r="C150" s="2">
        <v>123456789</v>
      </c>
      <c r="D150" s="2">
        <v>123456789</v>
      </c>
    </row>
    <row r="151" spans="1:4" x14ac:dyDescent="0.45">
      <c r="A151" t="s">
        <v>284</v>
      </c>
      <c r="B151">
        <v>70.073722140000001</v>
      </c>
      <c r="C151" s="2">
        <v>123456789</v>
      </c>
      <c r="D151" s="2">
        <v>123456789</v>
      </c>
    </row>
    <row r="152" spans="1:4" x14ac:dyDescent="0.45">
      <c r="A152" t="s">
        <v>285</v>
      </c>
      <c r="B152">
        <v>70.176122919999997</v>
      </c>
      <c r="C152" s="2">
        <v>123456789</v>
      </c>
      <c r="D152" s="2">
        <v>123456789</v>
      </c>
    </row>
    <row r="153" spans="1:4" x14ac:dyDescent="0.45">
      <c r="A153" t="s">
        <v>286</v>
      </c>
      <c r="B153">
        <v>66.935281399999994</v>
      </c>
      <c r="C153" s="2">
        <v>123456789</v>
      </c>
      <c r="D153" s="2">
        <v>123456789</v>
      </c>
    </row>
    <row r="154" spans="1:4" x14ac:dyDescent="0.45">
      <c r="A154" t="s">
        <v>287</v>
      </c>
      <c r="B154">
        <v>63.757908970000003</v>
      </c>
      <c r="C154" s="2">
        <v>123456789</v>
      </c>
      <c r="D154" s="2">
        <v>123456789</v>
      </c>
    </row>
    <row r="155" spans="1:4" x14ac:dyDescent="0.45">
      <c r="A155" t="s">
        <v>288</v>
      </c>
      <c r="B155">
        <v>59.903249119999998</v>
      </c>
      <c r="C155" s="2">
        <v>123456789</v>
      </c>
      <c r="D155" s="2">
        <v>123456789</v>
      </c>
    </row>
    <row r="156" spans="1:4" x14ac:dyDescent="0.45">
      <c r="A156" t="s">
        <v>289</v>
      </c>
      <c r="B156">
        <v>54.915275790000003</v>
      </c>
      <c r="C156" s="2">
        <v>123456789</v>
      </c>
      <c r="D156" s="2">
        <v>123456789</v>
      </c>
    </row>
    <row r="157" spans="1:4" x14ac:dyDescent="0.45">
      <c r="A157" t="s">
        <v>290</v>
      </c>
      <c r="B157">
        <v>47.144923900000002</v>
      </c>
      <c r="C157" s="2">
        <v>123456789</v>
      </c>
      <c r="D157" s="2">
        <v>123456789</v>
      </c>
    </row>
    <row r="158" spans="1:4" x14ac:dyDescent="0.45">
      <c r="A158" t="s">
        <v>291</v>
      </c>
      <c r="B158">
        <v>53.139108729999997</v>
      </c>
      <c r="C158" s="2">
        <v>123456789</v>
      </c>
      <c r="D158" s="2">
        <v>123456789</v>
      </c>
    </row>
    <row r="159" spans="1:4" x14ac:dyDescent="0.45">
      <c r="A159" t="s">
        <v>292</v>
      </c>
      <c r="B159">
        <v>64.617755489999993</v>
      </c>
      <c r="C159" s="2">
        <v>123456789</v>
      </c>
      <c r="D159" s="2">
        <v>123456789</v>
      </c>
    </row>
    <row r="160" spans="1:4" x14ac:dyDescent="0.45">
      <c r="A160" t="s">
        <v>293</v>
      </c>
      <c r="B160">
        <v>69.048367220000003</v>
      </c>
      <c r="C160" s="2">
        <v>123456789</v>
      </c>
      <c r="D160" s="2">
        <v>123456789</v>
      </c>
    </row>
    <row r="161" spans="1:4" x14ac:dyDescent="0.45">
      <c r="A161" t="s">
        <v>294</v>
      </c>
      <c r="B161">
        <v>69.795979059999993</v>
      </c>
      <c r="C161" s="2">
        <v>123456789</v>
      </c>
      <c r="D161" s="2">
        <v>123456789</v>
      </c>
    </row>
    <row r="162" spans="1:4" x14ac:dyDescent="0.45">
      <c r="A162" t="s">
        <v>295</v>
      </c>
      <c r="B162">
        <v>70.964991679999997</v>
      </c>
      <c r="C162" s="2">
        <v>123456789</v>
      </c>
      <c r="D162" s="2">
        <v>123456789</v>
      </c>
    </row>
    <row r="163" spans="1:4" x14ac:dyDescent="0.45">
      <c r="A163" t="s">
        <v>296</v>
      </c>
      <c r="B163">
        <v>66.988585220000004</v>
      </c>
      <c r="C163" s="2">
        <v>123456789</v>
      </c>
      <c r="D163" s="2">
        <v>123456789</v>
      </c>
    </row>
    <row r="164" spans="1:4" x14ac:dyDescent="0.45">
      <c r="A164" t="s">
        <v>297</v>
      </c>
      <c r="B164">
        <v>63.353131050000002</v>
      </c>
      <c r="C164" s="2">
        <v>123456789</v>
      </c>
      <c r="D164" s="2">
        <v>123456789</v>
      </c>
    </row>
    <row r="165" spans="1:4" x14ac:dyDescent="0.45">
      <c r="A165" t="s">
        <v>298</v>
      </c>
      <c r="B165">
        <v>64.512151169999996</v>
      </c>
      <c r="C165" s="2">
        <v>123456789</v>
      </c>
      <c r="D165" s="2">
        <v>123456789</v>
      </c>
    </row>
    <row r="166" spans="1:4" x14ac:dyDescent="0.45">
      <c r="A166" t="s">
        <v>299</v>
      </c>
      <c r="B166">
        <v>67.717891339999994</v>
      </c>
      <c r="C166" s="2">
        <v>123456789</v>
      </c>
      <c r="D166" s="2">
        <v>123456789</v>
      </c>
    </row>
    <row r="167" spans="1:4" x14ac:dyDescent="0.45">
      <c r="A167" t="s">
        <v>300</v>
      </c>
      <c r="B167">
        <v>64.848318840000005</v>
      </c>
      <c r="C167" s="2">
        <v>123456789</v>
      </c>
      <c r="D167" s="2">
        <v>123456789</v>
      </c>
    </row>
    <row r="168" spans="1:4" x14ac:dyDescent="0.45">
      <c r="A168" t="s">
        <v>301</v>
      </c>
      <c r="B168">
        <v>62.307951180000003</v>
      </c>
      <c r="C168" s="2">
        <v>123456789</v>
      </c>
      <c r="D168" s="2">
        <v>123456789</v>
      </c>
    </row>
    <row r="169" spans="1:4" x14ac:dyDescent="0.45">
      <c r="A169" t="s">
        <v>302</v>
      </c>
      <c r="B169">
        <v>62.938735729999998</v>
      </c>
      <c r="C169" s="2">
        <v>123456789</v>
      </c>
      <c r="D169" s="2">
        <v>123456789</v>
      </c>
    </row>
    <row r="170" spans="1:4" x14ac:dyDescent="0.45">
      <c r="A170" t="s">
        <v>303</v>
      </c>
      <c r="B170">
        <v>67.44639042</v>
      </c>
      <c r="C170" s="2">
        <v>123456789</v>
      </c>
      <c r="D170" s="2">
        <v>123456789</v>
      </c>
    </row>
    <row r="171" spans="1:4" x14ac:dyDescent="0.45">
      <c r="A171" t="s">
        <v>304</v>
      </c>
      <c r="B171">
        <v>64.79772509</v>
      </c>
      <c r="C171" s="2">
        <v>123456789</v>
      </c>
      <c r="D171" s="2">
        <v>123456789</v>
      </c>
    </row>
    <row r="172" spans="1:4" x14ac:dyDescent="0.45">
      <c r="A172" t="s">
        <v>305</v>
      </c>
      <c r="B172">
        <v>66.530946540000002</v>
      </c>
      <c r="C172" s="2">
        <v>123456789</v>
      </c>
      <c r="D172" s="2">
        <v>123456789</v>
      </c>
    </row>
    <row r="173" spans="1:4" x14ac:dyDescent="0.45">
      <c r="A173" t="s">
        <v>306</v>
      </c>
      <c r="B173">
        <v>65.056192199999998</v>
      </c>
      <c r="C173" s="2">
        <v>123456789</v>
      </c>
      <c r="D173" s="2">
        <v>123456789</v>
      </c>
    </row>
    <row r="174" spans="1:4" x14ac:dyDescent="0.45">
      <c r="A174" t="s">
        <v>307</v>
      </c>
      <c r="B174">
        <v>68.316626850000006</v>
      </c>
      <c r="C174" s="2">
        <v>123456789</v>
      </c>
      <c r="D174" s="2">
        <v>123456789</v>
      </c>
    </row>
    <row r="175" spans="1:4" x14ac:dyDescent="0.45">
      <c r="A175" t="s">
        <v>308</v>
      </c>
      <c r="B175">
        <v>69.363717350000002</v>
      </c>
      <c r="C175" s="2">
        <v>123456789</v>
      </c>
      <c r="D175" s="2">
        <v>123456789</v>
      </c>
    </row>
    <row r="176" spans="1:4" x14ac:dyDescent="0.45">
      <c r="A176" t="s">
        <v>309</v>
      </c>
      <c r="B176">
        <v>72.179387500000004</v>
      </c>
      <c r="C176" s="2">
        <v>123456789</v>
      </c>
      <c r="D176" s="2">
        <v>123456789</v>
      </c>
    </row>
    <row r="177" spans="1:4" x14ac:dyDescent="0.45">
      <c r="A177" t="s">
        <v>310</v>
      </c>
      <c r="B177">
        <v>72.596774780000004</v>
      </c>
      <c r="C177" s="2">
        <v>123456789</v>
      </c>
      <c r="D177" s="2">
        <v>123456789</v>
      </c>
    </row>
    <row r="178" spans="1:4" x14ac:dyDescent="0.45">
      <c r="A178" t="s">
        <v>311</v>
      </c>
      <c r="B178">
        <v>75.036331000000004</v>
      </c>
      <c r="C178" s="2">
        <v>123456789</v>
      </c>
      <c r="D178" s="2">
        <v>123456789</v>
      </c>
    </row>
    <row r="179" spans="1:4" x14ac:dyDescent="0.45">
      <c r="A179" t="s">
        <v>312</v>
      </c>
      <c r="B179">
        <v>74.329214859999993</v>
      </c>
      <c r="C179" s="2">
        <v>123456789</v>
      </c>
      <c r="D179" s="2">
        <v>123456789</v>
      </c>
    </row>
    <row r="180" spans="1:4" x14ac:dyDescent="0.45">
      <c r="A180" t="s">
        <v>313</v>
      </c>
      <c r="B180">
        <v>71.651538630000005</v>
      </c>
      <c r="C180" s="2">
        <v>123456789</v>
      </c>
      <c r="D180" s="2">
        <v>123456789</v>
      </c>
    </row>
    <row r="181" spans="1:4" x14ac:dyDescent="0.45">
      <c r="A181" t="s">
        <v>314</v>
      </c>
      <c r="B181">
        <v>70.643506709999997</v>
      </c>
      <c r="C181" s="2">
        <v>123456789</v>
      </c>
      <c r="D181" s="2">
        <v>123456789</v>
      </c>
    </row>
    <row r="182" spans="1:4" x14ac:dyDescent="0.45">
      <c r="A182" t="s">
        <v>315</v>
      </c>
      <c r="B182">
        <v>71.949486500000006</v>
      </c>
      <c r="C182" s="2">
        <v>123456789</v>
      </c>
      <c r="D182" s="2">
        <v>123456789</v>
      </c>
    </row>
    <row r="183" spans="1:4" x14ac:dyDescent="0.45">
      <c r="A183" t="s">
        <v>316</v>
      </c>
      <c r="B183">
        <v>71.746588029999998</v>
      </c>
      <c r="C183" s="2">
        <v>123456789</v>
      </c>
      <c r="D183" s="2">
        <v>123456789</v>
      </c>
    </row>
    <row r="184" spans="1:4" x14ac:dyDescent="0.45">
      <c r="A184" t="s">
        <v>317</v>
      </c>
      <c r="B184">
        <v>70.624059919999993</v>
      </c>
      <c r="C184" s="2">
        <v>123456789</v>
      </c>
      <c r="D184" s="2">
        <v>123456789</v>
      </c>
    </row>
    <row r="185" spans="1:4" x14ac:dyDescent="0.45">
      <c r="A185" t="s">
        <v>318</v>
      </c>
      <c r="B185">
        <v>68.799344880000007</v>
      </c>
      <c r="C185" s="2">
        <v>123456789</v>
      </c>
      <c r="D185" s="2">
        <v>123456789</v>
      </c>
    </row>
    <row r="186" spans="1:4" x14ac:dyDescent="0.45">
      <c r="A186" t="s">
        <v>319</v>
      </c>
      <c r="B186">
        <v>68.549926069999998</v>
      </c>
      <c r="C186" s="2">
        <v>123456789</v>
      </c>
      <c r="D186" s="2">
        <v>123456789</v>
      </c>
    </row>
    <row r="187" spans="1:4" x14ac:dyDescent="0.45">
      <c r="A187" t="s">
        <v>320</v>
      </c>
      <c r="B187">
        <v>68.922141859999996</v>
      </c>
      <c r="C187" s="2">
        <v>123456789</v>
      </c>
      <c r="D187" s="2">
        <v>123456789</v>
      </c>
    </row>
    <row r="188" spans="1:4" x14ac:dyDescent="0.45">
      <c r="A188" t="s">
        <v>321</v>
      </c>
      <c r="B188">
        <v>64.146891690000004</v>
      </c>
      <c r="C188" s="2">
        <v>123456789</v>
      </c>
      <c r="D188" s="2">
        <v>123456789</v>
      </c>
    </row>
    <row r="189" spans="1:4" x14ac:dyDescent="0.45">
      <c r="A189" t="s">
        <v>322</v>
      </c>
      <c r="B189">
        <v>68.094379599999996</v>
      </c>
      <c r="C189" s="2">
        <v>123456789</v>
      </c>
      <c r="D189" s="2">
        <v>123456789</v>
      </c>
    </row>
    <row r="190" spans="1:4" x14ac:dyDescent="0.45">
      <c r="A190" t="s">
        <v>323</v>
      </c>
      <c r="B190">
        <v>70.791112530000007</v>
      </c>
      <c r="C190" s="2">
        <v>123456789</v>
      </c>
      <c r="D190" s="2">
        <v>123456789</v>
      </c>
    </row>
    <row r="191" spans="1:4" x14ac:dyDescent="0.45">
      <c r="A191" t="s">
        <v>324</v>
      </c>
      <c r="B191">
        <v>67.382070179999999</v>
      </c>
      <c r="C191" s="2">
        <v>123456789</v>
      </c>
      <c r="D191" s="2">
        <v>123456789</v>
      </c>
    </row>
    <row r="192" spans="1:4" x14ac:dyDescent="0.45">
      <c r="A192" t="s">
        <v>325</v>
      </c>
      <c r="B192">
        <v>65.882126819999996</v>
      </c>
      <c r="C192" s="2">
        <v>123456789</v>
      </c>
      <c r="D192" s="2">
        <v>123456789</v>
      </c>
    </row>
    <row r="193" spans="1:4" x14ac:dyDescent="0.45">
      <c r="A193" t="s">
        <v>326</v>
      </c>
      <c r="B193">
        <v>66.511000749999994</v>
      </c>
      <c r="C193" s="2">
        <v>123456789</v>
      </c>
      <c r="D193" s="2">
        <v>123456789</v>
      </c>
    </row>
    <row r="194" spans="1:4" x14ac:dyDescent="0.45">
      <c r="A194" t="s">
        <v>327</v>
      </c>
      <c r="B194">
        <v>68.213424799999999</v>
      </c>
      <c r="C194" s="2">
        <v>123456789</v>
      </c>
      <c r="D194" s="2">
        <v>123456789</v>
      </c>
    </row>
    <row r="195" spans="1:4" x14ac:dyDescent="0.45">
      <c r="A195" t="s">
        <v>328</v>
      </c>
      <c r="B195">
        <v>67.456919990000003</v>
      </c>
      <c r="C195" s="2">
        <v>123456789</v>
      </c>
      <c r="D195" s="2">
        <v>123456789</v>
      </c>
    </row>
    <row r="196" spans="1:4" x14ac:dyDescent="0.45">
      <c r="A196" t="s">
        <v>329</v>
      </c>
      <c r="B196">
        <v>66.536373810000001</v>
      </c>
      <c r="C196" s="2">
        <v>123456789</v>
      </c>
      <c r="D196" s="2">
        <v>123456789</v>
      </c>
    </row>
    <row r="197" spans="1:4" x14ac:dyDescent="0.45">
      <c r="A197" t="s">
        <v>330</v>
      </c>
      <c r="B197">
        <v>62.554503330000003</v>
      </c>
      <c r="C197" s="2">
        <v>123456789</v>
      </c>
      <c r="D197" s="2">
        <v>123456789</v>
      </c>
    </row>
    <row r="198" spans="1:4" x14ac:dyDescent="0.45">
      <c r="A198" t="s">
        <v>331</v>
      </c>
      <c r="B198">
        <v>61.865650760000001</v>
      </c>
      <c r="C198" s="2">
        <v>123456789</v>
      </c>
      <c r="D198" s="2">
        <v>123456789</v>
      </c>
    </row>
    <row r="199" spans="1:4" x14ac:dyDescent="0.45">
      <c r="A199" t="s">
        <v>332</v>
      </c>
      <c r="B199">
        <v>65.337118140000001</v>
      </c>
      <c r="C199" s="2">
        <v>123456789</v>
      </c>
      <c r="D199" s="2">
        <v>123456789</v>
      </c>
    </row>
    <row r="200" spans="1:4" x14ac:dyDescent="0.45">
      <c r="A200" t="s">
        <v>333</v>
      </c>
      <c r="B200">
        <v>61.70581516</v>
      </c>
      <c r="C200" s="2">
        <v>123456789</v>
      </c>
      <c r="D200" s="2">
        <v>123456789</v>
      </c>
    </row>
    <row r="201" spans="1:4" x14ac:dyDescent="0.45">
      <c r="A201" t="s">
        <v>334</v>
      </c>
      <c r="B201">
        <v>64.184736009999995</v>
      </c>
      <c r="C201" s="2">
        <v>123456789</v>
      </c>
      <c r="D201" s="2">
        <v>123456789</v>
      </c>
    </row>
    <row r="202" spans="1:4" x14ac:dyDescent="0.45">
      <c r="A202" t="s">
        <v>335</v>
      </c>
      <c r="B202">
        <v>64.264854709999994</v>
      </c>
      <c r="C202" s="2">
        <v>123456789</v>
      </c>
      <c r="D202" s="2">
        <v>123456789</v>
      </c>
    </row>
    <row r="203" spans="1:4" x14ac:dyDescent="0.45">
      <c r="A203" t="s">
        <v>336</v>
      </c>
      <c r="B203">
        <v>60.230700390000003</v>
      </c>
      <c r="C203" s="2">
        <v>123456789</v>
      </c>
      <c r="D203" s="2">
        <v>123456789</v>
      </c>
    </row>
    <row r="204" spans="1:4" x14ac:dyDescent="0.45">
      <c r="A204" t="s">
        <v>337</v>
      </c>
      <c r="B204">
        <v>68.584992459999995</v>
      </c>
      <c r="C204" s="2">
        <v>123456789</v>
      </c>
      <c r="D204" s="2">
        <v>123456789</v>
      </c>
    </row>
    <row r="205" spans="1:4" x14ac:dyDescent="0.45">
      <c r="A205" t="s">
        <v>338</v>
      </c>
      <c r="B205">
        <v>71.022374729999996</v>
      </c>
      <c r="C205" s="2">
        <v>123456789</v>
      </c>
      <c r="D205" s="2">
        <v>123456789</v>
      </c>
    </row>
    <row r="206" spans="1:4" x14ac:dyDescent="0.45">
      <c r="A206" t="s">
        <v>339</v>
      </c>
      <c r="B206">
        <v>76.485891089999996</v>
      </c>
      <c r="C206" s="2">
        <v>123456789</v>
      </c>
      <c r="D206" s="2">
        <v>123456789</v>
      </c>
    </row>
    <row r="207" spans="1:4" x14ac:dyDescent="0.45">
      <c r="A207" t="s">
        <v>340</v>
      </c>
      <c r="B207">
        <v>78.281400840000003</v>
      </c>
      <c r="C207" s="2">
        <v>123456789</v>
      </c>
      <c r="D207" s="2">
        <v>123456789</v>
      </c>
    </row>
    <row r="208" spans="1:4" x14ac:dyDescent="0.45">
      <c r="A208" t="s">
        <v>341</v>
      </c>
      <c r="B208">
        <v>75.536467029999997</v>
      </c>
      <c r="C208" s="2">
        <v>123456789</v>
      </c>
      <c r="D208" s="2">
        <v>123456789</v>
      </c>
    </row>
    <row r="209" spans="1:4" x14ac:dyDescent="0.45">
      <c r="A209" t="s">
        <v>342</v>
      </c>
      <c r="B209">
        <v>73.91435156</v>
      </c>
      <c r="C209" s="2">
        <v>123456789</v>
      </c>
      <c r="D209" s="2">
        <v>123456789</v>
      </c>
    </row>
    <row r="210" spans="1:4" x14ac:dyDescent="0.45">
      <c r="A210" t="s">
        <v>343</v>
      </c>
      <c r="B210">
        <v>74.950051189999996</v>
      </c>
      <c r="C210" s="2">
        <v>123456789</v>
      </c>
      <c r="D210" s="2">
        <v>123456789</v>
      </c>
    </row>
    <row r="211" spans="1:4" x14ac:dyDescent="0.45">
      <c r="A211" t="s">
        <v>344</v>
      </c>
      <c r="B211">
        <v>66.730309410000004</v>
      </c>
      <c r="C211" s="2">
        <v>123456789</v>
      </c>
      <c r="D211" s="2">
        <v>123456789</v>
      </c>
    </row>
    <row r="212" spans="1:4" x14ac:dyDescent="0.45">
      <c r="A212" t="s">
        <v>345</v>
      </c>
      <c r="B212">
        <v>63.198314860000004</v>
      </c>
      <c r="C212" s="2">
        <v>123456789</v>
      </c>
      <c r="D212" s="2">
        <v>123456789</v>
      </c>
    </row>
    <row r="213" spans="1:4" x14ac:dyDescent="0.45">
      <c r="A213" t="s">
        <v>346</v>
      </c>
      <c r="B213">
        <v>60.174003159999998</v>
      </c>
      <c r="C213" s="2">
        <v>123456789</v>
      </c>
      <c r="D213" s="2">
        <v>123456789</v>
      </c>
    </row>
    <row r="214" spans="1:4" x14ac:dyDescent="0.45">
      <c r="A214" t="s">
        <v>347</v>
      </c>
      <c r="B214">
        <v>69.881727479999995</v>
      </c>
      <c r="C214" s="2">
        <v>123456789</v>
      </c>
      <c r="D214" s="2">
        <v>123456789</v>
      </c>
    </row>
    <row r="215" spans="1:4" x14ac:dyDescent="0.45">
      <c r="A215" t="s">
        <v>348</v>
      </c>
      <c r="B215">
        <v>70.515345100000005</v>
      </c>
      <c r="C215" s="2">
        <v>123456789</v>
      </c>
      <c r="D215" s="2">
        <v>123456789</v>
      </c>
    </row>
    <row r="216" spans="1:4" x14ac:dyDescent="0.45">
      <c r="A216" t="s">
        <v>349</v>
      </c>
      <c r="B216">
        <v>68.878299170000005</v>
      </c>
      <c r="C216" s="2">
        <v>123456789</v>
      </c>
      <c r="D216" s="2">
        <v>123456789</v>
      </c>
    </row>
    <row r="217" spans="1:4" x14ac:dyDescent="0.45">
      <c r="A217" t="s">
        <v>350</v>
      </c>
      <c r="B217">
        <v>68.286098100000004</v>
      </c>
      <c r="C217" s="2">
        <v>123456789</v>
      </c>
      <c r="D217" s="2">
        <v>123456789</v>
      </c>
    </row>
    <row r="218" spans="1:4" x14ac:dyDescent="0.45">
      <c r="A218" t="s">
        <v>351</v>
      </c>
      <c r="B218">
        <v>72.993944220000003</v>
      </c>
      <c r="C218" s="2">
        <v>123456789</v>
      </c>
      <c r="D218" s="2">
        <v>123456789</v>
      </c>
    </row>
    <row r="219" spans="1:4" x14ac:dyDescent="0.45">
      <c r="A219" t="s">
        <v>352</v>
      </c>
      <c r="B219">
        <v>71.788068809999999</v>
      </c>
      <c r="C219" s="2">
        <v>123456789</v>
      </c>
      <c r="D219" s="2">
        <v>123456789</v>
      </c>
    </row>
    <row r="220" spans="1:4" x14ac:dyDescent="0.45">
      <c r="A220" t="s">
        <v>353</v>
      </c>
      <c r="B220">
        <v>72.972374569999999</v>
      </c>
      <c r="C220" s="2">
        <v>123456789</v>
      </c>
      <c r="D220" s="2">
        <v>123456789</v>
      </c>
    </row>
    <row r="221" spans="1:4" x14ac:dyDescent="0.45">
      <c r="A221" t="s">
        <v>354</v>
      </c>
      <c r="B221">
        <v>67.640093809999996</v>
      </c>
      <c r="C221" s="2">
        <v>123456789</v>
      </c>
      <c r="D221" s="2">
        <v>123456789</v>
      </c>
    </row>
    <row r="222" spans="1:4" x14ac:dyDescent="0.45">
      <c r="A222" t="s">
        <v>355</v>
      </c>
      <c r="B222">
        <v>65.427876580000003</v>
      </c>
      <c r="C222" s="2">
        <v>123456789</v>
      </c>
      <c r="D222" s="2">
        <v>123456789</v>
      </c>
    </row>
    <row r="223" spans="1:4" x14ac:dyDescent="0.45">
      <c r="A223" t="s">
        <v>356</v>
      </c>
      <c r="B223">
        <v>63.496063540000002</v>
      </c>
      <c r="C223" s="2">
        <v>123456789</v>
      </c>
      <c r="D223" s="2">
        <v>123456789</v>
      </c>
    </row>
    <row r="224" spans="1:4" x14ac:dyDescent="0.45">
      <c r="A224" t="s">
        <v>357</v>
      </c>
      <c r="B224">
        <v>66.791364599999994</v>
      </c>
      <c r="C224" s="2">
        <v>123456789</v>
      </c>
      <c r="D224" s="2">
        <v>123456789</v>
      </c>
    </row>
    <row r="225" spans="1:4" x14ac:dyDescent="0.45">
      <c r="A225" t="s">
        <v>438</v>
      </c>
      <c r="B225">
        <v>68.572810869999998</v>
      </c>
      <c r="C225" s="2">
        <v>123456789</v>
      </c>
      <c r="D225" s="2">
        <v>123456789</v>
      </c>
    </row>
    <row r="226" spans="1:4" x14ac:dyDescent="0.45">
      <c r="A226" t="s">
        <v>441</v>
      </c>
      <c r="B226">
        <v>68.528528030000004</v>
      </c>
      <c r="C226" s="2">
        <v>123456789</v>
      </c>
      <c r="D226" s="2">
        <v>123456789</v>
      </c>
    </row>
  </sheetData>
  <phoneticPr fontId="3"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BB23-8634-462B-BE4C-F9A10B2885F9}">
  <dimension ref="A1:D226"/>
  <sheetViews>
    <sheetView topLeftCell="A103" workbookViewId="0">
      <selection activeCell="P122" sqref="P122"/>
    </sheetView>
  </sheetViews>
  <sheetFormatPr defaultRowHeight="14.25" x14ac:dyDescent="0.45"/>
  <sheetData>
    <row r="1" spans="1:4" x14ac:dyDescent="0.45">
      <c r="B1" t="s">
        <v>6</v>
      </c>
      <c r="C1" t="s">
        <v>133</v>
      </c>
      <c r="D1" t="s">
        <v>134</v>
      </c>
    </row>
    <row r="2" spans="1:4" x14ac:dyDescent="0.45">
      <c r="A2" t="s">
        <v>135</v>
      </c>
      <c r="B2" s="2">
        <v>123456789</v>
      </c>
      <c r="C2" s="2">
        <v>123456789</v>
      </c>
      <c r="D2" s="2">
        <v>123456789</v>
      </c>
    </row>
    <row r="3" spans="1:4" x14ac:dyDescent="0.45">
      <c r="A3" t="s">
        <v>136</v>
      </c>
      <c r="B3" s="2">
        <v>123456789</v>
      </c>
      <c r="C3" s="2">
        <v>123456789</v>
      </c>
      <c r="D3" s="2">
        <v>123456789</v>
      </c>
    </row>
    <row r="4" spans="1:4" x14ac:dyDescent="0.45">
      <c r="A4" t="s">
        <v>137</v>
      </c>
      <c r="B4" s="2">
        <v>123456789</v>
      </c>
      <c r="C4" s="2">
        <v>123456789</v>
      </c>
      <c r="D4" s="2">
        <v>123456789</v>
      </c>
    </row>
    <row r="5" spans="1:4" x14ac:dyDescent="0.45">
      <c r="A5" t="s">
        <v>138</v>
      </c>
      <c r="B5" s="2">
        <v>123456789</v>
      </c>
      <c r="C5" s="2">
        <v>123456789</v>
      </c>
      <c r="D5" s="2">
        <v>123456789</v>
      </c>
    </row>
    <row r="6" spans="1:4" x14ac:dyDescent="0.45">
      <c r="A6" t="s">
        <v>139</v>
      </c>
      <c r="B6" s="2">
        <v>123456789</v>
      </c>
      <c r="C6" s="2">
        <v>123456789</v>
      </c>
      <c r="D6" s="2">
        <v>123456789</v>
      </c>
    </row>
    <row r="7" spans="1:4" x14ac:dyDescent="0.45">
      <c r="A7" t="s">
        <v>140</v>
      </c>
      <c r="B7" s="2">
        <v>123456789</v>
      </c>
      <c r="C7" s="2">
        <v>123456789</v>
      </c>
      <c r="D7" s="2">
        <v>123456789</v>
      </c>
    </row>
    <row r="8" spans="1:4" x14ac:dyDescent="0.45">
      <c r="A8" t="s">
        <v>141</v>
      </c>
      <c r="B8" s="2">
        <v>123456789</v>
      </c>
      <c r="C8" s="2">
        <v>123456789</v>
      </c>
      <c r="D8" s="2">
        <v>123456789</v>
      </c>
    </row>
    <row r="9" spans="1:4" x14ac:dyDescent="0.45">
      <c r="A9" t="s">
        <v>142</v>
      </c>
      <c r="B9" s="2">
        <v>123456789</v>
      </c>
      <c r="C9" s="2">
        <v>123456789</v>
      </c>
      <c r="D9" s="2">
        <v>123456789</v>
      </c>
    </row>
    <row r="10" spans="1:4" x14ac:dyDescent="0.45">
      <c r="A10" t="s">
        <v>143</v>
      </c>
      <c r="B10" s="2">
        <v>123456789</v>
      </c>
      <c r="C10" s="2">
        <v>123456789</v>
      </c>
      <c r="D10" s="2">
        <v>123456789</v>
      </c>
    </row>
    <row r="11" spans="1:4" x14ac:dyDescent="0.45">
      <c r="A11" t="s">
        <v>144</v>
      </c>
      <c r="B11" s="2">
        <v>123456789</v>
      </c>
      <c r="C11" s="2">
        <v>123456789</v>
      </c>
      <c r="D11" s="2">
        <v>123456789</v>
      </c>
    </row>
    <row r="12" spans="1:4" x14ac:dyDescent="0.45">
      <c r="A12" t="s">
        <v>145</v>
      </c>
      <c r="B12" s="2">
        <v>123456789</v>
      </c>
      <c r="C12" s="2">
        <v>123456789</v>
      </c>
      <c r="D12" s="2">
        <v>123456789</v>
      </c>
    </row>
    <row r="13" spans="1:4" x14ac:dyDescent="0.45">
      <c r="A13" t="s">
        <v>146</v>
      </c>
      <c r="B13" s="2">
        <v>123456789</v>
      </c>
      <c r="C13" s="2">
        <v>123456789</v>
      </c>
      <c r="D13" s="2">
        <v>123456789</v>
      </c>
    </row>
    <row r="14" spans="1:4" x14ac:dyDescent="0.45">
      <c r="A14" t="s">
        <v>147</v>
      </c>
      <c r="B14" s="2">
        <v>123456789</v>
      </c>
      <c r="C14" s="2">
        <v>123456789</v>
      </c>
      <c r="D14" s="2">
        <v>123456789</v>
      </c>
    </row>
    <row r="15" spans="1:4" x14ac:dyDescent="0.45">
      <c r="A15" t="s">
        <v>148</v>
      </c>
      <c r="B15" s="2">
        <v>123456789</v>
      </c>
      <c r="C15" s="2">
        <v>123456789</v>
      </c>
      <c r="D15" s="2">
        <v>123456789</v>
      </c>
    </row>
    <row r="16" spans="1:4" x14ac:dyDescent="0.45">
      <c r="A16" t="s">
        <v>149</v>
      </c>
      <c r="B16" s="2">
        <v>123456789</v>
      </c>
      <c r="C16" s="2">
        <v>123456789</v>
      </c>
      <c r="D16" s="2">
        <v>123456789</v>
      </c>
    </row>
    <row r="17" spans="1:4" x14ac:dyDescent="0.45">
      <c r="A17" t="s">
        <v>150</v>
      </c>
      <c r="B17" s="2">
        <v>123456789</v>
      </c>
      <c r="C17" s="2">
        <v>123456789</v>
      </c>
      <c r="D17" s="2">
        <v>123456789</v>
      </c>
    </row>
    <row r="18" spans="1:4" x14ac:dyDescent="0.45">
      <c r="A18" t="s">
        <v>151</v>
      </c>
      <c r="B18" s="2">
        <v>123456789</v>
      </c>
      <c r="C18" s="2">
        <v>123456789</v>
      </c>
      <c r="D18" s="2">
        <v>123456789</v>
      </c>
    </row>
    <row r="19" spans="1:4" x14ac:dyDescent="0.45">
      <c r="A19" t="s">
        <v>152</v>
      </c>
      <c r="B19" s="2">
        <v>123456789</v>
      </c>
      <c r="C19" s="2">
        <v>123456789</v>
      </c>
      <c r="D19" s="2">
        <v>123456789</v>
      </c>
    </row>
    <row r="20" spans="1:4" x14ac:dyDescent="0.45">
      <c r="A20" t="s">
        <v>153</v>
      </c>
      <c r="B20" s="2">
        <v>123456789</v>
      </c>
      <c r="C20" s="2">
        <v>123456789</v>
      </c>
      <c r="D20" s="2">
        <v>123456789</v>
      </c>
    </row>
    <row r="21" spans="1:4" x14ac:dyDescent="0.45">
      <c r="A21" t="s">
        <v>154</v>
      </c>
      <c r="B21" s="2">
        <v>123456789</v>
      </c>
      <c r="C21" s="2">
        <v>123456789</v>
      </c>
      <c r="D21" s="2">
        <v>123456789</v>
      </c>
    </row>
    <row r="22" spans="1:4" x14ac:dyDescent="0.45">
      <c r="A22" t="s">
        <v>155</v>
      </c>
      <c r="B22" s="2">
        <v>123456789</v>
      </c>
      <c r="C22" s="2">
        <v>123456789</v>
      </c>
      <c r="D22" s="2">
        <v>123456789</v>
      </c>
    </row>
    <row r="23" spans="1:4" x14ac:dyDescent="0.45">
      <c r="A23" t="s">
        <v>156</v>
      </c>
      <c r="B23" s="2">
        <v>123456789</v>
      </c>
      <c r="C23" s="2">
        <v>123456789</v>
      </c>
      <c r="D23" s="2">
        <v>123456789</v>
      </c>
    </row>
    <row r="24" spans="1:4" x14ac:dyDescent="0.45">
      <c r="A24" t="s">
        <v>157</v>
      </c>
      <c r="B24" s="2">
        <v>123456789</v>
      </c>
      <c r="C24" s="2">
        <v>123456789</v>
      </c>
      <c r="D24" s="2">
        <v>123456789</v>
      </c>
    </row>
    <row r="25" spans="1:4" x14ac:dyDescent="0.45">
      <c r="A25" t="s">
        <v>158</v>
      </c>
      <c r="B25" s="2">
        <v>123456789</v>
      </c>
      <c r="C25" s="2">
        <v>123456789</v>
      </c>
      <c r="D25" s="2">
        <v>123456789</v>
      </c>
    </row>
    <row r="26" spans="1:4" x14ac:dyDescent="0.45">
      <c r="A26" t="s">
        <v>159</v>
      </c>
      <c r="B26" s="2">
        <v>123456789</v>
      </c>
      <c r="C26" s="2">
        <v>123456789</v>
      </c>
      <c r="D26" s="2">
        <v>123456789</v>
      </c>
    </row>
    <row r="27" spans="1:4" x14ac:dyDescent="0.45">
      <c r="A27" t="s">
        <v>160</v>
      </c>
      <c r="B27" s="2">
        <v>123456789</v>
      </c>
      <c r="C27" s="2">
        <v>123456789</v>
      </c>
      <c r="D27" s="2">
        <v>123456789</v>
      </c>
    </row>
    <row r="28" spans="1:4" x14ac:dyDescent="0.45">
      <c r="A28" t="s">
        <v>161</v>
      </c>
      <c r="B28" s="2">
        <v>123456789</v>
      </c>
      <c r="C28" s="2">
        <v>123456789</v>
      </c>
      <c r="D28" s="2">
        <v>123456789</v>
      </c>
    </row>
    <row r="29" spans="1:4" x14ac:dyDescent="0.45">
      <c r="A29" t="s">
        <v>162</v>
      </c>
      <c r="B29" s="2">
        <v>123456789</v>
      </c>
      <c r="C29" s="2">
        <v>123456789</v>
      </c>
      <c r="D29" s="2">
        <v>123456789</v>
      </c>
    </row>
    <row r="30" spans="1:4" x14ac:dyDescent="0.45">
      <c r="A30" t="s">
        <v>163</v>
      </c>
      <c r="B30" s="2">
        <v>123456789</v>
      </c>
      <c r="C30" s="2">
        <v>123456789</v>
      </c>
      <c r="D30" s="2">
        <v>123456789</v>
      </c>
    </row>
    <row r="31" spans="1:4" x14ac:dyDescent="0.45">
      <c r="A31" t="s">
        <v>164</v>
      </c>
      <c r="B31" s="2">
        <v>123456789</v>
      </c>
      <c r="C31" s="2">
        <v>123456789</v>
      </c>
      <c r="D31" s="2">
        <v>123456789</v>
      </c>
    </row>
    <row r="32" spans="1:4" x14ac:dyDescent="0.45">
      <c r="A32" t="s">
        <v>165</v>
      </c>
      <c r="B32" s="2">
        <v>123456789</v>
      </c>
      <c r="C32" s="2">
        <v>123456789</v>
      </c>
      <c r="D32" s="2">
        <v>123456789</v>
      </c>
    </row>
    <row r="33" spans="1:4" x14ac:dyDescent="0.45">
      <c r="A33" t="s">
        <v>166</v>
      </c>
      <c r="B33" s="2">
        <v>123456789</v>
      </c>
      <c r="C33" s="2">
        <v>123456789</v>
      </c>
      <c r="D33" s="2">
        <v>123456789</v>
      </c>
    </row>
    <row r="34" spans="1:4" x14ac:dyDescent="0.45">
      <c r="A34" t="s">
        <v>167</v>
      </c>
      <c r="B34" s="2">
        <v>123456789</v>
      </c>
      <c r="C34" s="2">
        <v>123456789</v>
      </c>
      <c r="D34" s="2">
        <v>123456789</v>
      </c>
    </row>
    <row r="35" spans="1:4" x14ac:dyDescent="0.45">
      <c r="A35" t="s">
        <v>168</v>
      </c>
      <c r="B35" s="2">
        <v>123456789</v>
      </c>
      <c r="C35" s="2">
        <v>123456789</v>
      </c>
      <c r="D35" s="2">
        <v>123456789</v>
      </c>
    </row>
    <row r="36" spans="1:4" x14ac:dyDescent="0.45">
      <c r="A36" t="s">
        <v>169</v>
      </c>
      <c r="B36" s="2">
        <v>123456789</v>
      </c>
      <c r="C36" s="2">
        <v>123456789</v>
      </c>
      <c r="D36" s="2">
        <v>123456789</v>
      </c>
    </row>
    <row r="37" spans="1:4" x14ac:dyDescent="0.45">
      <c r="A37" t="s">
        <v>170</v>
      </c>
      <c r="B37" s="2">
        <v>123456789</v>
      </c>
      <c r="C37" s="2">
        <v>123456789</v>
      </c>
      <c r="D37" s="2">
        <v>123456789</v>
      </c>
    </row>
    <row r="38" spans="1:4" x14ac:dyDescent="0.45">
      <c r="A38" t="s">
        <v>171</v>
      </c>
      <c r="B38" s="2">
        <v>123456789</v>
      </c>
      <c r="C38" s="2">
        <v>123456789</v>
      </c>
      <c r="D38" s="2">
        <v>123456789</v>
      </c>
    </row>
    <row r="39" spans="1:4" x14ac:dyDescent="0.45">
      <c r="A39" t="s">
        <v>172</v>
      </c>
      <c r="B39" s="2">
        <v>123456789</v>
      </c>
      <c r="C39" s="2">
        <v>123456789</v>
      </c>
      <c r="D39" s="2">
        <v>123456789</v>
      </c>
    </row>
    <row r="40" spans="1:4" x14ac:dyDescent="0.45">
      <c r="A40" t="s">
        <v>173</v>
      </c>
      <c r="B40" s="2">
        <v>123456789</v>
      </c>
      <c r="C40" s="2">
        <v>123456789</v>
      </c>
      <c r="D40" s="2">
        <v>123456789</v>
      </c>
    </row>
    <row r="41" spans="1:4" x14ac:dyDescent="0.45">
      <c r="A41" t="s">
        <v>174</v>
      </c>
      <c r="B41" s="2">
        <v>123456789</v>
      </c>
      <c r="C41" s="2">
        <v>123456789</v>
      </c>
      <c r="D41" s="2">
        <v>123456789</v>
      </c>
    </row>
    <row r="42" spans="1:4" x14ac:dyDescent="0.45">
      <c r="A42" t="s">
        <v>175</v>
      </c>
      <c r="B42" s="2">
        <v>123456789</v>
      </c>
      <c r="C42" s="2">
        <v>123456789</v>
      </c>
      <c r="D42" s="2">
        <v>123456789</v>
      </c>
    </row>
    <row r="43" spans="1:4" x14ac:dyDescent="0.45">
      <c r="A43" t="s">
        <v>176</v>
      </c>
      <c r="B43" s="2">
        <v>123456789</v>
      </c>
      <c r="C43" s="2">
        <v>123456789</v>
      </c>
      <c r="D43" s="2">
        <v>123456789</v>
      </c>
    </row>
    <row r="44" spans="1:4" x14ac:dyDescent="0.45">
      <c r="A44" t="s">
        <v>177</v>
      </c>
      <c r="B44" s="2">
        <v>123456789</v>
      </c>
      <c r="C44" s="2">
        <v>123456789</v>
      </c>
      <c r="D44" s="2">
        <v>123456789</v>
      </c>
    </row>
    <row r="45" spans="1:4" x14ac:dyDescent="0.45">
      <c r="A45" t="s">
        <v>178</v>
      </c>
      <c r="B45" s="2">
        <v>123456789</v>
      </c>
      <c r="C45" s="2">
        <v>123456789</v>
      </c>
      <c r="D45" s="2">
        <v>123456789</v>
      </c>
    </row>
    <row r="46" spans="1:4" x14ac:dyDescent="0.45">
      <c r="A46" t="s">
        <v>179</v>
      </c>
      <c r="B46" s="2">
        <v>123456789</v>
      </c>
      <c r="C46" s="2">
        <v>123456789</v>
      </c>
      <c r="D46" s="2">
        <v>123456789</v>
      </c>
    </row>
    <row r="47" spans="1:4" x14ac:dyDescent="0.45">
      <c r="A47" t="s">
        <v>180</v>
      </c>
      <c r="B47" s="2">
        <v>123456789</v>
      </c>
      <c r="C47" s="2">
        <v>123456789</v>
      </c>
      <c r="D47" s="2">
        <v>123456789</v>
      </c>
    </row>
    <row r="48" spans="1:4" x14ac:dyDescent="0.45">
      <c r="A48" t="s">
        <v>181</v>
      </c>
      <c r="B48" s="2">
        <v>123456789</v>
      </c>
      <c r="C48" s="2">
        <v>123456789</v>
      </c>
      <c r="D48" s="2">
        <v>123456789</v>
      </c>
    </row>
    <row r="49" spans="1:4" x14ac:dyDescent="0.45">
      <c r="A49" t="s">
        <v>182</v>
      </c>
      <c r="B49" s="2">
        <v>123456789</v>
      </c>
      <c r="C49" s="2">
        <v>123456789</v>
      </c>
      <c r="D49" s="2">
        <v>123456789</v>
      </c>
    </row>
    <row r="50" spans="1:4" x14ac:dyDescent="0.45">
      <c r="A50" t="s">
        <v>183</v>
      </c>
      <c r="B50" s="2">
        <v>123456789</v>
      </c>
      <c r="C50" s="2">
        <v>123456789</v>
      </c>
      <c r="D50" s="2">
        <v>123456789</v>
      </c>
    </row>
    <row r="51" spans="1:4" x14ac:dyDescent="0.45">
      <c r="A51" t="s">
        <v>184</v>
      </c>
      <c r="B51" s="2">
        <v>123456789</v>
      </c>
      <c r="C51" s="2">
        <v>123456789</v>
      </c>
      <c r="D51" s="2">
        <v>123456789</v>
      </c>
    </row>
    <row r="52" spans="1:4" x14ac:dyDescent="0.45">
      <c r="A52" t="s">
        <v>185</v>
      </c>
      <c r="B52" s="2">
        <v>123456789</v>
      </c>
      <c r="C52" s="2">
        <v>123456789</v>
      </c>
      <c r="D52" s="2">
        <v>123456789</v>
      </c>
    </row>
    <row r="53" spans="1:4" x14ac:dyDescent="0.45">
      <c r="A53" t="s">
        <v>186</v>
      </c>
      <c r="B53" s="2">
        <v>123456789</v>
      </c>
      <c r="C53" s="2">
        <v>123456789</v>
      </c>
      <c r="D53" s="2">
        <v>123456789</v>
      </c>
    </row>
    <row r="54" spans="1:4" x14ac:dyDescent="0.45">
      <c r="A54" t="s">
        <v>187</v>
      </c>
      <c r="B54" s="2">
        <v>123456789</v>
      </c>
      <c r="C54" s="2">
        <v>123456789</v>
      </c>
      <c r="D54" s="2">
        <v>123456789</v>
      </c>
    </row>
    <row r="55" spans="1:4" x14ac:dyDescent="0.45">
      <c r="A55" t="s">
        <v>188</v>
      </c>
      <c r="B55" s="2">
        <v>123456789</v>
      </c>
      <c r="C55" s="2">
        <v>123456789</v>
      </c>
      <c r="D55" s="2">
        <v>123456789</v>
      </c>
    </row>
    <row r="56" spans="1:4" x14ac:dyDescent="0.45">
      <c r="A56" t="s">
        <v>189</v>
      </c>
      <c r="B56" s="2">
        <v>123456789</v>
      </c>
      <c r="C56" s="2">
        <v>123456789</v>
      </c>
      <c r="D56" s="2">
        <v>123456789</v>
      </c>
    </row>
    <row r="57" spans="1:4" x14ac:dyDescent="0.45">
      <c r="A57" t="s">
        <v>190</v>
      </c>
      <c r="B57" s="2">
        <v>123456789</v>
      </c>
      <c r="C57" s="2">
        <v>123456789</v>
      </c>
      <c r="D57" s="2">
        <v>123456789</v>
      </c>
    </row>
    <row r="58" spans="1:4" x14ac:dyDescent="0.45">
      <c r="A58" t="s">
        <v>191</v>
      </c>
      <c r="B58" s="2">
        <v>123456789</v>
      </c>
      <c r="C58" s="2">
        <v>123456789</v>
      </c>
      <c r="D58" s="2">
        <v>123456789</v>
      </c>
    </row>
    <row r="59" spans="1:4" x14ac:dyDescent="0.45">
      <c r="A59" t="s">
        <v>192</v>
      </c>
      <c r="B59" s="2">
        <v>123456789</v>
      </c>
      <c r="C59" s="2">
        <v>123456789</v>
      </c>
      <c r="D59" s="2">
        <v>123456789</v>
      </c>
    </row>
    <row r="60" spans="1:4" x14ac:dyDescent="0.45">
      <c r="A60" t="s">
        <v>193</v>
      </c>
      <c r="B60" s="2">
        <v>123456789</v>
      </c>
      <c r="C60" s="2">
        <v>123456789</v>
      </c>
      <c r="D60" s="2">
        <v>123456789</v>
      </c>
    </row>
    <row r="61" spans="1:4" x14ac:dyDescent="0.45">
      <c r="A61" t="s">
        <v>194</v>
      </c>
      <c r="B61" s="2">
        <v>123456789</v>
      </c>
      <c r="C61" s="2">
        <v>123456789</v>
      </c>
      <c r="D61" s="2">
        <v>123456789</v>
      </c>
    </row>
    <row r="62" spans="1:4" x14ac:dyDescent="0.45">
      <c r="A62" t="s">
        <v>195</v>
      </c>
      <c r="B62" s="2">
        <v>123456789</v>
      </c>
      <c r="C62" s="2">
        <v>123456789</v>
      </c>
      <c r="D62" s="2">
        <v>123456789</v>
      </c>
    </row>
    <row r="63" spans="1:4" x14ac:dyDescent="0.45">
      <c r="A63" t="s">
        <v>196</v>
      </c>
      <c r="B63" s="2">
        <v>123456789</v>
      </c>
      <c r="C63" s="2">
        <v>123456789</v>
      </c>
      <c r="D63" s="2">
        <v>123456789</v>
      </c>
    </row>
    <row r="64" spans="1:4" x14ac:dyDescent="0.45">
      <c r="A64" t="s">
        <v>197</v>
      </c>
      <c r="B64" s="2">
        <v>123456789</v>
      </c>
      <c r="C64" s="2">
        <v>123456789</v>
      </c>
      <c r="D64" s="2">
        <v>123456789</v>
      </c>
    </row>
    <row r="65" spans="1:4" x14ac:dyDescent="0.45">
      <c r="A65" t="s">
        <v>198</v>
      </c>
      <c r="B65" s="2">
        <v>123456789</v>
      </c>
      <c r="C65" s="2">
        <v>123456789</v>
      </c>
      <c r="D65" s="2">
        <v>123456789</v>
      </c>
    </row>
    <row r="66" spans="1:4" x14ac:dyDescent="0.45">
      <c r="A66" t="s">
        <v>199</v>
      </c>
      <c r="B66" s="2">
        <v>123456789</v>
      </c>
      <c r="C66" s="2">
        <v>123456789</v>
      </c>
      <c r="D66" s="2">
        <v>123456789</v>
      </c>
    </row>
    <row r="67" spans="1:4" x14ac:dyDescent="0.45">
      <c r="A67" t="s">
        <v>200</v>
      </c>
      <c r="B67" s="2">
        <v>123456789</v>
      </c>
      <c r="C67" s="2">
        <v>123456789</v>
      </c>
      <c r="D67" s="2">
        <v>123456789</v>
      </c>
    </row>
    <row r="68" spans="1:4" x14ac:dyDescent="0.45">
      <c r="A68" t="s">
        <v>201</v>
      </c>
      <c r="B68" s="2">
        <v>123456789</v>
      </c>
      <c r="C68" s="2">
        <v>123456789</v>
      </c>
      <c r="D68" s="2">
        <v>123456789</v>
      </c>
    </row>
    <row r="69" spans="1:4" x14ac:dyDescent="0.45">
      <c r="A69" t="s">
        <v>202</v>
      </c>
      <c r="B69" s="2">
        <v>123456789</v>
      </c>
      <c r="C69" s="2">
        <v>123456789</v>
      </c>
      <c r="D69" s="2">
        <v>123456789</v>
      </c>
    </row>
    <row r="70" spans="1:4" x14ac:dyDescent="0.45">
      <c r="A70" t="s">
        <v>203</v>
      </c>
      <c r="B70" s="2">
        <v>123456789</v>
      </c>
      <c r="C70" s="2">
        <v>123456789</v>
      </c>
      <c r="D70" s="2">
        <v>123456789</v>
      </c>
    </row>
    <row r="71" spans="1:4" x14ac:dyDescent="0.45">
      <c r="A71" t="s">
        <v>204</v>
      </c>
      <c r="B71" s="2">
        <v>123456789</v>
      </c>
      <c r="C71" s="2">
        <v>123456789</v>
      </c>
      <c r="D71" s="2">
        <v>123456789</v>
      </c>
    </row>
    <row r="72" spans="1:4" x14ac:dyDescent="0.45">
      <c r="A72" t="s">
        <v>205</v>
      </c>
      <c r="B72" s="2">
        <v>123456789</v>
      </c>
      <c r="C72" s="2">
        <v>123456789</v>
      </c>
      <c r="D72" s="2">
        <v>123456789</v>
      </c>
    </row>
    <row r="73" spans="1:4" x14ac:dyDescent="0.45">
      <c r="A73" t="s">
        <v>206</v>
      </c>
      <c r="B73" s="2">
        <v>123456789</v>
      </c>
      <c r="C73" s="2">
        <v>123456789</v>
      </c>
      <c r="D73" s="2">
        <v>123456789</v>
      </c>
    </row>
    <row r="74" spans="1:4" x14ac:dyDescent="0.45">
      <c r="A74" t="s">
        <v>207</v>
      </c>
      <c r="B74" s="2">
        <v>123456789</v>
      </c>
      <c r="C74" s="2">
        <v>123456789</v>
      </c>
      <c r="D74" s="2">
        <v>123456789</v>
      </c>
    </row>
    <row r="75" spans="1:4" x14ac:dyDescent="0.45">
      <c r="A75" t="s">
        <v>208</v>
      </c>
      <c r="B75" s="2">
        <v>123456789</v>
      </c>
      <c r="C75" s="2">
        <v>123456789</v>
      </c>
      <c r="D75" s="2">
        <v>123456789</v>
      </c>
    </row>
    <row r="76" spans="1:4" x14ac:dyDescent="0.45">
      <c r="A76" t="s">
        <v>209</v>
      </c>
      <c r="B76" s="2">
        <v>123456789</v>
      </c>
      <c r="C76" s="2">
        <v>123456789</v>
      </c>
      <c r="D76" s="2">
        <v>123456789</v>
      </c>
    </row>
    <row r="77" spans="1:4" x14ac:dyDescent="0.45">
      <c r="A77" t="s">
        <v>210</v>
      </c>
      <c r="B77" s="2">
        <v>123456789</v>
      </c>
      <c r="C77" s="2">
        <v>123456789</v>
      </c>
      <c r="D77" s="2">
        <v>123456789</v>
      </c>
    </row>
    <row r="78" spans="1:4" x14ac:dyDescent="0.45">
      <c r="A78" t="s">
        <v>211</v>
      </c>
      <c r="B78" s="2">
        <v>123456789</v>
      </c>
      <c r="C78" s="2">
        <v>123456789</v>
      </c>
      <c r="D78" s="2">
        <v>123456789</v>
      </c>
    </row>
    <row r="79" spans="1:4" x14ac:dyDescent="0.45">
      <c r="A79" t="s">
        <v>212</v>
      </c>
      <c r="B79" s="2">
        <v>123456789</v>
      </c>
      <c r="C79" s="2">
        <v>123456789</v>
      </c>
      <c r="D79" s="2">
        <v>123456789</v>
      </c>
    </row>
    <row r="80" spans="1:4" x14ac:dyDescent="0.45">
      <c r="A80" t="s">
        <v>213</v>
      </c>
      <c r="B80" s="2">
        <v>123456789</v>
      </c>
      <c r="C80" s="2">
        <v>123456789</v>
      </c>
      <c r="D80" s="2">
        <v>123456789</v>
      </c>
    </row>
    <row r="81" spans="1:4" x14ac:dyDescent="0.45">
      <c r="A81" t="s">
        <v>214</v>
      </c>
      <c r="B81" s="2">
        <v>123456789</v>
      </c>
      <c r="C81" s="2">
        <v>123456789</v>
      </c>
      <c r="D81" s="2">
        <v>123456789</v>
      </c>
    </row>
    <row r="82" spans="1:4" x14ac:dyDescent="0.45">
      <c r="A82" t="s">
        <v>215</v>
      </c>
      <c r="B82" s="2">
        <v>123456789</v>
      </c>
      <c r="C82" s="2">
        <v>123456789</v>
      </c>
      <c r="D82" s="2">
        <v>123456789</v>
      </c>
    </row>
    <row r="83" spans="1:4" x14ac:dyDescent="0.45">
      <c r="A83" t="s">
        <v>216</v>
      </c>
      <c r="B83" s="2">
        <v>123456789</v>
      </c>
      <c r="C83" s="2">
        <v>123456789</v>
      </c>
      <c r="D83" s="2">
        <v>123456789</v>
      </c>
    </row>
    <row r="84" spans="1:4" x14ac:dyDescent="0.45">
      <c r="A84" t="s">
        <v>217</v>
      </c>
      <c r="B84" s="2">
        <v>123456789</v>
      </c>
      <c r="C84" s="2">
        <v>123456789</v>
      </c>
      <c r="D84" s="2">
        <v>123456789</v>
      </c>
    </row>
    <row r="85" spans="1:4" x14ac:dyDescent="0.45">
      <c r="A85" t="s">
        <v>218</v>
      </c>
      <c r="B85" s="2">
        <v>123456789</v>
      </c>
      <c r="C85" s="2">
        <v>123456789</v>
      </c>
      <c r="D85" s="2">
        <v>123456789</v>
      </c>
    </row>
    <row r="86" spans="1:4" x14ac:dyDescent="0.45">
      <c r="A86" t="s">
        <v>219</v>
      </c>
      <c r="B86" s="2">
        <v>123456789</v>
      </c>
      <c r="C86" s="2">
        <v>123456789</v>
      </c>
      <c r="D86" s="2">
        <v>123456789</v>
      </c>
    </row>
    <row r="87" spans="1:4" x14ac:dyDescent="0.45">
      <c r="A87" t="s">
        <v>220</v>
      </c>
      <c r="B87" s="2">
        <v>123456789</v>
      </c>
      <c r="C87" s="2">
        <v>123456789</v>
      </c>
      <c r="D87" s="2">
        <v>123456789</v>
      </c>
    </row>
    <row r="88" spans="1:4" x14ac:dyDescent="0.45">
      <c r="A88" t="s">
        <v>221</v>
      </c>
      <c r="B88" s="2">
        <v>123456789</v>
      </c>
      <c r="C88" s="2">
        <v>123456789</v>
      </c>
      <c r="D88" s="2">
        <v>123456789</v>
      </c>
    </row>
    <row r="89" spans="1:4" x14ac:dyDescent="0.45">
      <c r="A89" t="s">
        <v>222</v>
      </c>
      <c r="B89" s="2">
        <v>123456789</v>
      </c>
      <c r="C89" s="2">
        <v>123456789</v>
      </c>
      <c r="D89" s="2">
        <v>123456789</v>
      </c>
    </row>
    <row r="90" spans="1:4" x14ac:dyDescent="0.45">
      <c r="A90" t="s">
        <v>223</v>
      </c>
      <c r="B90" s="2">
        <v>123456789</v>
      </c>
      <c r="C90" s="2">
        <v>123456789</v>
      </c>
      <c r="D90" s="2">
        <v>123456789</v>
      </c>
    </row>
    <row r="91" spans="1:4" x14ac:dyDescent="0.45">
      <c r="A91" t="s">
        <v>224</v>
      </c>
      <c r="B91" s="2">
        <v>123456789</v>
      </c>
      <c r="C91" s="2">
        <v>123456789</v>
      </c>
      <c r="D91" s="2">
        <v>123456789</v>
      </c>
    </row>
    <row r="92" spans="1:4" x14ac:dyDescent="0.45">
      <c r="A92" t="s">
        <v>225</v>
      </c>
      <c r="B92" s="2">
        <v>123456789</v>
      </c>
      <c r="C92" s="2">
        <v>123456789</v>
      </c>
      <c r="D92" s="2">
        <v>123456789</v>
      </c>
    </row>
    <row r="93" spans="1:4" x14ac:dyDescent="0.45">
      <c r="A93" t="s">
        <v>226</v>
      </c>
      <c r="B93" s="2">
        <v>123456789</v>
      </c>
      <c r="C93" s="2">
        <v>123456789</v>
      </c>
      <c r="D93" s="2">
        <v>123456789</v>
      </c>
    </row>
    <row r="94" spans="1:4" x14ac:dyDescent="0.45">
      <c r="A94" t="s">
        <v>227</v>
      </c>
      <c r="B94" s="2">
        <v>123456789</v>
      </c>
      <c r="C94" s="2">
        <v>123456789</v>
      </c>
      <c r="D94" s="2">
        <v>123456789</v>
      </c>
    </row>
    <row r="95" spans="1:4" x14ac:dyDescent="0.45">
      <c r="A95" t="s">
        <v>228</v>
      </c>
      <c r="B95" s="2">
        <v>123456789</v>
      </c>
      <c r="C95" s="2">
        <v>123456789</v>
      </c>
      <c r="D95" s="2">
        <v>123456789</v>
      </c>
    </row>
    <row r="96" spans="1:4" x14ac:dyDescent="0.45">
      <c r="A96" t="s">
        <v>229</v>
      </c>
      <c r="B96" s="2">
        <v>123456789</v>
      </c>
      <c r="C96" s="2">
        <v>123456789</v>
      </c>
      <c r="D96" s="2">
        <v>123456789</v>
      </c>
    </row>
    <row r="97" spans="1:4" x14ac:dyDescent="0.45">
      <c r="A97" t="s">
        <v>230</v>
      </c>
      <c r="B97" s="2">
        <v>123456789</v>
      </c>
      <c r="C97" s="2">
        <v>123456789</v>
      </c>
      <c r="D97" s="2">
        <v>123456789</v>
      </c>
    </row>
    <row r="98" spans="1:4" x14ac:dyDescent="0.45">
      <c r="A98" t="s">
        <v>231</v>
      </c>
      <c r="B98" s="2">
        <v>123456789</v>
      </c>
      <c r="C98" s="2">
        <v>123456789</v>
      </c>
      <c r="D98" s="2">
        <v>123456789</v>
      </c>
    </row>
    <row r="99" spans="1:4" x14ac:dyDescent="0.45">
      <c r="A99" t="s">
        <v>232</v>
      </c>
      <c r="B99" s="2">
        <v>123456789</v>
      </c>
      <c r="C99" s="2">
        <v>123456789</v>
      </c>
      <c r="D99" s="2">
        <v>123456789</v>
      </c>
    </row>
    <row r="100" spans="1:4" x14ac:dyDescent="0.45">
      <c r="A100" t="s">
        <v>233</v>
      </c>
      <c r="B100" s="2">
        <v>123456789</v>
      </c>
      <c r="C100" s="2">
        <v>123456789</v>
      </c>
      <c r="D100" s="2">
        <v>123456789</v>
      </c>
    </row>
    <row r="101" spans="1:4" x14ac:dyDescent="0.45">
      <c r="A101" t="s">
        <v>234</v>
      </c>
      <c r="B101" s="2">
        <v>123456789</v>
      </c>
      <c r="C101" s="2">
        <v>123456789</v>
      </c>
      <c r="D101" s="2">
        <v>123456789</v>
      </c>
    </row>
    <row r="102" spans="1:4" x14ac:dyDescent="0.45">
      <c r="A102" t="s">
        <v>235</v>
      </c>
      <c r="B102" s="2">
        <v>123456789</v>
      </c>
      <c r="C102" s="2">
        <v>123456789</v>
      </c>
      <c r="D102" s="2">
        <v>123456789</v>
      </c>
    </row>
    <row r="103" spans="1:4" x14ac:dyDescent="0.45">
      <c r="A103" t="s">
        <v>236</v>
      </c>
      <c r="B103" s="2">
        <v>123456789</v>
      </c>
      <c r="C103" s="2">
        <v>123456789</v>
      </c>
      <c r="D103" s="2">
        <v>123456789</v>
      </c>
    </row>
    <row r="104" spans="1:4" x14ac:dyDescent="0.45">
      <c r="A104" t="s">
        <v>237</v>
      </c>
      <c r="B104" s="2">
        <v>123456789</v>
      </c>
      <c r="C104" s="2">
        <v>123456789</v>
      </c>
      <c r="D104" s="2">
        <v>123456789</v>
      </c>
    </row>
    <row r="105" spans="1:4" x14ac:dyDescent="0.45">
      <c r="A105" t="s">
        <v>238</v>
      </c>
      <c r="B105" s="2">
        <v>123456789</v>
      </c>
      <c r="C105" s="2">
        <v>123456789</v>
      </c>
      <c r="D105" s="2">
        <v>123456789</v>
      </c>
    </row>
    <row r="106" spans="1:4" x14ac:dyDescent="0.45">
      <c r="A106" t="s">
        <v>239</v>
      </c>
      <c r="B106" s="2">
        <v>123456789</v>
      </c>
      <c r="C106" s="2">
        <v>123456789</v>
      </c>
      <c r="D106" s="2">
        <v>123456789</v>
      </c>
    </row>
    <row r="107" spans="1:4" x14ac:dyDescent="0.45">
      <c r="A107" t="s">
        <v>240</v>
      </c>
      <c r="B107" s="2">
        <v>123456789</v>
      </c>
      <c r="C107" s="2">
        <v>123456789</v>
      </c>
      <c r="D107" s="2">
        <v>123456789</v>
      </c>
    </row>
    <row r="108" spans="1:4" x14ac:dyDescent="0.45">
      <c r="A108" t="s">
        <v>241</v>
      </c>
      <c r="B108" s="2">
        <v>123456789</v>
      </c>
      <c r="C108" s="2">
        <v>123456789</v>
      </c>
      <c r="D108" s="2">
        <v>123456789</v>
      </c>
    </row>
    <row r="109" spans="1:4" x14ac:dyDescent="0.45">
      <c r="A109" t="s">
        <v>242</v>
      </c>
      <c r="B109" s="2">
        <v>123456789</v>
      </c>
      <c r="C109" s="2">
        <v>123456789</v>
      </c>
      <c r="D109" s="2">
        <v>123456789</v>
      </c>
    </row>
    <row r="110" spans="1:4" x14ac:dyDescent="0.45">
      <c r="A110" t="s">
        <v>243</v>
      </c>
      <c r="B110" s="2">
        <v>123456789</v>
      </c>
      <c r="C110" s="2">
        <v>123456789</v>
      </c>
      <c r="D110" s="2">
        <v>123456789</v>
      </c>
    </row>
    <row r="111" spans="1:4" x14ac:dyDescent="0.45">
      <c r="A111" t="s">
        <v>244</v>
      </c>
      <c r="B111" s="2">
        <v>123456789</v>
      </c>
      <c r="C111" s="2">
        <v>123456789</v>
      </c>
      <c r="D111" s="2">
        <v>123456789</v>
      </c>
    </row>
    <row r="112" spans="1:4" x14ac:dyDescent="0.45">
      <c r="A112" t="s">
        <v>245</v>
      </c>
      <c r="B112" s="2">
        <v>123456789</v>
      </c>
      <c r="C112" s="2">
        <v>123456789</v>
      </c>
      <c r="D112" s="2">
        <v>123456789</v>
      </c>
    </row>
    <row r="113" spans="1:4" x14ac:dyDescent="0.45">
      <c r="A113" t="s">
        <v>246</v>
      </c>
      <c r="B113" s="2">
        <v>123456789</v>
      </c>
      <c r="C113" s="2">
        <v>123456789</v>
      </c>
      <c r="D113" s="2">
        <v>123456789</v>
      </c>
    </row>
    <row r="114" spans="1:4" x14ac:dyDescent="0.45">
      <c r="A114" t="s">
        <v>247</v>
      </c>
      <c r="B114">
        <v>53.56644</v>
      </c>
      <c r="C114" s="2">
        <v>123456789</v>
      </c>
      <c r="D114" s="2">
        <v>123456789</v>
      </c>
    </row>
    <row r="115" spans="1:4" x14ac:dyDescent="0.45">
      <c r="A115" t="s">
        <v>248</v>
      </c>
      <c r="B115">
        <v>52.854730000000004</v>
      </c>
      <c r="C115" s="2">
        <v>123456789</v>
      </c>
      <c r="D115" s="2">
        <v>123456789</v>
      </c>
    </row>
    <row r="116" spans="1:4" x14ac:dyDescent="0.45">
      <c r="A116" t="s">
        <v>249</v>
      </c>
      <c r="B116">
        <v>50.331409999999998</v>
      </c>
      <c r="C116" s="2">
        <v>123456789</v>
      </c>
      <c r="D116" s="2">
        <v>123456789</v>
      </c>
    </row>
    <row r="117" spans="1:4" x14ac:dyDescent="0.45">
      <c r="A117" t="s">
        <v>250</v>
      </c>
      <c r="B117">
        <v>47.792666670000003</v>
      </c>
      <c r="C117" s="2">
        <v>123456789</v>
      </c>
      <c r="D117" s="2">
        <v>123456789</v>
      </c>
    </row>
    <row r="118" spans="1:4" x14ac:dyDescent="0.45">
      <c r="A118" t="s">
        <v>251</v>
      </c>
      <c r="B118">
        <v>47.736936669999999</v>
      </c>
      <c r="C118" s="2">
        <v>123456789</v>
      </c>
      <c r="D118" s="2">
        <v>123456789</v>
      </c>
    </row>
    <row r="119" spans="1:4" x14ac:dyDescent="0.45">
      <c r="A119" t="s">
        <v>252</v>
      </c>
      <c r="B119">
        <v>49.931130000000003</v>
      </c>
      <c r="C119" s="2">
        <v>123456789</v>
      </c>
      <c r="D119" s="2">
        <v>123456789</v>
      </c>
    </row>
    <row r="120" spans="1:4" x14ac:dyDescent="0.45">
      <c r="A120" t="s">
        <v>253</v>
      </c>
      <c r="B120">
        <v>50.39813667</v>
      </c>
      <c r="C120" s="2">
        <v>123456789</v>
      </c>
      <c r="D120" s="2">
        <v>123456789</v>
      </c>
    </row>
    <row r="121" spans="1:4" x14ac:dyDescent="0.45">
      <c r="A121" t="s">
        <v>254</v>
      </c>
      <c r="B121">
        <v>50.902286670000002</v>
      </c>
      <c r="C121" s="2">
        <v>123456789</v>
      </c>
      <c r="D121" s="2">
        <v>123456789</v>
      </c>
    </row>
    <row r="122" spans="1:4" x14ac:dyDescent="0.45">
      <c r="A122" t="s">
        <v>255</v>
      </c>
      <c r="B122">
        <v>50.710506670000001</v>
      </c>
      <c r="C122" s="2">
        <v>123456789</v>
      </c>
      <c r="D122" s="2">
        <v>123456789</v>
      </c>
    </row>
    <row r="123" spans="1:4" x14ac:dyDescent="0.45">
      <c r="A123" t="s">
        <v>256</v>
      </c>
      <c r="B123">
        <v>51.128893329999997</v>
      </c>
      <c r="C123" s="2">
        <v>123456789</v>
      </c>
      <c r="D123" s="2">
        <v>123456789</v>
      </c>
    </row>
    <row r="124" spans="1:4" x14ac:dyDescent="0.45">
      <c r="A124" t="s">
        <v>257</v>
      </c>
      <c r="B124">
        <v>51.610713330000003</v>
      </c>
      <c r="C124" s="2">
        <v>123456789</v>
      </c>
      <c r="D124" s="2">
        <v>123456789</v>
      </c>
    </row>
    <row r="125" spans="1:4" x14ac:dyDescent="0.45">
      <c r="A125" t="s">
        <v>258</v>
      </c>
      <c r="B125">
        <v>52.196190000000001</v>
      </c>
      <c r="C125" s="2">
        <v>123456789</v>
      </c>
      <c r="D125" s="2">
        <v>123456789</v>
      </c>
    </row>
    <row r="126" spans="1:4" x14ac:dyDescent="0.45">
      <c r="A126" t="s">
        <v>259</v>
      </c>
      <c r="B126">
        <v>52.235546669999998</v>
      </c>
      <c r="C126" s="2">
        <v>123456789</v>
      </c>
      <c r="D126" s="2">
        <v>123456789</v>
      </c>
    </row>
    <row r="127" spans="1:4" x14ac:dyDescent="0.45">
      <c r="A127" t="s">
        <v>260</v>
      </c>
      <c r="B127">
        <v>49.429479999999998</v>
      </c>
      <c r="C127" s="2">
        <v>123456789</v>
      </c>
      <c r="D127" s="2">
        <v>123456789</v>
      </c>
    </row>
    <row r="128" spans="1:4" x14ac:dyDescent="0.45">
      <c r="A128" t="s">
        <v>261</v>
      </c>
      <c r="B128">
        <v>48.610300000000002</v>
      </c>
      <c r="C128" s="2">
        <v>123456789</v>
      </c>
      <c r="D128" s="2">
        <v>123456789</v>
      </c>
    </row>
    <row r="129" spans="1:4" x14ac:dyDescent="0.45">
      <c r="A129" t="s">
        <v>262</v>
      </c>
      <c r="B129">
        <v>46.215856670000001</v>
      </c>
      <c r="C129" s="2">
        <v>123456789</v>
      </c>
      <c r="D129" s="2">
        <v>123456789</v>
      </c>
    </row>
    <row r="130" spans="1:4" x14ac:dyDescent="0.45">
      <c r="A130" t="s">
        <v>263</v>
      </c>
      <c r="B130">
        <v>46.988930000000003</v>
      </c>
      <c r="C130" s="2">
        <v>123456789</v>
      </c>
      <c r="D130" s="2">
        <v>123456789</v>
      </c>
    </row>
    <row r="131" spans="1:4" x14ac:dyDescent="0.45">
      <c r="A131" t="s">
        <v>264</v>
      </c>
      <c r="B131">
        <v>48.632976669999998</v>
      </c>
      <c r="C131" s="2">
        <v>123456789</v>
      </c>
      <c r="D131" s="2">
        <v>123456789</v>
      </c>
    </row>
    <row r="132" spans="1:4" x14ac:dyDescent="0.45">
      <c r="A132" t="s">
        <v>265</v>
      </c>
      <c r="B132">
        <v>47.22538333</v>
      </c>
      <c r="C132" s="2">
        <v>123456789</v>
      </c>
      <c r="D132" s="2">
        <v>123456789</v>
      </c>
    </row>
    <row r="133" spans="1:4" x14ac:dyDescent="0.45">
      <c r="A133" t="s">
        <v>266</v>
      </c>
      <c r="B133">
        <v>47.72786</v>
      </c>
      <c r="C133" s="2">
        <v>123456789</v>
      </c>
      <c r="D133" s="2">
        <v>123456789</v>
      </c>
    </row>
    <row r="134" spans="1:4" x14ac:dyDescent="0.45">
      <c r="A134" t="s">
        <v>267</v>
      </c>
      <c r="B134">
        <v>46.925203330000002</v>
      </c>
      <c r="C134" s="2">
        <v>123456789</v>
      </c>
      <c r="D134" s="2">
        <v>123456789</v>
      </c>
    </row>
    <row r="135" spans="1:4" x14ac:dyDescent="0.45">
      <c r="A135" t="s">
        <v>268</v>
      </c>
      <c r="B135">
        <v>47.234380000000002</v>
      </c>
      <c r="C135" s="2">
        <v>123456789</v>
      </c>
      <c r="D135" s="2">
        <v>123456789</v>
      </c>
    </row>
    <row r="136" spans="1:4" x14ac:dyDescent="0.45">
      <c r="A136" t="s">
        <v>269</v>
      </c>
      <c r="B136">
        <v>49.538710000000002</v>
      </c>
      <c r="C136" s="2">
        <v>123456789</v>
      </c>
      <c r="D136" s="2">
        <v>123456789</v>
      </c>
    </row>
    <row r="137" spans="1:4" x14ac:dyDescent="0.45">
      <c r="A137" t="s">
        <v>270</v>
      </c>
      <c r="B137">
        <v>51.077213329999999</v>
      </c>
      <c r="C137" s="2">
        <v>123456789</v>
      </c>
      <c r="D137" s="2">
        <v>123456789</v>
      </c>
    </row>
    <row r="138" spans="1:4" x14ac:dyDescent="0.45">
      <c r="A138" t="s">
        <v>271</v>
      </c>
      <c r="B138">
        <v>51.711583330000003</v>
      </c>
      <c r="C138" s="2">
        <v>123456789</v>
      </c>
      <c r="D138" s="2">
        <v>123456789</v>
      </c>
    </row>
    <row r="139" spans="1:4" x14ac:dyDescent="0.45">
      <c r="A139" t="s">
        <v>272</v>
      </c>
      <c r="B139">
        <v>51.961089999999999</v>
      </c>
      <c r="C139" s="2">
        <v>123456789</v>
      </c>
      <c r="D139" s="2">
        <v>123456789</v>
      </c>
    </row>
    <row r="140" spans="1:4" x14ac:dyDescent="0.45">
      <c r="A140" t="s">
        <v>273</v>
      </c>
      <c r="B140">
        <v>52.508106669999997</v>
      </c>
      <c r="C140" s="2">
        <v>123456789</v>
      </c>
      <c r="D140" s="2">
        <v>123456789</v>
      </c>
    </row>
    <row r="141" spans="1:4" x14ac:dyDescent="0.45">
      <c r="A141" t="s">
        <v>274</v>
      </c>
      <c r="B141">
        <v>52.089170000000003</v>
      </c>
      <c r="C141" s="2">
        <v>123456789</v>
      </c>
      <c r="D141" s="2">
        <v>123456789</v>
      </c>
    </row>
    <row r="142" spans="1:4" x14ac:dyDescent="0.45">
      <c r="A142" t="s">
        <v>275</v>
      </c>
      <c r="B142">
        <v>50.839829999999999</v>
      </c>
      <c r="C142" s="2">
        <v>123456789</v>
      </c>
      <c r="D142" s="2">
        <v>123456789</v>
      </c>
    </row>
    <row r="143" spans="1:4" x14ac:dyDescent="0.45">
      <c r="A143" t="s">
        <v>276</v>
      </c>
      <c r="B143">
        <v>50.763083330000001</v>
      </c>
      <c r="C143" s="2">
        <v>123456789</v>
      </c>
      <c r="D143" s="2">
        <v>123456789</v>
      </c>
    </row>
    <row r="144" spans="1:4" x14ac:dyDescent="0.45">
      <c r="A144" t="s">
        <v>277</v>
      </c>
      <c r="B144">
        <v>50.67007667</v>
      </c>
      <c r="C144" s="2">
        <v>123456789</v>
      </c>
      <c r="D144" s="2">
        <v>123456789</v>
      </c>
    </row>
    <row r="145" spans="1:4" x14ac:dyDescent="0.45">
      <c r="A145" t="s">
        <v>278</v>
      </c>
      <c r="B145">
        <v>50.716146670000001</v>
      </c>
      <c r="C145" s="2">
        <v>123456789</v>
      </c>
      <c r="D145" s="2">
        <v>123456789</v>
      </c>
    </row>
    <row r="146" spans="1:4" x14ac:dyDescent="0.45">
      <c r="A146" t="s">
        <v>279</v>
      </c>
      <c r="B146">
        <v>50.853346670000001</v>
      </c>
      <c r="C146" s="2">
        <v>123456789</v>
      </c>
      <c r="D146" s="2">
        <v>123456789</v>
      </c>
    </row>
    <row r="147" spans="1:4" x14ac:dyDescent="0.45">
      <c r="A147" t="s">
        <v>280</v>
      </c>
      <c r="B147">
        <v>52.564790000000002</v>
      </c>
      <c r="C147" s="2">
        <v>123456789</v>
      </c>
      <c r="D147" s="2">
        <v>123456789</v>
      </c>
    </row>
    <row r="148" spans="1:4" x14ac:dyDescent="0.45">
      <c r="A148" t="s">
        <v>281</v>
      </c>
      <c r="B148">
        <v>52.622509999999998</v>
      </c>
      <c r="C148" s="2">
        <v>123456789</v>
      </c>
      <c r="D148" s="2">
        <v>123456789</v>
      </c>
    </row>
    <row r="149" spans="1:4" x14ac:dyDescent="0.45">
      <c r="A149" t="s">
        <v>282</v>
      </c>
      <c r="B149">
        <v>53.688339999999997</v>
      </c>
      <c r="C149" s="2">
        <v>123456789</v>
      </c>
      <c r="D149" s="2">
        <v>123456789</v>
      </c>
    </row>
    <row r="150" spans="1:4" x14ac:dyDescent="0.45">
      <c r="A150" t="s">
        <v>283</v>
      </c>
      <c r="B150">
        <v>53.602029999999999</v>
      </c>
      <c r="C150" s="2">
        <v>123456789</v>
      </c>
      <c r="D150" s="2">
        <v>123456789</v>
      </c>
    </row>
    <row r="151" spans="1:4" x14ac:dyDescent="0.45">
      <c r="A151" t="s">
        <v>284</v>
      </c>
      <c r="B151">
        <v>52.79057667</v>
      </c>
      <c r="C151" s="2">
        <v>123456789</v>
      </c>
      <c r="D151" s="2">
        <v>123456789</v>
      </c>
    </row>
    <row r="152" spans="1:4" x14ac:dyDescent="0.45">
      <c r="A152" t="s">
        <v>285</v>
      </c>
      <c r="B152">
        <v>52.628283330000002</v>
      </c>
      <c r="C152" s="2">
        <v>123456789</v>
      </c>
      <c r="D152" s="2">
        <v>123456789</v>
      </c>
    </row>
    <row r="153" spans="1:4" x14ac:dyDescent="0.45">
      <c r="A153" t="s">
        <v>286</v>
      </c>
      <c r="B153">
        <v>52.292813330000001</v>
      </c>
      <c r="C153" s="2">
        <v>123456789</v>
      </c>
      <c r="D153" s="2">
        <v>123456789</v>
      </c>
    </row>
    <row r="154" spans="1:4" x14ac:dyDescent="0.45">
      <c r="A154" t="s">
        <v>287</v>
      </c>
      <c r="B154">
        <v>51.511756669999997</v>
      </c>
      <c r="C154" s="2">
        <v>123456789</v>
      </c>
      <c r="D154" s="2">
        <v>123456789</v>
      </c>
    </row>
    <row r="155" spans="1:4" x14ac:dyDescent="0.45">
      <c r="A155" t="s">
        <v>288</v>
      </c>
      <c r="B155">
        <v>48.140933330000003</v>
      </c>
      <c r="C155" s="2">
        <v>123456789</v>
      </c>
      <c r="D155" s="2">
        <v>123456789</v>
      </c>
    </row>
    <row r="156" spans="1:4" x14ac:dyDescent="0.45">
      <c r="A156" t="s">
        <v>289</v>
      </c>
      <c r="B156">
        <v>45.789623329999998</v>
      </c>
      <c r="C156" s="2">
        <v>123456789</v>
      </c>
      <c r="D156" s="2">
        <v>123456789</v>
      </c>
    </row>
    <row r="157" spans="1:4" x14ac:dyDescent="0.45">
      <c r="A157" t="s">
        <v>290</v>
      </c>
      <c r="B157">
        <v>41.44534333</v>
      </c>
      <c r="C157" s="2">
        <v>123456789</v>
      </c>
      <c r="D157" s="2">
        <v>123456789</v>
      </c>
    </row>
    <row r="158" spans="1:4" x14ac:dyDescent="0.45">
      <c r="A158" t="s">
        <v>291</v>
      </c>
      <c r="B158">
        <v>38.268003329999999</v>
      </c>
      <c r="C158" s="2">
        <v>123456789</v>
      </c>
      <c r="D158" s="2">
        <v>123456789</v>
      </c>
    </row>
    <row r="159" spans="1:4" x14ac:dyDescent="0.45">
      <c r="A159" t="s">
        <v>292</v>
      </c>
      <c r="B159">
        <v>41.652439999999999</v>
      </c>
      <c r="C159" s="2">
        <v>123456789</v>
      </c>
      <c r="D159" s="2">
        <v>123456789</v>
      </c>
    </row>
    <row r="160" spans="1:4" x14ac:dyDescent="0.45">
      <c r="A160" t="s">
        <v>293</v>
      </c>
      <c r="B160">
        <v>44.785906670000003</v>
      </c>
      <c r="C160" s="2">
        <v>123456789</v>
      </c>
      <c r="D160" s="2">
        <v>123456789</v>
      </c>
    </row>
    <row r="161" spans="1:4" x14ac:dyDescent="0.45">
      <c r="A161" t="s">
        <v>294</v>
      </c>
      <c r="B161">
        <v>47.080516670000002</v>
      </c>
      <c r="C161" s="2">
        <v>123456789</v>
      </c>
      <c r="D161" s="2">
        <v>123456789</v>
      </c>
    </row>
    <row r="162" spans="1:4" x14ac:dyDescent="0.45">
      <c r="A162" t="s">
        <v>295</v>
      </c>
      <c r="B162">
        <v>49.259356670000003</v>
      </c>
      <c r="C162" s="2">
        <v>123456789</v>
      </c>
      <c r="D162" s="2">
        <v>123456789</v>
      </c>
    </row>
    <row r="163" spans="1:4" x14ac:dyDescent="0.45">
      <c r="A163" t="s">
        <v>296</v>
      </c>
      <c r="B163">
        <v>51.152936670000003</v>
      </c>
      <c r="C163" s="2">
        <v>123456789</v>
      </c>
      <c r="D163" s="2">
        <v>123456789</v>
      </c>
    </row>
    <row r="164" spans="1:4" x14ac:dyDescent="0.45">
      <c r="A164" t="s">
        <v>297</v>
      </c>
      <c r="B164">
        <v>49.665273329999998</v>
      </c>
      <c r="C164" s="2">
        <v>123456789</v>
      </c>
      <c r="D164" s="2">
        <v>123456789</v>
      </c>
    </row>
    <row r="165" spans="1:4" x14ac:dyDescent="0.45">
      <c r="A165" t="s">
        <v>298</v>
      </c>
      <c r="B165">
        <v>50.71974333</v>
      </c>
      <c r="C165" s="2">
        <v>123456789</v>
      </c>
      <c r="D165" s="2">
        <v>123456789</v>
      </c>
    </row>
    <row r="166" spans="1:4" x14ac:dyDescent="0.45">
      <c r="A166" t="s">
        <v>299</v>
      </c>
      <c r="B166">
        <v>51.28266</v>
      </c>
      <c r="C166" s="2">
        <v>123456789</v>
      </c>
      <c r="D166" s="2">
        <v>123456789</v>
      </c>
    </row>
    <row r="167" spans="1:4" x14ac:dyDescent="0.45">
      <c r="A167" t="s">
        <v>300</v>
      </c>
      <c r="B167">
        <v>50.850360000000002</v>
      </c>
      <c r="C167" s="2">
        <v>123456789</v>
      </c>
      <c r="D167" s="2">
        <v>123456789</v>
      </c>
    </row>
    <row r="168" spans="1:4" x14ac:dyDescent="0.45">
      <c r="A168" t="s">
        <v>301</v>
      </c>
      <c r="B168">
        <v>49.688299999999998</v>
      </c>
      <c r="C168" s="2">
        <v>123456789</v>
      </c>
      <c r="D168" s="2">
        <v>123456789</v>
      </c>
    </row>
    <row r="169" spans="1:4" x14ac:dyDescent="0.45">
      <c r="A169" t="s">
        <v>302</v>
      </c>
      <c r="B169">
        <v>49.247916670000002</v>
      </c>
      <c r="C169" s="2">
        <v>123456789</v>
      </c>
      <c r="D169" s="2">
        <v>123456789</v>
      </c>
    </row>
    <row r="170" spans="1:4" x14ac:dyDescent="0.45">
      <c r="A170" t="s">
        <v>303</v>
      </c>
      <c r="B170">
        <v>51.334656670000001</v>
      </c>
      <c r="C170" s="2">
        <v>123456789</v>
      </c>
      <c r="D170" s="2">
        <v>123456789</v>
      </c>
    </row>
    <row r="171" spans="1:4" x14ac:dyDescent="0.45">
      <c r="A171" t="s">
        <v>304</v>
      </c>
      <c r="B171">
        <v>51.320953330000002</v>
      </c>
      <c r="C171" s="2">
        <v>123456789</v>
      </c>
      <c r="D171" s="2">
        <v>123456789</v>
      </c>
    </row>
    <row r="172" spans="1:4" x14ac:dyDescent="0.45">
      <c r="A172" t="s">
        <v>305</v>
      </c>
      <c r="B172">
        <v>50.107346669999998</v>
      </c>
      <c r="C172" s="2">
        <v>123456789</v>
      </c>
      <c r="D172" s="2">
        <v>123456789</v>
      </c>
    </row>
    <row r="173" spans="1:4" x14ac:dyDescent="0.45">
      <c r="A173" t="s">
        <v>306</v>
      </c>
      <c r="B173">
        <v>49.547966670000001</v>
      </c>
      <c r="C173" s="2">
        <v>123456789</v>
      </c>
      <c r="D173" s="2">
        <v>123456789</v>
      </c>
    </row>
    <row r="174" spans="1:4" x14ac:dyDescent="0.45">
      <c r="A174" t="s">
        <v>307</v>
      </c>
      <c r="B174">
        <v>50.868479999999998</v>
      </c>
      <c r="C174" s="2">
        <v>123456789</v>
      </c>
      <c r="D174" s="2">
        <v>123456789</v>
      </c>
    </row>
    <row r="175" spans="1:4" x14ac:dyDescent="0.45">
      <c r="A175" t="s">
        <v>308</v>
      </c>
      <c r="B175">
        <v>51.750196670000001</v>
      </c>
      <c r="C175" s="2">
        <v>123456789</v>
      </c>
      <c r="D175" s="2">
        <v>123456789</v>
      </c>
    </row>
    <row r="176" spans="1:4" x14ac:dyDescent="0.45">
      <c r="A176" t="s">
        <v>309</v>
      </c>
      <c r="B176">
        <v>52.501433329999998</v>
      </c>
      <c r="C176" s="2">
        <v>123456789</v>
      </c>
      <c r="D176" s="2">
        <v>123456789</v>
      </c>
    </row>
    <row r="177" spans="1:4" x14ac:dyDescent="0.45">
      <c r="A177" t="s">
        <v>310</v>
      </c>
      <c r="B177">
        <v>54.837793329999997</v>
      </c>
      <c r="C177" s="2">
        <v>123456789</v>
      </c>
      <c r="D177" s="2">
        <v>123456789</v>
      </c>
    </row>
    <row r="178" spans="1:4" x14ac:dyDescent="0.45">
      <c r="A178" t="s">
        <v>311</v>
      </c>
      <c r="B178">
        <v>54.817933330000002</v>
      </c>
      <c r="C178" s="2">
        <v>123456789</v>
      </c>
      <c r="D178" s="2">
        <v>123456789</v>
      </c>
    </row>
    <row r="179" spans="1:4" x14ac:dyDescent="0.45">
      <c r="A179" t="s">
        <v>312</v>
      </c>
      <c r="B179">
        <v>56.695116669999997</v>
      </c>
      <c r="C179" s="2">
        <v>123456789</v>
      </c>
      <c r="D179" s="2">
        <v>123456789</v>
      </c>
    </row>
    <row r="180" spans="1:4" x14ac:dyDescent="0.45">
      <c r="A180" t="s">
        <v>313</v>
      </c>
      <c r="B180">
        <v>54.930966669999997</v>
      </c>
      <c r="C180" s="2">
        <v>123456789</v>
      </c>
      <c r="D180" s="2">
        <v>123456789</v>
      </c>
    </row>
    <row r="181" spans="1:4" x14ac:dyDescent="0.45">
      <c r="A181" t="s">
        <v>314</v>
      </c>
      <c r="B181">
        <v>54.82838667</v>
      </c>
      <c r="C181" s="2">
        <v>123456789</v>
      </c>
      <c r="D181" s="2">
        <v>123456789</v>
      </c>
    </row>
    <row r="182" spans="1:4" x14ac:dyDescent="0.45">
      <c r="A182" t="s">
        <v>315</v>
      </c>
      <c r="B182">
        <v>56.352200000000003</v>
      </c>
      <c r="C182" s="2">
        <v>123456789</v>
      </c>
      <c r="D182" s="2">
        <v>123456789</v>
      </c>
    </row>
    <row r="183" spans="1:4" x14ac:dyDescent="0.45">
      <c r="A183" t="s">
        <v>316</v>
      </c>
      <c r="B183">
        <v>55.468706670000003</v>
      </c>
      <c r="C183" s="2">
        <v>123456789</v>
      </c>
      <c r="D183" s="2">
        <v>123456789</v>
      </c>
    </row>
    <row r="184" spans="1:4" x14ac:dyDescent="0.45">
      <c r="A184" t="s">
        <v>317</v>
      </c>
      <c r="B184">
        <v>53.860129999999998</v>
      </c>
      <c r="C184" s="2">
        <v>123456789</v>
      </c>
      <c r="D184" s="2">
        <v>123456789</v>
      </c>
    </row>
    <row r="185" spans="1:4" x14ac:dyDescent="0.45">
      <c r="A185" t="s">
        <v>318</v>
      </c>
      <c r="B185">
        <v>54.172546670000003</v>
      </c>
      <c r="C185" s="2">
        <v>123456789</v>
      </c>
      <c r="D185" s="2">
        <v>123456789</v>
      </c>
    </row>
    <row r="186" spans="1:4" x14ac:dyDescent="0.45">
      <c r="A186" t="s">
        <v>319</v>
      </c>
      <c r="B186">
        <v>53.001093330000003</v>
      </c>
      <c r="C186" s="2">
        <v>123456789</v>
      </c>
      <c r="D186" s="2">
        <v>123456789</v>
      </c>
    </row>
    <row r="187" spans="1:4" x14ac:dyDescent="0.45">
      <c r="A187" t="s">
        <v>320</v>
      </c>
      <c r="B187">
        <v>51.25952667</v>
      </c>
      <c r="C187" s="2">
        <v>123456789</v>
      </c>
      <c r="D187" s="2">
        <v>123456789</v>
      </c>
    </row>
    <row r="188" spans="1:4" x14ac:dyDescent="0.45">
      <c r="A188" t="s">
        <v>321</v>
      </c>
      <c r="B188">
        <v>50.660403330000001</v>
      </c>
      <c r="C188" s="2">
        <v>123456789</v>
      </c>
      <c r="D188" s="2">
        <v>123456789</v>
      </c>
    </row>
    <row r="189" spans="1:4" x14ac:dyDescent="0.45">
      <c r="A189" t="s">
        <v>322</v>
      </c>
      <c r="B189">
        <v>52.220779999999998</v>
      </c>
      <c r="C189" s="2">
        <v>123456789</v>
      </c>
      <c r="D189" s="2">
        <v>123456789</v>
      </c>
    </row>
    <row r="190" spans="1:4" x14ac:dyDescent="0.45">
      <c r="A190" t="s">
        <v>323</v>
      </c>
      <c r="B190">
        <v>51.753793330000001</v>
      </c>
      <c r="C190" s="2">
        <v>123456789</v>
      </c>
      <c r="D190" s="2">
        <v>123456789</v>
      </c>
    </row>
    <row r="191" spans="1:4" x14ac:dyDescent="0.45">
      <c r="A191" t="s">
        <v>324</v>
      </c>
      <c r="B191">
        <v>52.819679999999998</v>
      </c>
      <c r="C191" s="2">
        <v>123456789</v>
      </c>
      <c r="D191" s="2">
        <v>123456789</v>
      </c>
    </row>
    <row r="192" spans="1:4" x14ac:dyDescent="0.45">
      <c r="A192" t="s">
        <v>325</v>
      </c>
      <c r="B192">
        <v>53.909239999999997</v>
      </c>
      <c r="C192" s="2">
        <v>123456789</v>
      </c>
      <c r="D192" s="2">
        <v>123456789</v>
      </c>
    </row>
    <row r="193" spans="1:4" x14ac:dyDescent="0.45">
      <c r="A193" t="s">
        <v>326</v>
      </c>
      <c r="B193">
        <v>52.5959</v>
      </c>
      <c r="C193" s="2">
        <v>123456789</v>
      </c>
      <c r="D193" s="2">
        <v>123456789</v>
      </c>
    </row>
    <row r="194" spans="1:4" x14ac:dyDescent="0.45">
      <c r="A194" t="s">
        <v>327</v>
      </c>
      <c r="B194">
        <v>52.887153329999997</v>
      </c>
      <c r="C194" s="2">
        <v>123456789</v>
      </c>
      <c r="D194" s="2">
        <v>123456789</v>
      </c>
    </row>
    <row r="195" spans="1:4" x14ac:dyDescent="0.45">
      <c r="A195" t="s">
        <v>328</v>
      </c>
      <c r="B195">
        <v>51.652839999999998</v>
      </c>
      <c r="C195" s="2">
        <v>123456789</v>
      </c>
      <c r="D195" s="2">
        <v>123456789</v>
      </c>
    </row>
    <row r="196" spans="1:4" x14ac:dyDescent="0.45">
      <c r="A196" t="s">
        <v>329</v>
      </c>
      <c r="B196">
        <v>51.906559999999999</v>
      </c>
      <c r="C196" s="2">
        <v>123456789</v>
      </c>
      <c r="D196" s="2">
        <v>123456789</v>
      </c>
    </row>
    <row r="197" spans="1:4" x14ac:dyDescent="0.45">
      <c r="A197" t="s">
        <v>330</v>
      </c>
      <c r="B197">
        <v>51.433973330000001</v>
      </c>
      <c r="C197" s="2">
        <v>123456789</v>
      </c>
      <c r="D197" s="2">
        <v>123456789</v>
      </c>
    </row>
    <row r="198" spans="1:4" x14ac:dyDescent="0.45">
      <c r="A198" t="s">
        <v>331</v>
      </c>
      <c r="B198">
        <v>49.211109999999998</v>
      </c>
      <c r="C198" s="2">
        <v>123456789</v>
      </c>
      <c r="D198" s="2">
        <v>123456789</v>
      </c>
    </row>
    <row r="199" spans="1:4" x14ac:dyDescent="0.45">
      <c r="A199" t="s">
        <v>332</v>
      </c>
      <c r="B199">
        <v>51.410523329999997</v>
      </c>
      <c r="C199" s="2">
        <v>123456789</v>
      </c>
      <c r="D199" s="2">
        <v>123456789</v>
      </c>
    </row>
    <row r="200" spans="1:4" x14ac:dyDescent="0.45">
      <c r="A200" t="s">
        <v>333</v>
      </c>
      <c r="B200">
        <v>49.901906670000002</v>
      </c>
      <c r="C200" s="2">
        <v>123456789</v>
      </c>
      <c r="D200" s="2">
        <v>123456789</v>
      </c>
    </row>
    <row r="201" spans="1:4" x14ac:dyDescent="0.45">
      <c r="A201" t="s">
        <v>334</v>
      </c>
      <c r="B201">
        <v>49.569209999999998</v>
      </c>
      <c r="C201" s="2">
        <v>123456789</v>
      </c>
      <c r="D201" s="2">
        <v>123456789</v>
      </c>
    </row>
    <row r="202" spans="1:4" x14ac:dyDescent="0.45">
      <c r="A202" t="s">
        <v>335</v>
      </c>
      <c r="B202">
        <v>48.595543329999998</v>
      </c>
      <c r="C202" s="2">
        <v>123456789</v>
      </c>
      <c r="D202" s="2">
        <v>123456789</v>
      </c>
    </row>
    <row r="203" spans="1:4" x14ac:dyDescent="0.45">
      <c r="A203" t="s">
        <v>336</v>
      </c>
      <c r="B203">
        <v>32.696116670000002</v>
      </c>
      <c r="C203" s="2">
        <v>123456789</v>
      </c>
      <c r="D203" s="2">
        <v>123456789</v>
      </c>
    </row>
    <row r="204" spans="1:4" x14ac:dyDescent="0.45">
      <c r="A204" t="s">
        <v>337</v>
      </c>
      <c r="B204">
        <v>40.431073329999997</v>
      </c>
      <c r="C204" s="2">
        <v>123456789</v>
      </c>
      <c r="D204" s="2">
        <v>123456789</v>
      </c>
    </row>
    <row r="205" spans="1:4" x14ac:dyDescent="0.45">
      <c r="A205" t="s">
        <v>338</v>
      </c>
      <c r="B205">
        <v>44.301596670000002</v>
      </c>
      <c r="C205" s="2">
        <v>123456789</v>
      </c>
      <c r="D205" s="2">
        <v>123456789</v>
      </c>
    </row>
    <row r="206" spans="1:4" x14ac:dyDescent="0.45">
      <c r="A206" t="s">
        <v>339</v>
      </c>
      <c r="B206">
        <v>49.491383329999998</v>
      </c>
      <c r="C206" s="2">
        <v>123456789</v>
      </c>
      <c r="D206" s="2">
        <v>123456789</v>
      </c>
    </row>
    <row r="207" spans="1:4" x14ac:dyDescent="0.45">
      <c r="A207" t="s">
        <v>340</v>
      </c>
      <c r="B207">
        <v>56.980773329999998</v>
      </c>
      <c r="C207" s="2">
        <v>123456789</v>
      </c>
      <c r="D207" s="2">
        <v>123456789</v>
      </c>
    </row>
    <row r="208" spans="1:4" x14ac:dyDescent="0.45">
      <c r="A208" t="s">
        <v>341</v>
      </c>
      <c r="B208">
        <v>57.208346669999997</v>
      </c>
      <c r="C208" s="2">
        <v>123456789</v>
      </c>
      <c r="D208" s="2">
        <v>123456789</v>
      </c>
    </row>
    <row r="209" spans="1:4" x14ac:dyDescent="0.45">
      <c r="A209" t="s">
        <v>342</v>
      </c>
      <c r="B209">
        <v>56.936376670000001</v>
      </c>
      <c r="C209" s="2">
        <v>123456789</v>
      </c>
      <c r="D209" s="2">
        <v>123456789</v>
      </c>
    </row>
    <row r="210" spans="1:4" x14ac:dyDescent="0.45">
      <c r="A210" t="s">
        <v>343</v>
      </c>
      <c r="B210">
        <v>57.495930000000001</v>
      </c>
      <c r="C210" s="2">
        <v>123456789</v>
      </c>
      <c r="D210" s="2">
        <v>123456789</v>
      </c>
    </row>
    <row r="211" spans="1:4" x14ac:dyDescent="0.45">
      <c r="A211" t="s">
        <v>344</v>
      </c>
      <c r="B211">
        <v>56.350230000000003</v>
      </c>
      <c r="C211" s="2">
        <v>123456789</v>
      </c>
      <c r="D211" s="2">
        <v>123456789</v>
      </c>
    </row>
    <row r="212" spans="1:4" x14ac:dyDescent="0.45">
      <c r="A212" t="s">
        <v>345</v>
      </c>
      <c r="B212">
        <v>54.820059999999998</v>
      </c>
      <c r="C212" s="2">
        <v>123456789</v>
      </c>
      <c r="D212" s="2">
        <v>123456789</v>
      </c>
    </row>
    <row r="213" spans="1:4" x14ac:dyDescent="0.45">
      <c r="A213" t="s">
        <v>346</v>
      </c>
      <c r="B213">
        <v>50.957293329999999</v>
      </c>
      <c r="C213" s="2">
        <v>123456789</v>
      </c>
      <c r="D213" s="2">
        <v>123456789</v>
      </c>
    </row>
    <row r="214" spans="1:4" x14ac:dyDescent="0.45">
      <c r="A214" t="s">
        <v>347</v>
      </c>
      <c r="B214">
        <v>50.439336670000003</v>
      </c>
      <c r="C214" s="2">
        <v>123456789</v>
      </c>
      <c r="D214" s="2">
        <v>123456789</v>
      </c>
    </row>
    <row r="215" spans="1:4" x14ac:dyDescent="0.45">
      <c r="A215" t="s">
        <v>348</v>
      </c>
      <c r="B215">
        <v>52.307076670000001</v>
      </c>
      <c r="C215" s="2">
        <v>123456789</v>
      </c>
      <c r="D215" s="2">
        <v>123456789</v>
      </c>
    </row>
    <row r="216" spans="1:4" x14ac:dyDescent="0.45">
      <c r="A216" t="s">
        <v>349</v>
      </c>
      <c r="B216">
        <v>49.839133330000003</v>
      </c>
      <c r="C216" s="2">
        <v>123456789</v>
      </c>
      <c r="D216" s="2">
        <v>123456789</v>
      </c>
    </row>
    <row r="217" spans="1:4" x14ac:dyDescent="0.45">
      <c r="A217" t="s">
        <v>350</v>
      </c>
      <c r="B217">
        <v>49.239726670000003</v>
      </c>
      <c r="C217" s="2">
        <v>123456789</v>
      </c>
      <c r="D217" s="2">
        <v>123456789</v>
      </c>
    </row>
    <row r="218" spans="1:4" x14ac:dyDescent="0.45">
      <c r="A218" t="s">
        <v>351</v>
      </c>
      <c r="B218">
        <v>50.43690333</v>
      </c>
      <c r="C218" s="2">
        <v>123456789</v>
      </c>
      <c r="D218" s="2">
        <v>123456789</v>
      </c>
    </row>
    <row r="219" spans="1:4" x14ac:dyDescent="0.45">
      <c r="A219" t="s">
        <v>352</v>
      </c>
      <c r="B219">
        <v>50.337283329999998</v>
      </c>
      <c r="C219" s="2">
        <v>123456789</v>
      </c>
      <c r="D219" s="2">
        <v>123456789</v>
      </c>
    </row>
    <row r="220" spans="1:4" x14ac:dyDescent="0.45">
      <c r="A220" t="s">
        <v>353</v>
      </c>
      <c r="B220">
        <v>51.686243330000003</v>
      </c>
      <c r="C220" s="2">
        <v>123456789</v>
      </c>
      <c r="D220" s="2">
        <v>123456789</v>
      </c>
    </row>
    <row r="221" spans="1:4" x14ac:dyDescent="0.45">
      <c r="A221" t="s">
        <v>354</v>
      </c>
      <c r="B221">
        <v>47.639243329999999</v>
      </c>
      <c r="C221" s="2">
        <v>123456789</v>
      </c>
      <c r="D221" s="2">
        <v>123456789</v>
      </c>
    </row>
    <row r="222" spans="1:4" x14ac:dyDescent="0.45">
      <c r="A222" t="s">
        <v>355</v>
      </c>
      <c r="B222">
        <v>45.271243329999997</v>
      </c>
      <c r="C222" s="2">
        <v>123456789</v>
      </c>
      <c r="D222" s="2">
        <v>123456789</v>
      </c>
    </row>
    <row r="223" spans="1:4" x14ac:dyDescent="0.45">
      <c r="A223" t="s">
        <v>356</v>
      </c>
      <c r="B223">
        <v>46.548783329999999</v>
      </c>
      <c r="C223" s="2">
        <v>123456789</v>
      </c>
      <c r="D223" s="2">
        <v>123456789</v>
      </c>
    </row>
    <row r="224" spans="1:4" x14ac:dyDescent="0.45">
      <c r="A224" t="s">
        <v>357</v>
      </c>
      <c r="B224">
        <v>46.055616669999999</v>
      </c>
      <c r="C224" s="2">
        <v>123456789</v>
      </c>
      <c r="D224" s="2">
        <v>123456789</v>
      </c>
    </row>
    <row r="225" spans="1:4" x14ac:dyDescent="0.45">
      <c r="A225" t="s">
        <v>438</v>
      </c>
      <c r="B225">
        <v>46.973700000000001</v>
      </c>
      <c r="C225" s="2">
        <v>123456789</v>
      </c>
      <c r="D225" s="2">
        <v>123456789</v>
      </c>
    </row>
    <row r="226" spans="1:4" x14ac:dyDescent="0.45">
      <c r="A226" t="s">
        <v>441</v>
      </c>
      <c r="B226">
        <v>46.37646333</v>
      </c>
      <c r="C226" s="2">
        <v>123456789</v>
      </c>
      <c r="D226" s="2">
        <v>123456789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502B5-7027-4C24-BE4F-EF453ED95AAC}">
  <dimension ref="A1:Q223"/>
  <sheetViews>
    <sheetView zoomScale="85" zoomScaleNormal="85" workbookViewId="0">
      <selection activeCell="D113" sqref="D113"/>
    </sheetView>
  </sheetViews>
  <sheetFormatPr defaultRowHeight="14.25" x14ac:dyDescent="0.45"/>
  <sheetData>
    <row r="1" spans="1:14" x14ac:dyDescent="0.45">
      <c r="B1" t="s">
        <v>435</v>
      </c>
      <c r="C1" t="s">
        <v>436</v>
      </c>
    </row>
    <row r="2" spans="1:14" x14ac:dyDescent="0.45">
      <c r="A2" t="s">
        <v>135</v>
      </c>
      <c r="B2">
        <f>house_price_growth!B2</f>
        <v>0.1497</v>
      </c>
      <c r="D2">
        <f>$J$22+B2*$J$23</f>
        <v>30940.520538414054</v>
      </c>
    </row>
    <row r="3" spans="1:14" x14ac:dyDescent="0.45">
      <c r="A3" t="s">
        <v>136</v>
      </c>
      <c r="B3">
        <f>house_price_growth!B3</f>
        <v>-3.1934999999999998</v>
      </c>
      <c r="D3">
        <f t="shared" ref="D3:D66" si="0">$J$22+B3*$J$23</f>
        <v>30561.586018478851</v>
      </c>
    </row>
    <row r="4" spans="1:14" x14ac:dyDescent="0.45">
      <c r="A4" t="s">
        <v>137</v>
      </c>
      <c r="B4">
        <f>house_price_growth!B4</f>
        <v>0.6825</v>
      </c>
      <c r="D4">
        <f t="shared" si="0"/>
        <v>31000.910677269483</v>
      </c>
    </row>
    <row r="5" spans="1:14" x14ac:dyDescent="0.45">
      <c r="A5" t="s">
        <v>138</v>
      </c>
      <c r="B5">
        <f>house_price_growth!B5</f>
        <v>-2.3022999999999998</v>
      </c>
      <c r="D5">
        <f t="shared" si="0"/>
        <v>30662.598953441237</v>
      </c>
    </row>
    <row r="6" spans="1:14" x14ac:dyDescent="0.45">
      <c r="A6" t="s">
        <v>139</v>
      </c>
      <c r="B6">
        <f>house_price_growth!B6</f>
        <v>-0.82420000000000004</v>
      </c>
      <c r="D6">
        <f t="shared" si="0"/>
        <v>30830.133983925869</v>
      </c>
      <c r="I6" t="s">
        <v>425</v>
      </c>
    </row>
    <row r="7" spans="1:14" ht="14.65" thickBot="1" x14ac:dyDescent="0.5">
      <c r="A7" t="s">
        <v>140</v>
      </c>
      <c r="B7">
        <f>house_price_growth!B7</f>
        <v>0.72809999999999997</v>
      </c>
      <c r="D7">
        <f t="shared" si="0"/>
        <v>31006.079202667021</v>
      </c>
    </row>
    <row r="8" spans="1:14" x14ac:dyDescent="0.45">
      <c r="A8" t="s">
        <v>141</v>
      </c>
      <c r="B8">
        <f>house_price_growth!B8</f>
        <v>1.6004</v>
      </c>
      <c r="D8">
        <f t="shared" si="0"/>
        <v>31104.949919865958</v>
      </c>
      <c r="I8" s="20" t="s">
        <v>396</v>
      </c>
      <c r="J8" s="20"/>
    </row>
    <row r="9" spans="1:14" x14ac:dyDescent="0.45">
      <c r="A9" t="s">
        <v>142</v>
      </c>
      <c r="B9">
        <f>house_price_growth!B9</f>
        <v>7.2469000000000001</v>
      </c>
      <c r="D9">
        <f t="shared" si="0"/>
        <v>31744.951644804376</v>
      </c>
      <c r="I9" t="s">
        <v>397</v>
      </c>
      <c r="J9">
        <v>6.5444655536884833E-2</v>
      </c>
    </row>
    <row r="10" spans="1:14" x14ac:dyDescent="0.45">
      <c r="A10" t="s">
        <v>143</v>
      </c>
      <c r="B10">
        <f>house_price_growth!B10</f>
        <v>12.5296</v>
      </c>
      <c r="D10">
        <f t="shared" si="0"/>
        <v>32343.718511417712</v>
      </c>
      <c r="I10" t="s">
        <v>398</v>
      </c>
      <c r="J10">
        <v>4.2830029383415097E-3</v>
      </c>
    </row>
    <row r="11" spans="1:14" x14ac:dyDescent="0.45">
      <c r="A11" t="s">
        <v>144</v>
      </c>
      <c r="B11">
        <f>house_price_growth!B11</f>
        <v>22.093</v>
      </c>
      <c r="D11">
        <f t="shared" si="0"/>
        <v>33427.68069972482</v>
      </c>
      <c r="I11" t="s">
        <v>399</v>
      </c>
      <c r="J11">
        <v>-5.0227633893375409E-3</v>
      </c>
    </row>
    <row r="12" spans="1:14" x14ac:dyDescent="0.45">
      <c r="A12" t="s">
        <v>145</v>
      </c>
      <c r="B12">
        <f>house_price_growth!B12</f>
        <v>30.8904</v>
      </c>
      <c r="D12">
        <f t="shared" si="0"/>
        <v>34424.820728941726</v>
      </c>
      <c r="I12" t="s">
        <v>400</v>
      </c>
      <c r="J12">
        <v>12324.079008722425</v>
      </c>
    </row>
    <row r="13" spans="1:14" ht="14.65" thickBot="1" x14ac:dyDescent="0.5">
      <c r="A13" t="s">
        <v>146</v>
      </c>
      <c r="B13">
        <f>house_price_growth!B13</f>
        <v>33.208300000000001</v>
      </c>
      <c r="D13">
        <f t="shared" si="0"/>
        <v>34687.542768830994</v>
      </c>
      <c r="I13" s="18" t="s">
        <v>401</v>
      </c>
      <c r="J13" s="18">
        <v>109</v>
      </c>
    </row>
    <row r="14" spans="1:14" x14ac:dyDescent="0.45">
      <c r="A14" t="s">
        <v>147</v>
      </c>
      <c r="B14">
        <f>house_price_growth!B14</f>
        <v>40.054200000000002</v>
      </c>
      <c r="D14">
        <f t="shared" si="0"/>
        <v>35463.490313107257</v>
      </c>
    </row>
    <row r="15" spans="1:14" ht="14.65" thickBot="1" x14ac:dyDescent="0.5">
      <c r="A15" t="s">
        <v>148</v>
      </c>
      <c r="B15">
        <f>house_price_growth!B15</f>
        <v>32.384999999999998</v>
      </c>
      <c r="D15">
        <f t="shared" si="0"/>
        <v>34594.225949537307</v>
      </c>
      <c r="I15" t="s">
        <v>402</v>
      </c>
    </row>
    <row r="16" spans="1:14" x14ac:dyDescent="0.45">
      <c r="A16" t="s">
        <v>149</v>
      </c>
      <c r="B16">
        <f>house_price_growth!B16</f>
        <v>22.897099999999998</v>
      </c>
      <c r="D16">
        <f t="shared" si="0"/>
        <v>33518.821297798488</v>
      </c>
      <c r="I16" s="19"/>
      <c r="J16" s="19" t="s">
        <v>403</v>
      </c>
      <c r="K16" s="19" t="s">
        <v>404</v>
      </c>
      <c r="L16" s="19" t="s">
        <v>405</v>
      </c>
      <c r="M16" s="19" t="s">
        <v>406</v>
      </c>
      <c r="N16" s="19" t="s">
        <v>407</v>
      </c>
    </row>
    <row r="17" spans="1:17" x14ac:dyDescent="0.45">
      <c r="A17" t="s">
        <v>150</v>
      </c>
      <c r="B17">
        <f>house_price_growth!B17</f>
        <v>13.7057</v>
      </c>
      <c r="D17">
        <f t="shared" si="0"/>
        <v>32477.023395629181</v>
      </c>
      <c r="I17" t="s">
        <v>408</v>
      </c>
      <c r="J17">
        <v>1</v>
      </c>
      <c r="K17">
        <v>69904506.985940933</v>
      </c>
      <c r="L17">
        <v>69904506.985940933</v>
      </c>
      <c r="M17">
        <v>0.46025257754454402</v>
      </c>
      <c r="N17">
        <v>0.49897056946855078</v>
      </c>
    </row>
    <row r="18" spans="1:17" x14ac:dyDescent="0.45">
      <c r="A18" t="s">
        <v>151</v>
      </c>
      <c r="B18">
        <f>house_price_growth!B18</f>
        <v>0.80130000000000001</v>
      </c>
      <c r="D18">
        <f t="shared" si="0"/>
        <v>31014.37604606833</v>
      </c>
      <c r="I18" t="s">
        <v>409</v>
      </c>
      <c r="J18">
        <v>107</v>
      </c>
      <c r="K18">
        <v>16251472805.2159</v>
      </c>
      <c r="L18">
        <v>151882923.41323271</v>
      </c>
    </row>
    <row r="19" spans="1:17" ht="14.65" thickBot="1" x14ac:dyDescent="0.5">
      <c r="A19" t="s">
        <v>152</v>
      </c>
      <c r="B19">
        <f>house_price_growth!B19</f>
        <v>-6.0823999999999998</v>
      </c>
      <c r="D19">
        <f t="shared" si="0"/>
        <v>30234.144066265162</v>
      </c>
      <c r="I19" s="18" t="s">
        <v>410</v>
      </c>
      <c r="J19" s="18">
        <v>108</v>
      </c>
      <c r="K19" s="18">
        <v>16321377312.201841</v>
      </c>
      <c r="L19" s="18"/>
      <c r="M19" s="18"/>
      <c r="N19" s="18"/>
    </row>
    <row r="20" spans="1:17" ht="14.65" thickBot="1" x14ac:dyDescent="0.5">
      <c r="A20" t="s">
        <v>153</v>
      </c>
      <c r="B20">
        <f>house_price_growth!B20</f>
        <v>-11.137</v>
      </c>
      <c r="D20">
        <f t="shared" si="0"/>
        <v>29661.231161125033</v>
      </c>
    </row>
    <row r="21" spans="1:17" x14ac:dyDescent="0.45">
      <c r="A21" t="s">
        <v>154</v>
      </c>
      <c r="B21">
        <f>house_price_growth!B21</f>
        <v>-11.759499999999999</v>
      </c>
      <c r="D21">
        <f t="shared" si="0"/>
        <v>29590.673988757342</v>
      </c>
      <c r="I21" s="19"/>
      <c r="J21" s="19" t="s">
        <v>411</v>
      </c>
      <c r="K21" s="19" t="s">
        <v>400</v>
      </c>
      <c r="L21" s="19" t="s">
        <v>412</v>
      </c>
      <c r="M21" s="19" t="s">
        <v>413</v>
      </c>
      <c r="N21" s="19" t="s">
        <v>414</v>
      </c>
      <c r="O21" s="19" t="s">
        <v>415</v>
      </c>
      <c r="P21" s="19" t="s">
        <v>416</v>
      </c>
      <c r="Q21" s="19" t="s">
        <v>417</v>
      </c>
    </row>
    <row r="22" spans="1:17" x14ac:dyDescent="0.45">
      <c r="A22" t="s">
        <v>155</v>
      </c>
      <c r="B22">
        <f>house_price_growth!B22</f>
        <v>-13.2102</v>
      </c>
      <c r="D22">
        <f t="shared" si="0"/>
        <v>29426.244607305438</v>
      </c>
      <c r="I22" t="s">
        <v>418</v>
      </c>
      <c r="J22">
        <v>30923.552813589245</v>
      </c>
      <c r="K22">
        <v>1311.8875402357187</v>
      </c>
      <c r="L22">
        <v>23.571801595152685</v>
      </c>
      <c r="M22">
        <v>3.6119913902667937E-44</v>
      </c>
      <c r="N22">
        <v>28322.888770285266</v>
      </c>
      <c r="O22">
        <v>33524.216856893225</v>
      </c>
      <c r="P22">
        <v>28322.888770285266</v>
      </c>
      <c r="Q22">
        <v>33524.216856893225</v>
      </c>
    </row>
    <row r="23" spans="1:17" ht="14.65" thickBot="1" x14ac:dyDescent="0.5">
      <c r="A23" t="s">
        <v>156</v>
      </c>
      <c r="B23">
        <f>house_price_growth!B23</f>
        <v>-13.8772</v>
      </c>
      <c r="D23">
        <f t="shared" si="0"/>
        <v>29350.643588880943</v>
      </c>
      <c r="I23" s="18" t="s">
        <v>419</v>
      </c>
      <c r="J23" s="18">
        <v>113.34485520914191</v>
      </c>
      <c r="K23" s="18">
        <v>167.07200993109768</v>
      </c>
      <c r="L23" s="18">
        <v>0.6784191753956067</v>
      </c>
      <c r="M23" s="18">
        <v>0.4989705694685922</v>
      </c>
      <c r="N23" s="18">
        <v>-217.85591890009371</v>
      </c>
      <c r="O23" s="18">
        <v>444.54562931837756</v>
      </c>
      <c r="P23" s="18">
        <v>-217.85591890009371</v>
      </c>
      <c r="Q23" s="18">
        <v>444.54562931837756</v>
      </c>
    </row>
    <row r="24" spans="1:17" x14ac:dyDescent="0.45">
      <c r="A24" t="s">
        <v>157</v>
      </c>
      <c r="B24">
        <f>house_price_growth!B24</f>
        <v>-13.7387</v>
      </c>
      <c r="D24">
        <f t="shared" si="0"/>
        <v>29366.341851327408</v>
      </c>
    </row>
    <row r="25" spans="1:17" x14ac:dyDescent="0.45">
      <c r="A25" t="s">
        <v>158</v>
      </c>
      <c r="B25">
        <f>house_price_growth!B25</f>
        <v>-12.793900000000001</v>
      </c>
      <c r="D25">
        <f t="shared" si="0"/>
        <v>29473.430070529004</v>
      </c>
    </row>
    <row r="26" spans="1:17" x14ac:dyDescent="0.45">
      <c r="A26" t="s">
        <v>159</v>
      </c>
      <c r="B26">
        <f>house_price_growth!B26</f>
        <v>-10.0465</v>
      </c>
      <c r="D26">
        <f t="shared" si="0"/>
        <v>29784.833725730601</v>
      </c>
    </row>
    <row r="27" spans="1:17" x14ac:dyDescent="0.45">
      <c r="A27" t="s">
        <v>160</v>
      </c>
      <c r="B27">
        <f>house_price_growth!B27</f>
        <v>-4.8136000000000001</v>
      </c>
      <c r="D27">
        <f t="shared" si="0"/>
        <v>30377.95601855452</v>
      </c>
    </row>
    <row r="28" spans="1:17" x14ac:dyDescent="0.45">
      <c r="A28" t="s">
        <v>161</v>
      </c>
      <c r="B28">
        <f>house_price_growth!B28</f>
        <v>-4.1456</v>
      </c>
      <c r="D28">
        <f t="shared" si="0"/>
        <v>30453.670381834228</v>
      </c>
    </row>
    <row r="29" spans="1:17" x14ac:dyDescent="0.45">
      <c r="A29" t="s">
        <v>162</v>
      </c>
      <c r="B29">
        <f>house_price_growth!B29</f>
        <v>-4.2324000000000002</v>
      </c>
      <c r="D29">
        <f t="shared" si="0"/>
        <v>30443.832048402073</v>
      </c>
    </row>
    <row r="30" spans="1:17" x14ac:dyDescent="0.45">
      <c r="A30" t="s">
        <v>163</v>
      </c>
      <c r="B30">
        <f>house_price_growth!B30</f>
        <v>-7.4621000000000004</v>
      </c>
      <c r="D30">
        <f t="shared" si="0"/>
        <v>30077.762169533107</v>
      </c>
    </row>
    <row r="31" spans="1:17" x14ac:dyDescent="0.45">
      <c r="A31" t="s">
        <v>164</v>
      </c>
      <c r="B31">
        <f>house_price_growth!B31</f>
        <v>-8.9741999999999997</v>
      </c>
      <c r="D31">
        <f t="shared" si="0"/>
        <v>29906.373413971363</v>
      </c>
    </row>
    <row r="32" spans="1:17" x14ac:dyDescent="0.45">
      <c r="A32" t="s">
        <v>165</v>
      </c>
      <c r="B32">
        <f>house_price_growth!B32</f>
        <v>-7.7491000000000003</v>
      </c>
      <c r="D32">
        <f t="shared" si="0"/>
        <v>30045.232196088084</v>
      </c>
    </row>
    <row r="33" spans="1:4" x14ac:dyDescent="0.45">
      <c r="A33" t="s">
        <v>166</v>
      </c>
      <c r="B33">
        <f>house_price_growth!B33</f>
        <v>-3.3426</v>
      </c>
      <c r="D33">
        <f t="shared" si="0"/>
        <v>30544.686300567169</v>
      </c>
    </row>
    <row r="34" spans="1:4" x14ac:dyDescent="0.45">
      <c r="A34" t="s">
        <v>167</v>
      </c>
      <c r="B34">
        <f>house_price_growth!B34</f>
        <v>1.4341999999999999</v>
      </c>
      <c r="D34">
        <f t="shared" si="0"/>
        <v>31086.112004930197</v>
      </c>
    </row>
    <row r="35" spans="1:4" x14ac:dyDescent="0.45">
      <c r="A35" t="s">
        <v>168</v>
      </c>
      <c r="B35">
        <f>house_price_growth!B35</f>
        <v>6.3121</v>
      </c>
      <c r="D35">
        <f t="shared" si="0"/>
        <v>31638.996874154869</v>
      </c>
    </row>
    <row r="36" spans="1:4" x14ac:dyDescent="0.45">
      <c r="A36" t="s">
        <v>169</v>
      </c>
      <c r="B36">
        <f>house_price_growth!B36</f>
        <v>10.4078</v>
      </c>
      <c r="D36">
        <f t="shared" si="0"/>
        <v>32103.223397634953</v>
      </c>
    </row>
    <row r="37" spans="1:4" x14ac:dyDescent="0.45">
      <c r="A37" t="s">
        <v>170</v>
      </c>
      <c r="B37">
        <f>house_price_growth!B37</f>
        <v>14.4513</v>
      </c>
      <c r="D37">
        <f t="shared" si="0"/>
        <v>32561.533319673119</v>
      </c>
    </row>
    <row r="38" spans="1:4" x14ac:dyDescent="0.45">
      <c r="A38" t="s">
        <v>171</v>
      </c>
      <c r="B38">
        <f>house_price_growth!B38</f>
        <v>17.014800000000001</v>
      </c>
      <c r="D38">
        <f t="shared" si="0"/>
        <v>32852.092856001756</v>
      </c>
    </row>
    <row r="39" spans="1:4" x14ac:dyDescent="0.45">
      <c r="A39" t="s">
        <v>172</v>
      </c>
      <c r="B39">
        <f>house_price_growth!B39</f>
        <v>19.635000000000002</v>
      </c>
      <c r="D39">
        <f t="shared" si="0"/>
        <v>33149.079045620747</v>
      </c>
    </row>
    <row r="40" spans="1:4" x14ac:dyDescent="0.45">
      <c r="A40" t="s">
        <v>173</v>
      </c>
      <c r="B40">
        <f>house_price_growth!B40</f>
        <v>15.6698</v>
      </c>
      <c r="D40">
        <f t="shared" si="0"/>
        <v>32699.644025745456</v>
      </c>
    </row>
    <row r="41" spans="1:4" x14ac:dyDescent="0.45">
      <c r="A41" t="s">
        <v>174</v>
      </c>
      <c r="B41">
        <f>house_price_growth!B41</f>
        <v>12.9377</v>
      </c>
      <c r="D41">
        <f t="shared" si="0"/>
        <v>32389.974546828562</v>
      </c>
    </row>
    <row r="42" spans="1:4" x14ac:dyDescent="0.45">
      <c r="A42" t="s">
        <v>175</v>
      </c>
      <c r="B42">
        <f>house_price_growth!B42</f>
        <v>11.4658</v>
      </c>
      <c r="D42">
        <f t="shared" si="0"/>
        <v>32223.142254446226</v>
      </c>
    </row>
    <row r="43" spans="1:4" x14ac:dyDescent="0.45">
      <c r="A43" t="s">
        <v>176</v>
      </c>
      <c r="B43">
        <f>house_price_growth!B43</f>
        <v>4.6422999999999996</v>
      </c>
      <c r="D43">
        <f t="shared" si="0"/>
        <v>31449.733634926644</v>
      </c>
    </row>
    <row r="44" spans="1:4" x14ac:dyDescent="0.45">
      <c r="A44" t="s">
        <v>177</v>
      </c>
      <c r="B44">
        <f>house_price_growth!B44</f>
        <v>5.0808</v>
      </c>
      <c r="D44">
        <f t="shared" si="0"/>
        <v>31499.435353935853</v>
      </c>
    </row>
    <row r="45" spans="1:4" x14ac:dyDescent="0.45">
      <c r="A45" t="s">
        <v>178</v>
      </c>
      <c r="B45">
        <f>house_price_growth!B45</f>
        <v>0.19489999999999999</v>
      </c>
      <c r="D45">
        <f t="shared" si="0"/>
        <v>30945.643725869508</v>
      </c>
    </row>
    <row r="46" spans="1:4" x14ac:dyDescent="0.45">
      <c r="A46" t="s">
        <v>179</v>
      </c>
      <c r="B46">
        <f>house_price_growth!B46</f>
        <v>-3.5371000000000001</v>
      </c>
      <c r="D46">
        <f t="shared" si="0"/>
        <v>30522.64072622899</v>
      </c>
    </row>
    <row r="47" spans="1:4" x14ac:dyDescent="0.45">
      <c r="A47" t="s">
        <v>180</v>
      </c>
      <c r="B47">
        <f>house_price_growth!B47</f>
        <v>-3.8502999999999998</v>
      </c>
      <c r="D47">
        <f t="shared" si="0"/>
        <v>30487.141117577485</v>
      </c>
    </row>
    <row r="48" spans="1:4" x14ac:dyDescent="0.45">
      <c r="A48" t="s">
        <v>181</v>
      </c>
      <c r="B48">
        <f>house_price_growth!B48</f>
        <v>-5.9362000000000004</v>
      </c>
      <c r="D48">
        <f t="shared" si="0"/>
        <v>30250.715084096737</v>
      </c>
    </row>
    <row r="49" spans="1:4" x14ac:dyDescent="0.45">
      <c r="A49" t="s">
        <v>182</v>
      </c>
      <c r="B49">
        <f>house_price_growth!B49</f>
        <v>-8.2111999999999998</v>
      </c>
      <c r="D49">
        <f t="shared" si="0"/>
        <v>29992.85553849594</v>
      </c>
    </row>
    <row r="50" spans="1:4" x14ac:dyDescent="0.45">
      <c r="A50" t="s">
        <v>183</v>
      </c>
      <c r="B50">
        <f>house_price_growth!B50</f>
        <v>-9.2223000000000006</v>
      </c>
      <c r="D50">
        <f t="shared" si="0"/>
        <v>29878.252555393978</v>
      </c>
    </row>
    <row r="51" spans="1:4" x14ac:dyDescent="0.45">
      <c r="A51" t="s">
        <v>184</v>
      </c>
      <c r="B51">
        <f>house_price_growth!B51</f>
        <v>-6.6205999999999996</v>
      </c>
      <c r="D51">
        <f t="shared" si="0"/>
        <v>30173.141865191599</v>
      </c>
    </row>
    <row r="52" spans="1:4" x14ac:dyDescent="0.45">
      <c r="A52" t="s">
        <v>185</v>
      </c>
      <c r="B52">
        <f>house_price_growth!B52</f>
        <v>-4.6550000000000002</v>
      </c>
      <c r="D52">
        <f t="shared" si="0"/>
        <v>30395.932512590691</v>
      </c>
    </row>
    <row r="53" spans="1:4" x14ac:dyDescent="0.45">
      <c r="A53" t="s">
        <v>186</v>
      </c>
      <c r="B53">
        <f>house_price_growth!B53</f>
        <v>-0.83120000000000005</v>
      </c>
      <c r="D53">
        <f t="shared" si="0"/>
        <v>30829.340569939406</v>
      </c>
    </row>
    <row r="54" spans="1:4" x14ac:dyDescent="0.45">
      <c r="A54" t="s">
        <v>187</v>
      </c>
      <c r="B54">
        <f>house_price_growth!B54</f>
        <v>5.2214999999999998</v>
      </c>
      <c r="D54">
        <f t="shared" si="0"/>
        <v>31515.382975063781</v>
      </c>
    </row>
    <row r="55" spans="1:4" x14ac:dyDescent="0.45">
      <c r="A55" t="s">
        <v>188</v>
      </c>
      <c r="B55">
        <f>house_price_growth!B55</f>
        <v>6.1289999999999996</v>
      </c>
      <c r="D55">
        <f t="shared" si="0"/>
        <v>31618.243431166076</v>
      </c>
    </row>
    <row r="56" spans="1:4" x14ac:dyDescent="0.45">
      <c r="A56" t="s">
        <v>189</v>
      </c>
      <c r="B56">
        <f>house_price_growth!B56</f>
        <v>7.5483000000000002</v>
      </c>
      <c r="D56">
        <f t="shared" si="0"/>
        <v>31779.113784164412</v>
      </c>
    </row>
    <row r="57" spans="1:4" x14ac:dyDescent="0.45">
      <c r="A57" t="s">
        <v>190</v>
      </c>
      <c r="B57">
        <f>house_price_growth!B57</f>
        <v>7.0175000000000001</v>
      </c>
      <c r="D57">
        <f t="shared" si="0"/>
        <v>31718.950335019399</v>
      </c>
    </row>
    <row r="58" spans="1:4" x14ac:dyDescent="0.45">
      <c r="A58" t="s">
        <v>191</v>
      </c>
      <c r="B58">
        <f>house_price_growth!B58</f>
        <v>5.0910000000000002</v>
      </c>
      <c r="D58">
        <f t="shared" si="0"/>
        <v>31500.591471458985</v>
      </c>
    </row>
    <row r="59" spans="1:4" x14ac:dyDescent="0.45">
      <c r="A59" t="s">
        <v>192</v>
      </c>
      <c r="B59">
        <f>house_price_growth!B59</f>
        <v>4.2805</v>
      </c>
      <c r="D59">
        <f t="shared" si="0"/>
        <v>31408.725466311978</v>
      </c>
    </row>
    <row r="60" spans="1:4" x14ac:dyDescent="0.45">
      <c r="A60" t="s">
        <v>193</v>
      </c>
      <c r="B60">
        <f>house_price_growth!B60</f>
        <v>4.5453000000000001</v>
      </c>
      <c r="D60">
        <f t="shared" si="0"/>
        <v>31438.73918397136</v>
      </c>
    </row>
    <row r="61" spans="1:4" x14ac:dyDescent="0.45">
      <c r="A61" t="s">
        <v>194</v>
      </c>
      <c r="B61">
        <f>house_price_growth!B61</f>
        <v>5.3529</v>
      </c>
      <c r="D61">
        <f t="shared" si="0"/>
        <v>31530.27648903826</v>
      </c>
    </row>
    <row r="62" spans="1:4" x14ac:dyDescent="0.45">
      <c r="A62" t="s">
        <v>195</v>
      </c>
      <c r="B62">
        <f>house_price_growth!B62</f>
        <v>3.7225999999999999</v>
      </c>
      <c r="D62">
        <f t="shared" si="0"/>
        <v>31345.490371590797</v>
      </c>
    </row>
    <row r="63" spans="1:4" x14ac:dyDescent="0.45">
      <c r="A63" t="s">
        <v>196</v>
      </c>
      <c r="B63">
        <f>house_price_growth!B63</f>
        <v>3.8178999999999998</v>
      </c>
      <c r="D63">
        <f t="shared" si="0"/>
        <v>31356.292136292228</v>
      </c>
    </row>
    <row r="64" spans="1:4" x14ac:dyDescent="0.45">
      <c r="A64" t="s">
        <v>197</v>
      </c>
      <c r="B64">
        <f>house_price_growth!B64</f>
        <v>2.2932999999999999</v>
      </c>
      <c r="D64">
        <f t="shared" si="0"/>
        <v>31183.486570040372</v>
      </c>
    </row>
    <row r="65" spans="1:4" x14ac:dyDescent="0.45">
      <c r="A65" t="s">
        <v>198</v>
      </c>
      <c r="B65">
        <f>house_price_growth!B65</f>
        <v>4.4992999999999999</v>
      </c>
      <c r="D65">
        <f t="shared" si="0"/>
        <v>31433.525320631739</v>
      </c>
    </row>
    <row r="66" spans="1:4" x14ac:dyDescent="0.45">
      <c r="A66" t="s">
        <v>199</v>
      </c>
      <c r="B66">
        <f>house_price_growth!B66</f>
        <v>7.3010000000000002</v>
      </c>
      <c r="D66">
        <f t="shared" si="0"/>
        <v>31751.083601471189</v>
      </c>
    </row>
    <row r="67" spans="1:4" x14ac:dyDescent="0.45">
      <c r="A67" t="s">
        <v>200</v>
      </c>
      <c r="B67">
        <f>house_price_growth!B67</f>
        <v>9.3375000000000004</v>
      </c>
      <c r="D67">
        <f t="shared" ref="D67:D111" si="1">$J$22+B67*$J$23</f>
        <v>31981.910399104607</v>
      </c>
    </row>
    <row r="68" spans="1:4" x14ac:dyDescent="0.45">
      <c r="A68" t="s">
        <v>201</v>
      </c>
      <c r="B68">
        <f>house_price_growth!B68</f>
        <v>11.637600000000001</v>
      </c>
      <c r="D68">
        <f t="shared" si="1"/>
        <v>32242.614900571156</v>
      </c>
    </row>
    <row r="69" spans="1:4" x14ac:dyDescent="0.45">
      <c r="A69" t="s">
        <v>202</v>
      </c>
      <c r="B69">
        <f>house_price_growth!B69</f>
        <v>11.1157</v>
      </c>
      <c r="D69">
        <f t="shared" si="1"/>
        <v>32183.460220637506</v>
      </c>
    </row>
    <row r="70" spans="1:4" x14ac:dyDescent="0.45">
      <c r="A70" t="s">
        <v>203</v>
      </c>
      <c r="B70">
        <f>house_price_growth!B70</f>
        <v>11.7424</v>
      </c>
      <c r="D70">
        <f t="shared" si="1"/>
        <v>32254.493441397073</v>
      </c>
    </row>
    <row r="71" spans="1:4" x14ac:dyDescent="0.45">
      <c r="A71" t="s">
        <v>204</v>
      </c>
      <c r="B71">
        <f>house_price_growth!B71</f>
        <v>11.9862</v>
      </c>
      <c r="D71">
        <f t="shared" si="1"/>
        <v>32282.126917097063</v>
      </c>
    </row>
    <row r="72" spans="1:4" x14ac:dyDescent="0.45">
      <c r="A72" t="s">
        <v>205</v>
      </c>
      <c r="B72">
        <f>house_price_growth!B72</f>
        <v>12.8324</v>
      </c>
      <c r="D72">
        <f t="shared" si="1"/>
        <v>32378.039333575038</v>
      </c>
    </row>
    <row r="73" spans="1:4" x14ac:dyDescent="0.45">
      <c r="A73" t="s">
        <v>206</v>
      </c>
      <c r="B73">
        <f>house_price_growth!B73</f>
        <v>15.9732</v>
      </c>
      <c r="D73">
        <f t="shared" si="1"/>
        <v>32734.032854815912</v>
      </c>
    </row>
    <row r="74" spans="1:4" x14ac:dyDescent="0.45">
      <c r="A74" t="s">
        <v>207</v>
      </c>
      <c r="B74">
        <f>house_price_growth!B74</f>
        <v>17.715399999999999</v>
      </c>
      <c r="D74">
        <f t="shared" si="1"/>
        <v>32931.502261561276</v>
      </c>
    </row>
    <row r="75" spans="1:4" x14ac:dyDescent="0.45">
      <c r="A75" t="s">
        <v>208</v>
      </c>
      <c r="B75">
        <f>house_price_growth!B75</f>
        <v>18.684799999999999</v>
      </c>
      <c r="D75">
        <f t="shared" si="1"/>
        <v>33041.378764201021</v>
      </c>
    </row>
    <row r="76" spans="1:4" x14ac:dyDescent="0.45">
      <c r="A76" t="s">
        <v>209</v>
      </c>
      <c r="B76">
        <f>house_price_growth!B76</f>
        <v>27.198499999999999</v>
      </c>
      <c r="D76">
        <f t="shared" si="1"/>
        <v>34006.362857995089</v>
      </c>
    </row>
    <row r="77" spans="1:4" x14ac:dyDescent="0.45">
      <c r="A77" t="s">
        <v>210</v>
      </c>
      <c r="B77">
        <f>house_price_growth!B77</f>
        <v>27.246200000000002</v>
      </c>
      <c r="D77">
        <f t="shared" si="1"/>
        <v>34011.769407588567</v>
      </c>
    </row>
    <row r="78" spans="1:4" x14ac:dyDescent="0.45">
      <c r="A78" t="s">
        <v>211</v>
      </c>
      <c r="B78">
        <f>house_price_growth!B78</f>
        <v>24.018799999999999</v>
      </c>
      <c r="D78">
        <f t="shared" si="1"/>
        <v>33645.960221886584</v>
      </c>
    </row>
    <row r="79" spans="1:4" x14ac:dyDescent="0.45">
      <c r="A79" t="s">
        <v>212</v>
      </c>
      <c r="B79">
        <f>house_price_growth!B79</f>
        <v>20.7683</v>
      </c>
      <c r="D79">
        <f t="shared" si="1"/>
        <v>33277.532770029269</v>
      </c>
    </row>
    <row r="80" spans="1:4" x14ac:dyDescent="0.45">
      <c r="A80" t="s">
        <v>213</v>
      </c>
      <c r="B80">
        <f>house_price_growth!B80</f>
        <v>10.5907</v>
      </c>
      <c r="D80">
        <f t="shared" si="1"/>
        <v>32123.954171652706</v>
      </c>
    </row>
    <row r="81" spans="1:4" x14ac:dyDescent="0.45">
      <c r="A81" t="s">
        <v>214</v>
      </c>
      <c r="B81">
        <f>house_price_growth!B81</f>
        <v>1.659</v>
      </c>
      <c r="D81">
        <f t="shared" si="1"/>
        <v>31111.591928381211</v>
      </c>
    </row>
    <row r="82" spans="1:4" x14ac:dyDescent="0.45">
      <c r="A82" t="s">
        <v>215</v>
      </c>
      <c r="B82">
        <f>house_price_growth!B82</f>
        <v>-2.7370999999999999</v>
      </c>
      <c r="D82">
        <f t="shared" si="1"/>
        <v>30613.316610396305</v>
      </c>
    </row>
    <row r="83" spans="1:4" x14ac:dyDescent="0.45">
      <c r="A83" t="s">
        <v>216</v>
      </c>
      <c r="B83">
        <f>house_price_growth!B83</f>
        <v>-7.69</v>
      </c>
      <c r="D83">
        <f t="shared" si="1"/>
        <v>30051.930877030944</v>
      </c>
    </row>
    <row r="84" spans="1:4" x14ac:dyDescent="0.45">
      <c r="A84" t="s">
        <v>217</v>
      </c>
      <c r="B84">
        <f>house_price_growth!B84</f>
        <v>-9.9198000000000004</v>
      </c>
      <c r="D84">
        <f t="shared" si="1"/>
        <v>29799.194518885601</v>
      </c>
    </row>
    <row r="85" spans="1:4" x14ac:dyDescent="0.45">
      <c r="A85" t="s">
        <v>218</v>
      </c>
      <c r="B85">
        <f>house_price_growth!B85</f>
        <v>-9.8308</v>
      </c>
      <c r="D85">
        <f t="shared" si="1"/>
        <v>29809.282210999212</v>
      </c>
    </row>
    <row r="86" spans="1:4" x14ac:dyDescent="0.45">
      <c r="A86" t="s">
        <v>219</v>
      </c>
      <c r="B86">
        <f>house_price_growth!B86</f>
        <v>-8.4223999999999997</v>
      </c>
      <c r="D86">
        <f t="shared" si="1"/>
        <v>29968.917105075769</v>
      </c>
    </row>
    <row r="87" spans="1:4" x14ac:dyDescent="0.45">
      <c r="A87" t="s">
        <v>220</v>
      </c>
      <c r="B87">
        <f>house_price_growth!B87</f>
        <v>-9.1974999999999998</v>
      </c>
      <c r="D87">
        <f t="shared" si="1"/>
        <v>29881.063507803163</v>
      </c>
    </row>
    <row r="88" spans="1:4" x14ac:dyDescent="0.45">
      <c r="A88" t="s">
        <v>221</v>
      </c>
      <c r="B88">
        <f>house_price_growth!B88</f>
        <v>-8.5642999999999994</v>
      </c>
      <c r="D88">
        <f t="shared" si="1"/>
        <v>29952.83347012159</v>
      </c>
    </row>
    <row r="89" spans="1:4" x14ac:dyDescent="0.45">
      <c r="A89" t="s">
        <v>222</v>
      </c>
      <c r="B89">
        <f>house_price_growth!B89</f>
        <v>-7.1614000000000004</v>
      </c>
      <c r="D89">
        <f t="shared" si="1"/>
        <v>30111.844967494497</v>
      </c>
    </row>
    <row r="90" spans="1:4" x14ac:dyDescent="0.45">
      <c r="A90" t="s">
        <v>223</v>
      </c>
      <c r="B90">
        <f>house_price_growth!B90</f>
        <v>-7.3655999999999997</v>
      </c>
      <c r="D90">
        <f t="shared" si="1"/>
        <v>30088.699948060788</v>
      </c>
    </row>
    <row r="91" spans="1:4" x14ac:dyDescent="0.45">
      <c r="A91" t="s">
        <v>224</v>
      </c>
      <c r="B91">
        <f>house_price_growth!B91</f>
        <v>-6.9862000000000002</v>
      </c>
      <c r="D91">
        <f t="shared" si="1"/>
        <v>30131.702986127137</v>
      </c>
    </row>
    <row r="92" spans="1:4" x14ac:dyDescent="0.45">
      <c r="A92" t="s">
        <v>225</v>
      </c>
      <c r="B92">
        <f>house_price_growth!B92</f>
        <v>-7.4287999999999998</v>
      </c>
      <c r="D92">
        <f t="shared" si="1"/>
        <v>30081.536553211572</v>
      </c>
    </row>
    <row r="93" spans="1:4" x14ac:dyDescent="0.45">
      <c r="A93" t="s">
        <v>226</v>
      </c>
      <c r="B93">
        <f>house_price_growth!B93</f>
        <v>-9.8391000000000002</v>
      </c>
      <c r="D93">
        <f t="shared" si="1"/>
        <v>29808.341448700976</v>
      </c>
    </row>
    <row r="94" spans="1:4" x14ac:dyDescent="0.45">
      <c r="A94" t="s">
        <v>227</v>
      </c>
      <c r="B94">
        <f>house_price_growth!B94</f>
        <v>-7.6128</v>
      </c>
      <c r="D94">
        <f t="shared" si="1"/>
        <v>30060.681099853089</v>
      </c>
    </row>
    <row r="95" spans="1:4" x14ac:dyDescent="0.45">
      <c r="A95" t="s">
        <v>228</v>
      </c>
      <c r="B95">
        <f>house_price_growth!B95</f>
        <v>-4.6303000000000001</v>
      </c>
      <c r="D95">
        <f t="shared" si="1"/>
        <v>30398.732130514356</v>
      </c>
    </row>
    <row r="96" spans="1:4" x14ac:dyDescent="0.45">
      <c r="A96" t="s">
        <v>229</v>
      </c>
      <c r="B96">
        <f>house_price_growth!B96</f>
        <v>-3.2724000000000002</v>
      </c>
      <c r="D96">
        <f t="shared" si="1"/>
        <v>30552.643109402848</v>
      </c>
    </row>
    <row r="97" spans="1:4" x14ac:dyDescent="0.45">
      <c r="A97" t="s">
        <v>230</v>
      </c>
      <c r="B97">
        <f>house_price_growth!B97</f>
        <v>-0.88629999999999998</v>
      </c>
      <c r="D97">
        <f t="shared" si="1"/>
        <v>30823.095268417383</v>
      </c>
    </row>
    <row r="98" spans="1:4" x14ac:dyDescent="0.45">
      <c r="A98" t="s">
        <v>231</v>
      </c>
      <c r="B98">
        <f>house_price_growth!B98</f>
        <v>-0.38979999999999998</v>
      </c>
      <c r="D98">
        <f t="shared" si="1"/>
        <v>30879.370989028721</v>
      </c>
    </row>
    <row r="99" spans="1:4" x14ac:dyDescent="0.45">
      <c r="A99" t="s">
        <v>232</v>
      </c>
      <c r="B99">
        <f>house_price_growth!B99</f>
        <v>0.64800000000000002</v>
      </c>
      <c r="D99">
        <f t="shared" si="1"/>
        <v>30997.000279764768</v>
      </c>
    </row>
    <row r="100" spans="1:4" x14ac:dyDescent="0.45">
      <c r="A100" t="s">
        <v>233</v>
      </c>
      <c r="B100">
        <f>house_price_growth!B100</f>
        <v>0.62170000000000003</v>
      </c>
      <c r="D100">
        <f t="shared" si="1"/>
        <v>30994.01931007277</v>
      </c>
    </row>
    <row r="101" spans="1:4" x14ac:dyDescent="0.45">
      <c r="A101" t="s">
        <v>234</v>
      </c>
      <c r="B101">
        <f>house_price_growth!B101</f>
        <v>1.7744</v>
      </c>
      <c r="D101">
        <f t="shared" si="1"/>
        <v>31124.671924672348</v>
      </c>
    </row>
    <row r="102" spans="1:4" x14ac:dyDescent="0.45">
      <c r="A102" t="s">
        <v>235</v>
      </c>
      <c r="B102">
        <f>house_price_growth!B102</f>
        <v>-0.9153</v>
      </c>
      <c r="D102">
        <f t="shared" si="1"/>
        <v>30819.808267616318</v>
      </c>
    </row>
    <row r="103" spans="1:4" x14ac:dyDescent="0.45">
      <c r="A103" t="s">
        <v>236</v>
      </c>
      <c r="B103">
        <f>house_price_growth!B103</f>
        <v>-1.0790999999999999</v>
      </c>
      <c r="D103">
        <f t="shared" si="1"/>
        <v>30801.24238033306</v>
      </c>
    </row>
    <row r="104" spans="1:4" x14ac:dyDescent="0.45">
      <c r="A104" t="s">
        <v>237</v>
      </c>
      <c r="B104">
        <f>house_price_growth!B104</f>
        <v>-2.2715000000000001</v>
      </c>
      <c r="D104">
        <f t="shared" si="1"/>
        <v>30666.089974981678</v>
      </c>
    </row>
    <row r="105" spans="1:4" x14ac:dyDescent="0.45">
      <c r="A105" t="s">
        <v>238</v>
      </c>
      <c r="B105">
        <f>house_price_growth!B105</f>
        <v>-3.2057000000000002</v>
      </c>
      <c r="D105">
        <f t="shared" si="1"/>
        <v>30560.203211245298</v>
      </c>
    </row>
    <row r="106" spans="1:4" x14ac:dyDescent="0.45">
      <c r="A106" t="s">
        <v>239</v>
      </c>
      <c r="B106">
        <f>house_price_growth!B106</f>
        <v>-0.63900000000000001</v>
      </c>
      <c r="D106">
        <f t="shared" si="1"/>
        <v>30851.125451110605</v>
      </c>
    </row>
    <row r="107" spans="1:4" x14ac:dyDescent="0.45">
      <c r="A107" t="s">
        <v>240</v>
      </c>
      <c r="B107">
        <f>house_price_growth!B107</f>
        <v>-1.2655000000000001</v>
      </c>
      <c r="D107">
        <f t="shared" si="1"/>
        <v>30780.114899322078</v>
      </c>
    </row>
    <row r="108" spans="1:4" x14ac:dyDescent="0.45">
      <c r="A108" t="s">
        <v>241</v>
      </c>
      <c r="B108">
        <f>house_price_growth!B108</f>
        <v>1.7986</v>
      </c>
      <c r="D108">
        <f t="shared" si="1"/>
        <v>31127.41487016841</v>
      </c>
    </row>
    <row r="109" spans="1:4" x14ac:dyDescent="0.45">
      <c r="A109" t="s">
        <v>242</v>
      </c>
      <c r="B109">
        <f>house_price_growth!B109</f>
        <v>4.9112</v>
      </c>
      <c r="D109">
        <f t="shared" si="1"/>
        <v>31480.212066492382</v>
      </c>
    </row>
    <row r="110" spans="1:4" x14ac:dyDescent="0.45">
      <c r="A110" t="s">
        <v>243</v>
      </c>
      <c r="B110">
        <f>house_price_growth!B110</f>
        <v>5.3745000000000003</v>
      </c>
      <c r="D110">
        <f t="shared" si="1"/>
        <v>31532.724737910779</v>
      </c>
    </row>
    <row r="111" spans="1:4" x14ac:dyDescent="0.45">
      <c r="A111" t="s">
        <v>244</v>
      </c>
      <c r="B111">
        <f>house_price_growth!B111</f>
        <v>7.5163000000000002</v>
      </c>
      <c r="D111">
        <f t="shared" si="1"/>
        <v>31775.486748797717</v>
      </c>
    </row>
    <row r="112" spans="1:4" x14ac:dyDescent="0.45">
      <c r="A112" t="s">
        <v>245</v>
      </c>
      <c r="B112">
        <f>house_price_growth!B112</f>
        <v>8.3847000000000005</v>
      </c>
      <c r="D112">
        <f>$J$22+B112*$J$23</f>
        <v>31873.915421061338</v>
      </c>
    </row>
    <row r="113" spans="1:4" s="10" customFormat="1" x14ac:dyDescent="0.45">
      <c r="A113" s="10" t="s">
        <v>246</v>
      </c>
      <c r="B113" s="10">
        <f>house_price_growth!B113</f>
        <v>6.0034999999999998</v>
      </c>
      <c r="C113" s="10">
        <v>10530</v>
      </c>
      <c r="D113">
        <f>C113</f>
        <v>10530</v>
      </c>
    </row>
    <row r="114" spans="1:4" x14ac:dyDescent="0.45">
      <c r="A114" t="s">
        <v>247</v>
      </c>
      <c r="B114">
        <f>house_price_growth!B114</f>
        <v>7.4116999999999997</v>
      </c>
      <c r="C114">
        <v>10091</v>
      </c>
      <c r="D114">
        <f t="shared" ref="D114:D177" si="2">C114</f>
        <v>10091</v>
      </c>
    </row>
    <row r="115" spans="1:4" x14ac:dyDescent="0.45">
      <c r="A115" t="s">
        <v>248</v>
      </c>
      <c r="B115">
        <f>house_price_growth!B115</f>
        <v>10.741199999999999</v>
      </c>
      <c r="C115">
        <v>10449</v>
      </c>
      <c r="D115">
        <f t="shared" si="2"/>
        <v>10449</v>
      </c>
    </row>
    <row r="116" spans="1:4" x14ac:dyDescent="0.45">
      <c r="A116" t="s">
        <v>249</v>
      </c>
      <c r="B116">
        <f>house_price_growth!B116</f>
        <v>10.4556</v>
      </c>
      <c r="C116">
        <v>10761</v>
      </c>
      <c r="D116">
        <f t="shared" si="2"/>
        <v>10761</v>
      </c>
    </row>
    <row r="117" spans="1:4" x14ac:dyDescent="0.45">
      <c r="A117" t="s">
        <v>250</v>
      </c>
      <c r="B117">
        <f>house_price_growth!B117</f>
        <v>10.485900000000001</v>
      </c>
      <c r="C117">
        <v>10853</v>
      </c>
      <c r="D117">
        <f t="shared" si="2"/>
        <v>10853</v>
      </c>
    </row>
    <row r="118" spans="1:4" x14ac:dyDescent="0.45">
      <c r="A118" t="s">
        <v>251</v>
      </c>
      <c r="B118">
        <f>house_price_growth!B118</f>
        <v>8.3851999999999993</v>
      </c>
      <c r="C118">
        <v>12494</v>
      </c>
      <c r="D118">
        <f t="shared" si="2"/>
        <v>12494</v>
      </c>
    </row>
    <row r="119" spans="1:4" x14ac:dyDescent="0.45">
      <c r="A119" t="s">
        <v>252</v>
      </c>
      <c r="B119">
        <f>house_price_growth!B119</f>
        <v>7.2850000000000001</v>
      </c>
      <c r="C119">
        <v>14387</v>
      </c>
      <c r="D119">
        <f t="shared" si="2"/>
        <v>14387</v>
      </c>
    </row>
    <row r="120" spans="1:4" x14ac:dyDescent="0.45">
      <c r="A120" t="s">
        <v>253</v>
      </c>
      <c r="B120">
        <f>house_price_growth!B120</f>
        <v>9.0389999999999997</v>
      </c>
      <c r="C120">
        <v>15919</v>
      </c>
      <c r="D120">
        <f t="shared" si="2"/>
        <v>15919</v>
      </c>
    </row>
    <row r="121" spans="1:4" x14ac:dyDescent="0.45">
      <c r="A121" t="s">
        <v>254</v>
      </c>
      <c r="B121">
        <f>house_price_growth!B121</f>
        <v>12.707800000000001</v>
      </c>
      <c r="C121">
        <v>15832</v>
      </c>
      <c r="D121">
        <f t="shared" si="2"/>
        <v>15832</v>
      </c>
    </row>
    <row r="122" spans="1:4" x14ac:dyDescent="0.45">
      <c r="A122" t="s">
        <v>255</v>
      </c>
      <c r="B122">
        <f>house_price_growth!B122</f>
        <v>15.0928</v>
      </c>
      <c r="C122">
        <v>14802</v>
      </c>
      <c r="D122">
        <f t="shared" si="2"/>
        <v>14802</v>
      </c>
    </row>
    <row r="123" spans="1:4" x14ac:dyDescent="0.45">
      <c r="A123" t="s">
        <v>256</v>
      </c>
      <c r="B123">
        <f>house_price_growth!B123</f>
        <v>16.690200000000001</v>
      </c>
      <c r="C123">
        <v>14232</v>
      </c>
      <c r="D123">
        <f t="shared" si="2"/>
        <v>14232</v>
      </c>
    </row>
    <row r="124" spans="1:4" x14ac:dyDescent="0.45">
      <c r="A124" t="s">
        <v>257</v>
      </c>
      <c r="B124">
        <f>house_price_growth!B124</f>
        <v>12.2003</v>
      </c>
      <c r="C124">
        <v>13135</v>
      </c>
      <c r="D124">
        <f t="shared" si="2"/>
        <v>13135</v>
      </c>
    </row>
    <row r="125" spans="1:4" x14ac:dyDescent="0.45">
      <c r="A125" t="s">
        <v>258</v>
      </c>
      <c r="B125">
        <f>house_price_growth!B125</f>
        <v>12.2217</v>
      </c>
      <c r="C125">
        <v>15018</v>
      </c>
      <c r="D125">
        <f t="shared" si="2"/>
        <v>15018</v>
      </c>
    </row>
    <row r="126" spans="1:4" x14ac:dyDescent="0.45">
      <c r="A126" t="s">
        <v>259</v>
      </c>
      <c r="B126">
        <f>house_price_growth!B126</f>
        <v>9.2086000000000006</v>
      </c>
      <c r="C126">
        <v>22306</v>
      </c>
      <c r="D126">
        <f t="shared" si="2"/>
        <v>22306</v>
      </c>
    </row>
    <row r="127" spans="1:4" x14ac:dyDescent="0.45">
      <c r="A127" t="s">
        <v>260</v>
      </c>
      <c r="B127">
        <f>house_price_growth!B127</f>
        <v>6.6006</v>
      </c>
      <c r="C127">
        <v>24271</v>
      </c>
      <c r="D127">
        <f t="shared" si="2"/>
        <v>24271</v>
      </c>
    </row>
    <row r="128" spans="1:4" x14ac:dyDescent="0.45">
      <c r="A128" t="s">
        <v>261</v>
      </c>
      <c r="B128">
        <f>house_price_growth!B128</f>
        <v>8.1640999999999995</v>
      </c>
      <c r="C128">
        <v>25362</v>
      </c>
      <c r="D128">
        <f t="shared" si="2"/>
        <v>25362</v>
      </c>
    </row>
    <row r="129" spans="1:4" x14ac:dyDescent="0.45">
      <c r="A129" t="s">
        <v>262</v>
      </c>
      <c r="B129">
        <f>house_price_growth!B129</f>
        <v>3.6101999999999999</v>
      </c>
      <c r="C129">
        <v>24130</v>
      </c>
      <c r="D129">
        <f t="shared" si="2"/>
        <v>24130</v>
      </c>
    </row>
    <row r="130" spans="1:4" x14ac:dyDescent="0.45">
      <c r="A130" t="s">
        <v>263</v>
      </c>
      <c r="B130">
        <f>house_price_growth!B130</f>
        <v>6.9607000000000001</v>
      </c>
      <c r="C130">
        <v>30874</v>
      </c>
      <c r="D130">
        <f t="shared" si="2"/>
        <v>30874</v>
      </c>
    </row>
    <row r="131" spans="1:4" x14ac:dyDescent="0.45">
      <c r="A131" t="s">
        <v>264</v>
      </c>
      <c r="B131">
        <f>house_price_growth!B131</f>
        <v>12.352</v>
      </c>
      <c r="C131">
        <v>31483</v>
      </c>
      <c r="D131">
        <f t="shared" si="2"/>
        <v>31483</v>
      </c>
    </row>
    <row r="132" spans="1:4" x14ac:dyDescent="0.45">
      <c r="A132" t="s">
        <v>265</v>
      </c>
      <c r="B132">
        <f>house_price_growth!B132</f>
        <v>15.7537</v>
      </c>
      <c r="C132">
        <v>30681</v>
      </c>
      <c r="D132">
        <f t="shared" si="2"/>
        <v>30681</v>
      </c>
    </row>
    <row r="133" spans="1:4" x14ac:dyDescent="0.45">
      <c r="A133" t="s">
        <v>266</v>
      </c>
      <c r="B133">
        <f>house_price_growth!B133</f>
        <v>23.370200000000001</v>
      </c>
      <c r="C133">
        <v>32092</v>
      </c>
      <c r="D133">
        <f t="shared" si="2"/>
        <v>32092</v>
      </c>
    </row>
    <row r="134" spans="1:4" x14ac:dyDescent="0.45">
      <c r="A134" t="s">
        <v>267</v>
      </c>
      <c r="B134">
        <f>house_price_growth!B134</f>
        <v>21.535299999999999</v>
      </c>
      <c r="C134">
        <v>27268</v>
      </c>
      <c r="D134">
        <f t="shared" si="2"/>
        <v>27268</v>
      </c>
    </row>
    <row r="135" spans="1:4" x14ac:dyDescent="0.45">
      <c r="A135" t="s">
        <v>268</v>
      </c>
      <c r="B135">
        <f>house_price_growth!B135</f>
        <v>16.106200000000001</v>
      </c>
      <c r="C135">
        <v>28961</v>
      </c>
      <c r="D135">
        <f t="shared" si="2"/>
        <v>28961</v>
      </c>
    </row>
    <row r="136" spans="1:4" x14ac:dyDescent="0.45">
      <c r="A136" t="s">
        <v>269</v>
      </c>
      <c r="B136">
        <f>house_price_growth!B136</f>
        <v>11.6633</v>
      </c>
      <c r="C136">
        <v>38343</v>
      </c>
      <c r="D136">
        <f t="shared" si="2"/>
        <v>38343</v>
      </c>
    </row>
    <row r="137" spans="1:4" x14ac:dyDescent="0.45">
      <c r="A137" t="s">
        <v>270</v>
      </c>
      <c r="B137">
        <f>house_price_growth!B137</f>
        <v>8.5701999999999998</v>
      </c>
      <c r="C137">
        <v>41960</v>
      </c>
      <c r="D137">
        <f t="shared" si="2"/>
        <v>41960</v>
      </c>
    </row>
    <row r="138" spans="1:4" x14ac:dyDescent="0.45">
      <c r="A138" t="s">
        <v>271</v>
      </c>
      <c r="B138">
        <f>house_price_growth!B138</f>
        <v>7.6882000000000001</v>
      </c>
      <c r="C138">
        <v>40452</v>
      </c>
      <c r="D138">
        <f t="shared" si="2"/>
        <v>40452</v>
      </c>
    </row>
    <row r="139" spans="1:4" x14ac:dyDescent="0.45">
      <c r="A139" t="s">
        <v>272</v>
      </c>
      <c r="B139">
        <f>house_price_growth!B139</f>
        <v>10.466900000000001</v>
      </c>
      <c r="C139">
        <v>39565</v>
      </c>
      <c r="D139">
        <f t="shared" si="2"/>
        <v>39565</v>
      </c>
    </row>
    <row r="140" spans="1:4" x14ac:dyDescent="0.45">
      <c r="A140" t="s">
        <v>273</v>
      </c>
      <c r="B140">
        <f>house_price_growth!B140</f>
        <v>12.411199999999999</v>
      </c>
      <c r="C140">
        <v>31371</v>
      </c>
      <c r="D140">
        <f t="shared" si="2"/>
        <v>31371</v>
      </c>
    </row>
    <row r="141" spans="1:4" x14ac:dyDescent="0.45">
      <c r="A141" t="s">
        <v>274</v>
      </c>
      <c r="B141">
        <f>house_price_growth!B141</f>
        <v>10.7403</v>
      </c>
      <c r="C141">
        <v>27938</v>
      </c>
      <c r="D141">
        <f t="shared" si="2"/>
        <v>27938</v>
      </c>
    </row>
    <row r="142" spans="1:4" x14ac:dyDescent="0.45">
      <c r="A142" t="s">
        <v>275</v>
      </c>
      <c r="B142">
        <f>house_price_growth!B142</f>
        <v>7.2157999999999998</v>
      </c>
      <c r="C142">
        <v>30116</v>
      </c>
      <c r="D142">
        <f t="shared" si="2"/>
        <v>30116</v>
      </c>
    </row>
    <row r="143" spans="1:4" x14ac:dyDescent="0.45">
      <c r="A143" t="s">
        <v>276</v>
      </c>
      <c r="B143">
        <f>house_price_growth!B143</f>
        <v>3.8675999999999999</v>
      </c>
      <c r="C143">
        <v>34647</v>
      </c>
      <c r="D143">
        <f t="shared" si="2"/>
        <v>34647</v>
      </c>
    </row>
    <row r="144" spans="1:4" x14ac:dyDescent="0.45">
      <c r="A144" t="s">
        <v>277</v>
      </c>
      <c r="B144">
        <f>house_price_growth!B144</f>
        <v>1.5348999999999999</v>
      </c>
      <c r="C144">
        <v>37937</v>
      </c>
      <c r="D144">
        <f t="shared" si="2"/>
        <v>37937</v>
      </c>
    </row>
    <row r="145" spans="1:4" x14ac:dyDescent="0.45">
      <c r="A145" t="s">
        <v>278</v>
      </c>
      <c r="B145">
        <f>house_price_growth!B145</f>
        <v>1.2666999999999999</v>
      </c>
      <c r="C145">
        <v>44420</v>
      </c>
      <c r="D145">
        <f t="shared" si="2"/>
        <v>44420</v>
      </c>
    </row>
    <row r="146" spans="1:4" x14ac:dyDescent="0.45">
      <c r="A146" t="s">
        <v>279</v>
      </c>
      <c r="B146">
        <f>house_price_growth!B146</f>
        <v>4.3522999999999996</v>
      </c>
      <c r="C146">
        <v>45633</v>
      </c>
      <c r="D146">
        <f t="shared" si="2"/>
        <v>45633</v>
      </c>
    </row>
    <row r="147" spans="1:4" x14ac:dyDescent="0.45">
      <c r="A147" t="s">
        <v>280</v>
      </c>
      <c r="B147">
        <f>house_price_growth!B147</f>
        <v>4.8789999999999996</v>
      </c>
      <c r="C147">
        <v>46053</v>
      </c>
      <c r="D147">
        <f t="shared" si="2"/>
        <v>46053</v>
      </c>
    </row>
    <row r="148" spans="1:4" x14ac:dyDescent="0.45">
      <c r="A148" t="s">
        <v>281</v>
      </c>
      <c r="B148">
        <f>house_price_growth!B148</f>
        <v>5.2778</v>
      </c>
      <c r="C148">
        <v>48778</v>
      </c>
      <c r="D148">
        <f t="shared" si="2"/>
        <v>48778</v>
      </c>
    </row>
    <row r="149" spans="1:4" x14ac:dyDescent="0.45">
      <c r="A149" t="s">
        <v>282</v>
      </c>
      <c r="B149">
        <f>house_price_growth!B149</f>
        <v>6.8745000000000003</v>
      </c>
      <c r="C149">
        <v>52408</v>
      </c>
      <c r="D149">
        <f t="shared" si="2"/>
        <v>52408</v>
      </c>
    </row>
    <row r="150" spans="1:4" x14ac:dyDescent="0.45">
      <c r="A150" t="s">
        <v>283</v>
      </c>
      <c r="B150">
        <f>house_price_growth!B150</f>
        <v>7.4874999999999998</v>
      </c>
      <c r="C150">
        <v>50129</v>
      </c>
      <c r="D150">
        <f t="shared" si="2"/>
        <v>50129</v>
      </c>
    </row>
    <row r="151" spans="1:4" x14ac:dyDescent="0.45">
      <c r="A151" t="s">
        <v>284</v>
      </c>
      <c r="B151">
        <f>house_price_growth!B151</f>
        <v>8.0073000000000008</v>
      </c>
      <c r="C151">
        <v>48878</v>
      </c>
      <c r="D151">
        <f t="shared" si="2"/>
        <v>48878</v>
      </c>
    </row>
    <row r="152" spans="1:4" x14ac:dyDescent="0.45">
      <c r="A152" t="s">
        <v>285</v>
      </c>
      <c r="B152">
        <f>house_price_growth!B152</f>
        <v>8.4601000000000006</v>
      </c>
      <c r="C152">
        <v>46600</v>
      </c>
      <c r="D152">
        <f t="shared" si="2"/>
        <v>46600</v>
      </c>
    </row>
    <row r="153" spans="1:4" x14ac:dyDescent="0.45">
      <c r="A153" t="s">
        <v>286</v>
      </c>
      <c r="B153">
        <f>house_price_growth!B153</f>
        <v>6.0244999999999997</v>
      </c>
      <c r="C153">
        <v>34689</v>
      </c>
      <c r="D153">
        <f t="shared" si="2"/>
        <v>34689</v>
      </c>
    </row>
    <row r="154" spans="1:4" x14ac:dyDescent="0.45">
      <c r="A154" t="s">
        <v>287</v>
      </c>
      <c r="B154">
        <f>house_price_growth!B154</f>
        <v>1.2516</v>
      </c>
      <c r="C154">
        <v>29877</v>
      </c>
      <c r="D154">
        <f t="shared" si="2"/>
        <v>29877</v>
      </c>
    </row>
    <row r="155" spans="1:4" x14ac:dyDescent="0.45">
      <c r="A155" t="s">
        <v>288</v>
      </c>
      <c r="B155">
        <f>house_price_growth!B155</f>
        <v>-4.0522999999999998</v>
      </c>
      <c r="C155">
        <v>18775</v>
      </c>
      <c r="D155">
        <f t="shared" si="2"/>
        <v>18775</v>
      </c>
    </row>
    <row r="156" spans="1:4" x14ac:dyDescent="0.45">
      <c r="A156" t="s">
        <v>289</v>
      </c>
      <c r="B156">
        <f>house_price_growth!B156</f>
        <v>-11.4024</v>
      </c>
      <c r="C156">
        <v>12298</v>
      </c>
      <c r="D156">
        <f t="shared" si="2"/>
        <v>12298</v>
      </c>
    </row>
    <row r="157" spans="1:4" x14ac:dyDescent="0.45">
      <c r="A157" t="s">
        <v>290</v>
      </c>
      <c r="B157">
        <f>house_price_growth!B157</f>
        <v>-16.472000000000001</v>
      </c>
      <c r="C157">
        <v>10516</v>
      </c>
      <c r="D157">
        <f t="shared" si="2"/>
        <v>10516</v>
      </c>
    </row>
    <row r="158" spans="1:4" x14ac:dyDescent="0.45">
      <c r="A158" t="s">
        <v>291</v>
      </c>
      <c r="B158">
        <f>house_price_growth!B158</f>
        <v>-17.860700000000001</v>
      </c>
      <c r="C158">
        <v>14129</v>
      </c>
      <c r="D158">
        <f t="shared" si="2"/>
        <v>14129</v>
      </c>
    </row>
    <row r="159" spans="1:4" x14ac:dyDescent="0.45">
      <c r="A159" t="s">
        <v>292</v>
      </c>
      <c r="B159">
        <f>house_price_growth!B159</f>
        <v>-15.540800000000001</v>
      </c>
      <c r="C159">
        <v>18262</v>
      </c>
      <c r="D159">
        <f t="shared" si="2"/>
        <v>18262</v>
      </c>
    </row>
    <row r="160" spans="1:4" x14ac:dyDescent="0.45">
      <c r="A160" t="s">
        <v>293</v>
      </c>
      <c r="B160">
        <f>house_price_growth!B160</f>
        <v>-8.1575000000000006</v>
      </c>
      <c r="C160">
        <v>21807</v>
      </c>
      <c r="D160">
        <f t="shared" si="2"/>
        <v>21807</v>
      </c>
    </row>
    <row r="161" spans="1:4" x14ac:dyDescent="0.45">
      <c r="A161" t="s">
        <v>294</v>
      </c>
      <c r="B161">
        <f>house_price_growth!B161</f>
        <v>-0.40560000000000002</v>
      </c>
      <c r="C161">
        <v>23421</v>
      </c>
      <c r="D161">
        <f t="shared" si="2"/>
        <v>23421</v>
      </c>
    </row>
    <row r="162" spans="1:4" x14ac:dyDescent="0.45">
      <c r="A162" t="s">
        <v>295</v>
      </c>
      <c r="B162">
        <f>house_price_growth!B162</f>
        <v>4.2206000000000001</v>
      </c>
      <c r="C162">
        <v>19841</v>
      </c>
      <c r="D162">
        <f t="shared" si="2"/>
        <v>19841</v>
      </c>
    </row>
    <row r="163" spans="1:4" x14ac:dyDescent="0.45">
      <c r="A163" t="s">
        <v>296</v>
      </c>
      <c r="B163">
        <f>house_price_growth!B163</f>
        <v>4.6242999999999999</v>
      </c>
      <c r="C163">
        <v>21177</v>
      </c>
      <c r="D163">
        <f t="shared" si="2"/>
        <v>21177</v>
      </c>
    </row>
    <row r="164" spans="1:4" x14ac:dyDescent="0.45">
      <c r="A164" t="s">
        <v>297</v>
      </c>
      <c r="B164">
        <f>house_price_growth!B164</f>
        <v>2.5154999999999998</v>
      </c>
      <c r="C164">
        <v>20032</v>
      </c>
      <c r="D164">
        <f t="shared" si="2"/>
        <v>20032</v>
      </c>
    </row>
    <row r="165" spans="1:4" x14ac:dyDescent="0.45">
      <c r="A165" t="s">
        <v>298</v>
      </c>
      <c r="B165">
        <f>house_price_growth!B165</f>
        <v>-1.7653000000000001</v>
      </c>
      <c r="C165">
        <v>18966</v>
      </c>
      <c r="D165">
        <f t="shared" si="2"/>
        <v>18966</v>
      </c>
    </row>
    <row r="166" spans="1:4" x14ac:dyDescent="0.45">
      <c r="A166" t="s">
        <v>299</v>
      </c>
      <c r="B166">
        <f>house_price_growth!B166</f>
        <v>-4.5693000000000001</v>
      </c>
      <c r="C166">
        <v>18875</v>
      </c>
      <c r="D166">
        <f t="shared" si="2"/>
        <v>18875</v>
      </c>
    </row>
    <row r="167" spans="1:4" x14ac:dyDescent="0.45">
      <c r="A167" t="s">
        <v>300</v>
      </c>
      <c r="B167">
        <f>house_price_growth!B167</f>
        <v>-5.9630999999999998</v>
      </c>
      <c r="C167">
        <v>19670</v>
      </c>
      <c r="D167">
        <f t="shared" si="2"/>
        <v>19670</v>
      </c>
    </row>
    <row r="168" spans="1:4" x14ac:dyDescent="0.45">
      <c r="A168" t="s">
        <v>301</v>
      </c>
      <c r="B168">
        <f>house_price_growth!B168</f>
        <v>-6.3490000000000002</v>
      </c>
      <c r="C168">
        <v>21738</v>
      </c>
      <c r="D168">
        <f t="shared" si="2"/>
        <v>21738</v>
      </c>
    </row>
    <row r="169" spans="1:4" x14ac:dyDescent="0.45">
      <c r="A169" t="s">
        <v>302</v>
      </c>
      <c r="B169">
        <f>house_price_growth!B169</f>
        <v>-5.7446000000000002</v>
      </c>
      <c r="C169">
        <v>22008</v>
      </c>
      <c r="D169">
        <f t="shared" si="2"/>
        <v>22008</v>
      </c>
    </row>
    <row r="170" spans="1:4" x14ac:dyDescent="0.45">
      <c r="A170" t="s">
        <v>303</v>
      </c>
      <c r="B170">
        <f>house_price_growth!B170</f>
        <v>-3.8603000000000001</v>
      </c>
      <c r="C170">
        <v>23165</v>
      </c>
      <c r="D170">
        <f t="shared" si="2"/>
        <v>23165</v>
      </c>
    </row>
    <row r="171" spans="1:4" x14ac:dyDescent="0.45">
      <c r="A171" t="s">
        <v>304</v>
      </c>
      <c r="B171">
        <f>house_price_growth!B171</f>
        <v>-1.9516</v>
      </c>
      <c r="C171">
        <v>22299</v>
      </c>
      <c r="D171">
        <f t="shared" si="2"/>
        <v>22299</v>
      </c>
    </row>
    <row r="172" spans="1:4" x14ac:dyDescent="0.45">
      <c r="A172" t="s">
        <v>305</v>
      </c>
      <c r="B172">
        <f>house_price_growth!B172</f>
        <v>-1.9992000000000001</v>
      </c>
      <c r="C172">
        <v>21757</v>
      </c>
      <c r="D172">
        <f t="shared" si="2"/>
        <v>21757</v>
      </c>
    </row>
    <row r="173" spans="1:4" x14ac:dyDescent="0.45">
      <c r="A173" t="s">
        <v>306</v>
      </c>
      <c r="B173">
        <f>house_price_growth!B173</f>
        <v>-1.6156999999999999</v>
      </c>
      <c r="C173">
        <v>23461</v>
      </c>
      <c r="D173">
        <f t="shared" si="2"/>
        <v>23461</v>
      </c>
    </row>
    <row r="174" spans="1:4" x14ac:dyDescent="0.45">
      <c r="A174" t="s">
        <v>307</v>
      </c>
      <c r="B174">
        <f>house_price_growth!B174</f>
        <v>-1.3655999999999999</v>
      </c>
      <c r="C174">
        <v>23463</v>
      </c>
      <c r="D174">
        <f t="shared" si="2"/>
        <v>23463</v>
      </c>
    </row>
    <row r="175" spans="1:4" x14ac:dyDescent="0.45">
      <c r="A175" t="s">
        <v>308</v>
      </c>
      <c r="B175">
        <f>house_price_growth!B175</f>
        <v>-1.1386000000000001</v>
      </c>
      <c r="C175">
        <v>26383</v>
      </c>
      <c r="D175">
        <f t="shared" si="2"/>
        <v>26383</v>
      </c>
    </row>
    <row r="176" spans="1:4" x14ac:dyDescent="0.45">
      <c r="A176" t="s">
        <v>309</v>
      </c>
      <c r="B176">
        <f>house_price_growth!B176</f>
        <v>0.2422</v>
      </c>
      <c r="C176">
        <v>28960</v>
      </c>
      <c r="D176">
        <f t="shared" si="2"/>
        <v>28960</v>
      </c>
    </row>
    <row r="177" spans="1:4" x14ac:dyDescent="0.45">
      <c r="A177" t="s">
        <v>310</v>
      </c>
      <c r="B177">
        <f>house_price_growth!B177</f>
        <v>2.2183000000000002</v>
      </c>
      <c r="C177">
        <v>34072</v>
      </c>
      <c r="D177">
        <f t="shared" si="2"/>
        <v>34072</v>
      </c>
    </row>
    <row r="178" spans="1:4" x14ac:dyDescent="0.45">
      <c r="A178" t="s">
        <v>311</v>
      </c>
      <c r="B178">
        <f>house_price_growth!B178</f>
        <v>4.7182000000000004</v>
      </c>
      <c r="C178">
        <v>33678</v>
      </c>
      <c r="D178">
        <f t="shared" ref="D178:D223" si="3">C178</f>
        <v>33678</v>
      </c>
    </row>
    <row r="179" spans="1:4" x14ac:dyDescent="0.45">
      <c r="A179" t="s">
        <v>312</v>
      </c>
      <c r="B179">
        <f>house_price_growth!B179</f>
        <v>6.2272999999999996</v>
      </c>
      <c r="C179">
        <v>31668</v>
      </c>
      <c r="D179">
        <f t="shared" si="3"/>
        <v>31668</v>
      </c>
    </row>
    <row r="180" spans="1:4" x14ac:dyDescent="0.45">
      <c r="A180" t="s">
        <v>313</v>
      </c>
      <c r="B180">
        <f>house_price_growth!B180</f>
        <v>7.3125999999999998</v>
      </c>
      <c r="C180">
        <v>31697</v>
      </c>
      <c r="D180">
        <f t="shared" si="3"/>
        <v>31697</v>
      </c>
    </row>
    <row r="181" spans="1:4" x14ac:dyDescent="0.45">
      <c r="A181" t="s">
        <v>314</v>
      </c>
      <c r="B181">
        <f>house_price_growth!B181</f>
        <v>7.5326000000000004</v>
      </c>
      <c r="C181">
        <v>29727</v>
      </c>
      <c r="D181">
        <f t="shared" si="3"/>
        <v>29727</v>
      </c>
    </row>
    <row r="182" spans="1:4" x14ac:dyDescent="0.45">
      <c r="A182" t="s">
        <v>315</v>
      </c>
      <c r="B182">
        <f>house_price_growth!B182</f>
        <v>6.5384000000000002</v>
      </c>
      <c r="C182">
        <v>30648</v>
      </c>
      <c r="D182">
        <f t="shared" si="3"/>
        <v>30648</v>
      </c>
    </row>
    <row r="183" spans="1:4" x14ac:dyDescent="0.45">
      <c r="A183" t="s">
        <v>316</v>
      </c>
      <c r="B183">
        <f>house_price_growth!B183</f>
        <v>5.3868</v>
      </c>
      <c r="C183">
        <v>34185</v>
      </c>
      <c r="D183">
        <f t="shared" si="3"/>
        <v>34185</v>
      </c>
    </row>
    <row r="184" spans="1:4" x14ac:dyDescent="0.45">
      <c r="A184" t="s">
        <v>317</v>
      </c>
      <c r="B184">
        <f>house_price_growth!B184</f>
        <v>5.2983000000000002</v>
      </c>
      <c r="C184">
        <v>37082</v>
      </c>
      <c r="D184">
        <f t="shared" si="3"/>
        <v>37082</v>
      </c>
    </row>
    <row r="185" spans="1:4" x14ac:dyDescent="0.45">
      <c r="A185" t="s">
        <v>318</v>
      </c>
      <c r="B185">
        <f>house_price_growth!B185</f>
        <v>6.4027000000000003</v>
      </c>
      <c r="C185">
        <v>37224</v>
      </c>
      <c r="D185">
        <f t="shared" si="3"/>
        <v>37224</v>
      </c>
    </row>
    <row r="186" spans="1:4" x14ac:dyDescent="0.45">
      <c r="A186" t="s">
        <v>319</v>
      </c>
      <c r="B186">
        <f>house_price_growth!B186</f>
        <v>7.6512000000000002</v>
      </c>
      <c r="C186">
        <v>38358</v>
      </c>
      <c r="D186">
        <f t="shared" si="3"/>
        <v>38358</v>
      </c>
    </row>
    <row r="187" spans="1:4" x14ac:dyDescent="0.45">
      <c r="A187" t="s">
        <v>320</v>
      </c>
      <c r="B187">
        <f>house_price_growth!B187</f>
        <v>7.6241000000000003</v>
      </c>
      <c r="C187">
        <v>35478</v>
      </c>
      <c r="D187">
        <f t="shared" si="3"/>
        <v>35478</v>
      </c>
    </row>
    <row r="188" spans="1:4" x14ac:dyDescent="0.45">
      <c r="A188" t="s">
        <v>321</v>
      </c>
      <c r="B188">
        <f>house_price_growth!B188</f>
        <v>6.0102000000000002</v>
      </c>
      <c r="C188">
        <v>32617</v>
      </c>
      <c r="D188">
        <f t="shared" si="3"/>
        <v>32617</v>
      </c>
    </row>
    <row r="189" spans="1:4" x14ac:dyDescent="0.45">
      <c r="A189" t="s">
        <v>322</v>
      </c>
      <c r="B189">
        <f>house_price_growth!B189</f>
        <v>4.1703999999999999</v>
      </c>
      <c r="C189">
        <v>36741</v>
      </c>
      <c r="D189">
        <f t="shared" si="3"/>
        <v>36741</v>
      </c>
    </row>
    <row r="190" spans="1:4" x14ac:dyDescent="0.45">
      <c r="A190" t="s">
        <v>323</v>
      </c>
      <c r="B190">
        <f>house_price_growth!B190</f>
        <v>2.1781000000000001</v>
      </c>
      <c r="C190">
        <v>36612</v>
      </c>
      <c r="D190">
        <f t="shared" si="3"/>
        <v>36612</v>
      </c>
    </row>
    <row r="191" spans="1:4" x14ac:dyDescent="0.45">
      <c r="A191" t="s">
        <v>324</v>
      </c>
      <c r="B191">
        <f>house_price_growth!B191</f>
        <v>1.6348</v>
      </c>
      <c r="C191">
        <v>36009</v>
      </c>
      <c r="D191">
        <f t="shared" si="3"/>
        <v>36009</v>
      </c>
    </row>
    <row r="192" spans="1:4" x14ac:dyDescent="0.45">
      <c r="A192" t="s">
        <v>325</v>
      </c>
      <c r="B192">
        <f>house_price_growth!B192</f>
        <v>1.8813</v>
      </c>
      <c r="C192">
        <v>36618</v>
      </c>
      <c r="D192">
        <f t="shared" si="3"/>
        <v>36618</v>
      </c>
    </row>
    <row r="193" spans="1:4" x14ac:dyDescent="0.45">
      <c r="A193" t="s">
        <v>326</v>
      </c>
      <c r="B193">
        <f>house_price_growth!B193</f>
        <v>1.5434000000000001</v>
      </c>
      <c r="C193">
        <v>35893</v>
      </c>
      <c r="D193">
        <f t="shared" si="3"/>
        <v>35893</v>
      </c>
    </row>
    <row r="194" spans="1:4" x14ac:dyDescent="0.45">
      <c r="A194" t="s">
        <v>327</v>
      </c>
      <c r="B194">
        <f>house_price_growth!B194</f>
        <v>1.5867</v>
      </c>
      <c r="C194">
        <v>35131</v>
      </c>
      <c r="D194">
        <f t="shared" si="3"/>
        <v>35131</v>
      </c>
    </row>
    <row r="195" spans="1:4" x14ac:dyDescent="0.45">
      <c r="A195" t="s">
        <v>328</v>
      </c>
      <c r="B195">
        <f>house_price_growth!B195</f>
        <v>0.77539999999999998</v>
      </c>
      <c r="C195">
        <v>36019</v>
      </c>
      <c r="D195">
        <f t="shared" si="3"/>
        <v>36019</v>
      </c>
    </row>
    <row r="196" spans="1:4" x14ac:dyDescent="0.45">
      <c r="A196" t="s">
        <v>329</v>
      </c>
      <c r="B196">
        <f>house_price_growth!B196</f>
        <v>0.25369999999999998</v>
      </c>
      <c r="C196">
        <v>37029</v>
      </c>
      <c r="D196">
        <f t="shared" si="3"/>
        <v>37029</v>
      </c>
    </row>
    <row r="197" spans="1:4" x14ac:dyDescent="0.45">
      <c r="A197" t="s">
        <v>330</v>
      </c>
      <c r="B197">
        <f>house_price_growth!B197</f>
        <v>0.1268</v>
      </c>
      <c r="C197">
        <v>37086</v>
      </c>
      <c r="D197">
        <f t="shared" si="3"/>
        <v>37086</v>
      </c>
    </row>
    <row r="198" spans="1:4" x14ac:dyDescent="0.45">
      <c r="A198" t="s">
        <v>331</v>
      </c>
      <c r="B198">
        <f>house_price_growth!B198</f>
        <v>-0.44990000000000002</v>
      </c>
      <c r="C198">
        <v>36110</v>
      </c>
      <c r="D198">
        <f t="shared" si="3"/>
        <v>36110</v>
      </c>
    </row>
    <row r="199" spans="1:4" x14ac:dyDescent="0.45">
      <c r="A199" t="s">
        <v>332</v>
      </c>
      <c r="B199">
        <f>house_price_growth!B199</f>
        <v>-1.0012000000000001</v>
      </c>
      <c r="C199">
        <v>37940</v>
      </c>
      <c r="D199">
        <f t="shared" si="3"/>
        <v>37940</v>
      </c>
    </row>
    <row r="200" spans="1:4" x14ac:dyDescent="0.45">
      <c r="A200" t="s">
        <v>333</v>
      </c>
      <c r="B200">
        <f>house_price_growth!B200</f>
        <v>-1.0953999999999999</v>
      </c>
      <c r="C200">
        <v>39199</v>
      </c>
      <c r="D200">
        <f t="shared" si="3"/>
        <v>39199</v>
      </c>
    </row>
    <row r="201" spans="1:4" x14ac:dyDescent="0.45">
      <c r="A201" t="s">
        <v>334</v>
      </c>
      <c r="B201">
        <f>house_price_growth!B201</f>
        <v>-0.53420000000000001</v>
      </c>
      <c r="C201">
        <v>40152</v>
      </c>
      <c r="D201">
        <f t="shared" si="3"/>
        <v>40152</v>
      </c>
    </row>
    <row r="202" spans="1:4" x14ac:dyDescent="0.45">
      <c r="A202" t="s">
        <v>335</v>
      </c>
      <c r="B202">
        <f>house_price_growth!B202</f>
        <v>8.4199999999999997E-2</v>
      </c>
      <c r="C202">
        <v>40110</v>
      </c>
      <c r="D202">
        <f t="shared" si="3"/>
        <v>40110</v>
      </c>
    </row>
    <row r="203" spans="1:4" x14ac:dyDescent="0.45">
      <c r="A203" t="s">
        <v>336</v>
      </c>
      <c r="B203">
        <f>house_price_growth!B203</f>
        <v>0.55059999999999998</v>
      </c>
      <c r="C203">
        <v>13284</v>
      </c>
      <c r="D203">
        <f t="shared" si="3"/>
        <v>13284</v>
      </c>
    </row>
    <row r="204" spans="1:4" x14ac:dyDescent="0.45">
      <c r="A204" t="s">
        <v>337</v>
      </c>
      <c r="B204">
        <f>house_price_growth!B204</f>
        <v>1.9239999999999999</v>
      </c>
      <c r="C204">
        <v>52782</v>
      </c>
      <c r="D204">
        <f t="shared" si="3"/>
        <v>52782</v>
      </c>
    </row>
    <row r="205" spans="1:4" x14ac:dyDescent="0.45">
      <c r="A205" t="s">
        <v>338</v>
      </c>
      <c r="B205">
        <f>house_price_growth!B205</f>
        <v>5.2389999999999999</v>
      </c>
      <c r="C205">
        <v>68255</v>
      </c>
      <c r="D205">
        <f t="shared" si="3"/>
        <v>68255</v>
      </c>
    </row>
    <row r="206" spans="1:4" x14ac:dyDescent="0.45">
      <c r="A206" t="s">
        <v>339</v>
      </c>
      <c r="B206">
        <f>house_price_growth!B206</f>
        <v>7.0110999999999999</v>
      </c>
      <c r="C206">
        <v>56342</v>
      </c>
      <c r="D206">
        <f t="shared" si="3"/>
        <v>56342</v>
      </c>
    </row>
    <row r="207" spans="1:4" x14ac:dyDescent="0.45">
      <c r="A207" t="s">
        <v>340</v>
      </c>
      <c r="B207">
        <f>house_price_growth!B207</f>
        <v>7.2168999999999999</v>
      </c>
      <c r="C207">
        <v>54037</v>
      </c>
      <c r="D207">
        <f t="shared" si="3"/>
        <v>54037</v>
      </c>
    </row>
    <row r="208" spans="1:4" x14ac:dyDescent="0.45">
      <c r="A208" t="s">
        <v>341</v>
      </c>
      <c r="B208">
        <f>house_price_growth!B208</f>
        <v>5.3914</v>
      </c>
      <c r="C208">
        <v>46517</v>
      </c>
      <c r="D208">
        <f t="shared" si="3"/>
        <v>46517</v>
      </c>
    </row>
    <row r="209" spans="1:4" x14ac:dyDescent="0.45">
      <c r="A209" t="s">
        <v>342</v>
      </c>
      <c r="B209">
        <f>house_price_growth!B209</f>
        <v>2.2576999999999998</v>
      </c>
      <c r="C209">
        <v>48202</v>
      </c>
      <c r="D209">
        <f t="shared" si="3"/>
        <v>48202</v>
      </c>
    </row>
    <row r="210" spans="1:4" x14ac:dyDescent="0.45">
      <c r="A210" t="s">
        <v>343</v>
      </c>
      <c r="B210">
        <f>house_price_growth!B210</f>
        <v>1.8588</v>
      </c>
      <c r="C210">
        <v>49345</v>
      </c>
      <c r="D210">
        <f t="shared" si="3"/>
        <v>49345</v>
      </c>
    </row>
    <row r="211" spans="1:4" x14ac:dyDescent="0.45">
      <c r="A211" t="s">
        <v>344</v>
      </c>
      <c r="B211">
        <f>house_price_growth!B211</f>
        <v>-0.21299999999999999</v>
      </c>
      <c r="C211">
        <v>46176</v>
      </c>
      <c r="D211">
        <f t="shared" si="3"/>
        <v>46176</v>
      </c>
    </row>
    <row r="212" spans="1:4" x14ac:dyDescent="0.45">
      <c r="A212" t="s">
        <v>345</v>
      </c>
      <c r="B212">
        <f>house_price_growth!B212</f>
        <v>0.84989999999999999</v>
      </c>
      <c r="C212">
        <v>47593</v>
      </c>
      <c r="D212">
        <f t="shared" si="3"/>
        <v>47593</v>
      </c>
    </row>
    <row r="213" spans="1:4" x14ac:dyDescent="0.45">
      <c r="A213" t="s">
        <v>346</v>
      </c>
      <c r="B213">
        <f>house_price_growth!B213</f>
        <v>-1.5612999999999999</v>
      </c>
      <c r="C213">
        <v>32084</v>
      </c>
      <c r="D213">
        <f t="shared" si="3"/>
        <v>32084</v>
      </c>
    </row>
    <row r="214" spans="1:4" x14ac:dyDescent="0.45">
      <c r="A214" t="s">
        <v>347</v>
      </c>
      <c r="B214">
        <f>house_price_growth!B214</f>
        <v>-5.6189</v>
      </c>
      <c r="C214">
        <v>28712</v>
      </c>
      <c r="D214">
        <f t="shared" si="3"/>
        <v>28712</v>
      </c>
    </row>
    <row r="215" spans="1:4" x14ac:dyDescent="0.45">
      <c r="A215" t="s">
        <v>348</v>
      </c>
      <c r="B215">
        <f>house_price_growth!B215</f>
        <v>-6.9328000000000003</v>
      </c>
      <c r="C215">
        <v>34286</v>
      </c>
      <c r="D215">
        <f t="shared" si="3"/>
        <v>34286</v>
      </c>
    </row>
    <row r="216" spans="1:4" x14ac:dyDescent="0.45">
      <c r="A216" t="s">
        <v>349</v>
      </c>
      <c r="B216">
        <f>house_price_growth!B216</f>
        <v>-7.3078000000000003</v>
      </c>
      <c r="C216">
        <v>30168</v>
      </c>
      <c r="D216">
        <f t="shared" si="3"/>
        <v>30168</v>
      </c>
    </row>
    <row r="217" spans="1:4" x14ac:dyDescent="0.45">
      <c r="A217" t="s">
        <v>350</v>
      </c>
      <c r="B217">
        <f>house_price_growth!B217</f>
        <v>-6.3556999999999997</v>
      </c>
      <c r="C217">
        <v>33310</v>
      </c>
      <c r="D217">
        <f t="shared" si="3"/>
        <v>33310</v>
      </c>
    </row>
    <row r="218" spans="1:4" x14ac:dyDescent="0.45">
      <c r="A218" t="s">
        <v>351</v>
      </c>
      <c r="B218">
        <f>house_price_growth!B218</f>
        <v>-4.6943000000000001</v>
      </c>
      <c r="C218">
        <v>40816</v>
      </c>
      <c r="D218">
        <f t="shared" si="3"/>
        <v>40816</v>
      </c>
    </row>
    <row r="219" spans="1:4" x14ac:dyDescent="0.45">
      <c r="A219" t="s">
        <v>352</v>
      </c>
      <c r="B219">
        <f>house_price_growth!B219</f>
        <v>-1.67</v>
      </c>
      <c r="C219">
        <v>41994</v>
      </c>
      <c r="D219">
        <f t="shared" si="3"/>
        <v>41994</v>
      </c>
    </row>
    <row r="220" spans="1:4" x14ac:dyDescent="0.45">
      <c r="A220" t="s">
        <v>353</v>
      </c>
      <c r="B220">
        <f>house_price_growth!B220</f>
        <v>-1.0369999999999999</v>
      </c>
      <c r="C220">
        <v>45864</v>
      </c>
      <c r="D220">
        <f t="shared" si="3"/>
        <v>45864</v>
      </c>
    </row>
    <row r="221" spans="1:4" x14ac:dyDescent="0.45">
      <c r="A221" s="29" t="s">
        <v>354</v>
      </c>
      <c r="B221" s="29">
        <f>house_price_growth!B221</f>
        <v>0.443</v>
      </c>
      <c r="C221" s="29">
        <v>49416</v>
      </c>
      <c r="D221">
        <f t="shared" si="3"/>
        <v>49416</v>
      </c>
    </row>
    <row r="222" spans="1:4" x14ac:dyDescent="0.45">
      <c r="A222" t="s">
        <v>355</v>
      </c>
      <c r="B222">
        <f>house_price_growth!B222</f>
        <v>1.8540000000000001</v>
      </c>
      <c r="C222">
        <v>47696</v>
      </c>
      <c r="D222">
        <f t="shared" si="3"/>
        <v>47696</v>
      </c>
    </row>
    <row r="223" spans="1:4" x14ac:dyDescent="0.45">
      <c r="A223" t="s">
        <v>356</v>
      </c>
      <c r="C223">
        <v>45897</v>
      </c>
      <c r="D223">
        <f t="shared" si="3"/>
        <v>45897</v>
      </c>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66EE-9AD5-415E-95BE-76899936F8B2}">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read_me</vt:lpstr>
      <vt:lpstr>rgdp</vt:lpstr>
      <vt:lpstr>g4rgdp</vt:lpstr>
      <vt:lpstr>g4rgdp_first</vt:lpstr>
      <vt:lpstr>qoq_rgdp</vt:lpstr>
      <vt:lpstr>avg_g4rgdp</vt:lpstr>
      <vt:lpstr>g4infl</vt:lpstr>
      <vt:lpstr>infl</vt:lpstr>
      <vt:lpstr>credit_to_gdp_bank</vt:lpstr>
      <vt:lpstr>credit_to_gdp_all</vt:lpstr>
      <vt:lpstr>delta_3y_credit_to_gdp_all</vt:lpstr>
      <vt:lpstr>vix</vt:lpstr>
      <vt:lpstr>bond_spread</vt:lpstr>
      <vt:lpstr>market_vol_uk</vt:lpstr>
      <vt:lpstr>mrkvols&amp;p</vt:lpstr>
      <vt:lpstr>g4oil</vt:lpstr>
      <vt:lpstr>oil</vt:lpstr>
      <vt:lpstr>g4oil_long</vt:lpstr>
      <vt:lpstr>chicago_fed_nfci</vt:lpstr>
      <vt:lpstr>global_gdp</vt:lpstr>
      <vt:lpstr>global_credit</vt:lpstr>
      <vt:lpstr>global_credit_level</vt:lpstr>
      <vt:lpstr>global_credit_level_2y_gr</vt:lpstr>
      <vt:lpstr>pmi_out</vt:lpstr>
      <vt:lpstr>pmi_out_long</vt:lpstr>
      <vt:lpstr>pmi_out_fut_long</vt:lpstr>
      <vt:lpstr>pmi_out_fut</vt:lpstr>
      <vt:lpstr>ciss_uk</vt:lpstr>
      <vt:lpstr>yield_curve_slope</vt:lpstr>
      <vt:lpstr>inflation_expectations</vt:lpstr>
      <vt:lpstr>import_deflator_fuel</vt:lpstr>
      <vt:lpstr>g4_import_deflator_fuel</vt:lpstr>
      <vt:lpstr>mgdp_yoy</vt:lpstr>
      <vt:lpstr>epu_idx</vt:lpstr>
      <vt:lpstr>house_price_growth</vt:lpstr>
      <vt:lpstr>ln_housing_approvals</vt:lpstr>
      <vt:lpstr>housing_approvals</vt:lpstr>
      <vt:lpstr>covid</vt:lpstr>
      <vt:lpstr>spliced_vix</vt:lpstr>
      <vt:lpstr>credit_to_gdp_ALL_ctry</vt:lpstr>
      <vt:lpstr>d3y_cre_to_gdp_all_ALL_ctry</vt:lpstr>
      <vt:lpstr>uk_export_weight</vt:lpstr>
      <vt:lpstr>quarterly_pmi</vt:lpstr>
      <vt:lpstr>quarterly_pmi_std</vt:lpstr>
      <vt:lpstr>gdp_growth_forecast_consensus</vt:lpstr>
      <vt:lpstr>gdp_growth_forecast_consen_std</vt:lpstr>
      <vt:lpstr>spliced_quartely_pmi</vt:lpstr>
      <vt:lpstr>spliced_quartely_pmi_long</vt:lpstr>
      <vt:lpstr>spliced_inflation_expectations</vt:lpstr>
      <vt:lpstr>spliced_mgdp</vt:lpstr>
      <vt:lpstr>spliced_housing_approvals</vt:lpstr>
      <vt:lpstr>g4rgdp_gap</vt:lpstr>
      <vt:lpstr>pmi_composite</vt:lpstr>
      <vt:lpstr>pmi_employment</vt:lpstr>
      <vt:lpstr>labour</vt:lpstr>
      <vt:lpstr>spliced_house_appr_growth</vt:lpstr>
      <vt:lpstr>qoqrgdp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Simone Maso</dc:creator>
  <cp:keywords/>
  <dc:description/>
  <cp:lastModifiedBy>Simone Maso</cp:lastModifiedBy>
  <cp:revision/>
  <dcterms:created xsi:type="dcterms:W3CDTF">2015-06-05T18:17:20Z</dcterms:created>
  <dcterms:modified xsi:type="dcterms:W3CDTF">2026-06-30T09:10:23Z</dcterms:modified>
  <cp:category/>
  <cp:contentStatus/>
</cp:coreProperties>
</file>